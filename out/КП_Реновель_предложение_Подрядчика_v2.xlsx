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Table 1" sheetId="1" state="visible" r:id="rId1"/>
  </sheets>
  <definedNames>
    <definedName name="_xlnm._FilterDatabase" localSheetId="0" hidden="1">'Table 1'!$A$3:$X$327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\ _₽"/>
    <numFmt numFmtId="165" formatCode="_-* #,##0.00\ _₽_-;\-* #,##0.00\ _₽_-;_-* &quot;-&quot;??\ _₽_-;_-@_-"/>
    <numFmt numFmtId="166" formatCode="_-* #,##0.00_-;\-* #,##0.00_-;_-* &quot;-&quot;??_-;_-@_-"/>
    <numFmt numFmtId="167" formatCode="#,##0.00;[Red]\-#,##0.00;&quot;-&quot;"/>
    <numFmt numFmtId="168" formatCode="#,##0.00;[Red]-#,##0.00;&quot;-&quot;"/>
  </numFmts>
  <fonts count="24">
    <font>
      <name val="Times New Roman"/>
      <charset val="204"/>
      <color rgb="FF000000"/>
      <sz val="10"/>
    </font>
    <font>
      <name val="Times New Roman"/>
      <charset val="204"/>
      <family val="1"/>
      <sz val="9"/>
    </font>
    <font>
      <name val="Arial"/>
      <charset val="204"/>
      <family val="2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b val="1"/>
      <color rgb="FF000000"/>
      <sz val="11"/>
    </font>
    <font>
      <name val="Times New Roman"/>
      <charset val="204"/>
      <family val="1"/>
      <b val="1"/>
      <i val="1"/>
      <color rgb="FF000000"/>
      <sz val="11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color theme="1"/>
      <sz val="11"/>
    </font>
    <font>
      <name val="Times New Roman"/>
      <charset val="204"/>
      <color rgb="FF000000"/>
      <sz val="10"/>
    </font>
    <font>
      <name val="Times New Roman"/>
      <charset val="204"/>
      <family val="1"/>
      <color rgb="FFFF0000"/>
      <sz val="10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b val="1"/>
      <color rgb="FF000000"/>
      <sz val="10"/>
    </font>
    <font>
      <name val="Times New Roman"/>
      <b val="1"/>
      <color rgb="FFFFFFFF"/>
      <sz val="10"/>
    </font>
    <font>
      <name val="Times New Roman"/>
      <sz val="10"/>
    </font>
    <font>
      <name val="Times New Roman"/>
      <b val="1"/>
      <sz val="10"/>
    </font>
    <font>
      <name val="Times New Roman"/>
      <b val="1"/>
      <sz val="11"/>
    </font>
    <font>
      <name val="Times New Roman"/>
      <sz val="11"/>
    </font>
    <font>
      <name val="Times New Roman"/>
      <charset val="204"/>
      <family val="1"/>
      <b val="1"/>
      <color rgb="FF000000"/>
      <sz val="18"/>
    </font>
    <font>
      <name val="Times New Roman"/>
      <b val="1"/>
      <color rgb="00FFFFFF"/>
      <sz val="10"/>
    </font>
  </fonts>
  <fills count="1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DEBF7"/>
      </patternFill>
    </fill>
    <fill>
      <patternFill patternType="solid">
        <fgColor rgb="FF00B0F0"/>
        <bgColor indexed="64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/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3">
    <xf numFmtId="0" fontId="13" fillId="0" borderId="0"/>
    <xf numFmtId="0" fontId="2" fillId="0" borderId="0"/>
    <xf numFmtId="43" fontId="13" fillId="0" borderId="0"/>
  </cellStyleXfs>
  <cellXfs count="202">
    <xf numFmtId="0" fontId="0" fillId="0" borderId="0" applyAlignment="1" pivotButton="0" quotePrefix="0" xfId="0">
      <alignment horizontal="left" vertical="top"/>
    </xf>
    <xf numFmtId="0" fontId="1" fillId="0" borderId="0" pivotButton="0" quotePrefix="0" xfId="0"/>
    <xf numFmtId="49" fontId="3" fillId="0" borderId="0" applyAlignment="1" pivotButton="0" quotePrefix="0" xfId="0">
      <alignment horizontal="center"/>
    </xf>
    <xf numFmtId="0" fontId="3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 wrapText="1"/>
    </xf>
    <xf numFmtId="164" fontId="8" fillId="2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2" borderId="2" applyAlignment="1" pivotButton="0" quotePrefix="0" xfId="1">
      <alignment horizontal="left" vertical="center" wrapText="1"/>
    </xf>
    <xf numFmtId="0" fontId="8" fillId="2" borderId="2" applyAlignment="1" pivotButton="0" quotePrefix="0" xfId="0">
      <alignment horizontal="center" vertical="center"/>
    </xf>
    <xf numFmtId="0" fontId="8" fillId="2" borderId="2" applyAlignment="1" pivotButton="0" quotePrefix="0" xfId="1">
      <alignment horizontal="center" vertical="center" wrapText="1"/>
    </xf>
    <xf numFmtId="0" fontId="8" fillId="2" borderId="2" applyAlignment="1" pivotButton="0" quotePrefix="0" xfId="0">
      <alignment wrapText="1"/>
    </xf>
    <xf numFmtId="49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left" vertical="top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top" wrapText="1"/>
    </xf>
    <xf numFmtId="0" fontId="10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top" wrapText="1"/>
    </xf>
    <xf numFmtId="0" fontId="7" fillId="4" borderId="4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top" wrapText="1"/>
    </xf>
    <xf numFmtId="0" fontId="8" fillId="2" borderId="3" applyAlignment="1" pivotButton="0" quotePrefix="0" xfId="0">
      <alignment horizontal="center" vertical="center"/>
    </xf>
    <xf numFmtId="0" fontId="12" fillId="4" borderId="3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 wrapText="1"/>
    </xf>
    <xf numFmtId="164" fontId="7" fillId="0" borderId="9" applyAlignment="1" pivotButton="0" quotePrefix="0" xfId="0">
      <alignment horizontal="center" vertical="center"/>
    </xf>
    <xf numFmtId="164" fontId="6" fillId="4" borderId="9" applyAlignment="1" pivotButton="0" quotePrefix="0" xfId="0">
      <alignment horizontal="center" vertical="center"/>
    </xf>
    <xf numFmtId="164" fontId="8" fillId="2" borderId="10" applyAlignment="1" pivotButton="0" quotePrefix="0" xfId="0">
      <alignment horizontal="center" vertical="center"/>
    </xf>
    <xf numFmtId="164" fontId="7" fillId="2" borderId="10" applyAlignment="1" pivotButton="0" quotePrefix="0" xfId="0">
      <alignment horizontal="center" vertical="center"/>
    </xf>
    <xf numFmtId="0" fontId="7" fillId="4" borderId="11" applyAlignment="1" pivotButton="0" quotePrefix="0" xfId="0">
      <alignment horizontal="center" vertical="center" wrapText="1"/>
    </xf>
    <xf numFmtId="164" fontId="5" fillId="4" borderId="9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 wrapText="1"/>
    </xf>
    <xf numFmtId="164" fontId="7" fillId="0" borderId="10" applyAlignment="1" pivotButton="0" quotePrefix="0" xfId="0">
      <alignment horizontal="center" vertical="center"/>
    </xf>
    <xf numFmtId="164" fontId="8" fillId="2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top" wrapText="1"/>
    </xf>
    <xf numFmtId="0" fontId="7" fillId="0" borderId="4" applyAlignment="1" pivotButton="0" quotePrefix="0" xfId="0">
      <alignment horizontal="left" wrapText="1"/>
    </xf>
    <xf numFmtId="0" fontId="3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left" vertical="center" wrapText="1"/>
    </xf>
    <xf numFmtId="0" fontId="8" fillId="2" borderId="3" applyAlignment="1" pivotButton="0" quotePrefix="0" xfId="1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164" fontId="7" fillId="4" borderId="7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center" vertical="center" wrapText="1"/>
    </xf>
    <xf numFmtId="164" fontId="7" fillId="0" borderId="7" applyAlignment="1" pivotButton="0" quotePrefix="0" xfId="0">
      <alignment horizontal="center" vertical="center" wrapText="1"/>
    </xf>
    <xf numFmtId="164" fontId="9" fillId="0" borderId="7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center" vertical="center" wrapText="1"/>
    </xf>
    <xf numFmtId="164" fontId="12" fillId="4" borderId="15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 wrapText="1"/>
    </xf>
    <xf numFmtId="164" fontId="10" fillId="4" borderId="15" applyAlignment="1" pivotButton="0" quotePrefix="0" xfId="0">
      <alignment horizontal="center" vertical="center"/>
    </xf>
    <xf numFmtId="49" fontId="4" fillId="0" borderId="18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164" fontId="4" fillId="0" borderId="13" applyAlignment="1" pivotButton="0" quotePrefix="0" xfId="0">
      <alignment horizontal="center" vertical="center" wrapText="1"/>
    </xf>
    <xf numFmtId="164" fontId="4" fillId="0" borderId="20" applyAlignment="1" pivotButton="0" quotePrefix="0" xfId="0">
      <alignment horizontal="center" vertical="center" wrapText="1"/>
    </xf>
    <xf numFmtId="165" fontId="4" fillId="0" borderId="23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24" applyAlignment="1" pivotButton="0" quotePrefix="0" xfId="0">
      <alignment horizontal="center" vertical="center" wrapText="1"/>
    </xf>
    <xf numFmtId="164" fontId="5" fillId="4" borderId="17" applyAlignment="1" pivotButton="0" quotePrefix="0" xfId="0">
      <alignment horizontal="center" vertical="center" wrapText="1"/>
    </xf>
    <xf numFmtId="164" fontId="7" fillId="4" borderId="12" applyAlignment="1" pivotButton="0" quotePrefix="0" xfId="0">
      <alignment horizontal="center" vertical="center" wrapText="1"/>
    </xf>
    <xf numFmtId="49" fontId="5" fillId="0" borderId="25" applyAlignment="1" pivotButton="0" quotePrefix="0" xfId="0">
      <alignment horizontal="center" vertical="top" shrinkToFit="1"/>
    </xf>
    <xf numFmtId="1" fontId="5" fillId="0" borderId="21" applyAlignment="1" pivotButton="0" quotePrefix="0" xfId="0">
      <alignment horizontal="center" vertical="top" shrinkToFit="1"/>
    </xf>
    <xf numFmtId="49" fontId="5" fillId="0" borderId="21" applyAlignment="1" pivotButton="0" quotePrefix="0" xfId="0">
      <alignment horizontal="center" vertical="top" shrinkToFit="1"/>
    </xf>
    <xf numFmtId="1" fontId="5" fillId="0" borderId="22" applyAlignment="1" pivotButton="0" quotePrefix="0" xfId="0">
      <alignment horizontal="center" vertical="top" shrinkToFit="1"/>
    </xf>
    <xf numFmtId="49" fontId="5" fillId="0" borderId="13" applyAlignment="1" pivotButton="0" quotePrefix="0" xfId="0">
      <alignment horizontal="center" vertical="top" shrinkToFit="1"/>
    </xf>
    <xf numFmtId="1" fontId="5" fillId="0" borderId="20" applyAlignment="1" pivotButton="0" quotePrefix="0" xfId="0">
      <alignment horizontal="center" vertical="top" shrinkToFit="1"/>
    </xf>
    <xf numFmtId="1" fontId="5" fillId="0" borderId="23" applyAlignment="1" pivotButton="0" quotePrefix="0" xfId="0">
      <alignment horizontal="center" vertical="top" shrinkToFit="1"/>
    </xf>
    <xf numFmtId="49" fontId="6" fillId="4" borderId="28" applyAlignment="1" pivotButton="0" quotePrefix="0" xfId="0">
      <alignment horizontal="center" vertical="center" shrinkToFit="1"/>
    </xf>
    <xf numFmtId="165" fontId="4" fillId="4" borderId="29" applyAlignment="1" pivotButton="0" quotePrefix="0" xfId="0">
      <alignment horizontal="center" vertical="center" wrapText="1"/>
    </xf>
    <xf numFmtId="49" fontId="7" fillId="0" borderId="30" applyAlignment="1" pivotButton="0" quotePrefix="0" xfId="0">
      <alignment horizontal="center" vertical="top" shrinkToFit="1"/>
    </xf>
    <xf numFmtId="165" fontId="3" fillId="0" borderId="31" applyAlignment="1" pivotButton="0" quotePrefix="0" xfId="0">
      <alignment horizontal="center" vertical="center" wrapText="1"/>
    </xf>
    <xf numFmtId="165" fontId="9" fillId="0" borderId="31" applyAlignment="1" pivotButton="0" quotePrefix="0" xfId="0">
      <alignment horizontal="center" vertical="center" wrapText="1"/>
    </xf>
    <xf numFmtId="49" fontId="6" fillId="4" borderId="30" applyAlignment="1" pivotButton="0" quotePrefix="0" xfId="0">
      <alignment horizontal="center" vertical="center" shrinkToFit="1"/>
    </xf>
    <xf numFmtId="165" fontId="4" fillId="4" borderId="31" applyAlignment="1" pivotButton="0" quotePrefix="0" xfId="0">
      <alignment horizontal="center" vertical="center" wrapText="1"/>
    </xf>
    <xf numFmtId="49" fontId="7" fillId="0" borderId="30" applyAlignment="1" pivotButton="0" quotePrefix="0" xfId="0">
      <alignment horizontal="center" wrapText="1"/>
    </xf>
    <xf numFmtId="165" fontId="7" fillId="0" borderId="31" applyAlignment="1" pivotButton="0" quotePrefix="0" xfId="0">
      <alignment horizontal="center" vertical="center" wrapText="1"/>
    </xf>
    <xf numFmtId="49" fontId="8" fillId="2" borderId="32" applyAlignment="1" pivotButton="0" quotePrefix="0" xfId="0">
      <alignment horizontal="center" vertical="center"/>
    </xf>
    <xf numFmtId="165" fontId="4" fillId="4" borderId="33" applyAlignment="1" pivotButton="0" quotePrefix="0" xfId="0">
      <alignment horizontal="center" vertical="center" wrapText="1"/>
    </xf>
    <xf numFmtId="165" fontId="7" fillId="0" borderId="34" applyAlignment="1" pivotButton="0" quotePrefix="0" xfId="0">
      <alignment horizontal="center" vertical="center"/>
    </xf>
    <xf numFmtId="49" fontId="12" fillId="4" borderId="32" applyAlignment="1" pivotButton="0" quotePrefix="0" xfId="0">
      <alignment horizontal="center" vertical="center"/>
    </xf>
    <xf numFmtId="165" fontId="6" fillId="4" borderId="34" applyAlignment="1" pivotButton="0" quotePrefix="0" xfId="0">
      <alignment horizontal="center" vertical="center"/>
    </xf>
    <xf numFmtId="165" fontId="7" fillId="2" borderId="34" applyAlignment="1" pivotButton="0" quotePrefix="0" xfId="0">
      <alignment horizontal="center" vertical="center"/>
    </xf>
    <xf numFmtId="49" fontId="6" fillId="4" borderId="30" applyAlignment="1" pivotButton="0" quotePrefix="0" xfId="0">
      <alignment horizontal="center" vertical="top" shrinkToFit="1"/>
    </xf>
    <xf numFmtId="165" fontId="5" fillId="4" borderId="34" applyAlignment="1" pivotButton="0" quotePrefix="0" xfId="0">
      <alignment horizontal="center" vertical="center" wrapText="1"/>
    </xf>
    <xf numFmtId="49" fontId="8" fillId="0" borderId="32" applyAlignment="1" pivotButton="0" quotePrefix="0" xfId="0">
      <alignment horizontal="center"/>
    </xf>
    <xf numFmtId="49" fontId="10" fillId="4" borderId="32" applyAlignment="1" pivotButton="0" quotePrefix="0" xfId="0">
      <alignment horizontal="center"/>
    </xf>
    <xf numFmtId="165" fontId="5" fillId="4" borderId="34" applyAlignment="1" pivotButton="0" quotePrefix="0" xfId="0">
      <alignment horizontal="center" vertical="center"/>
    </xf>
    <xf numFmtId="49" fontId="6" fillId="4" borderId="28" applyAlignment="1" pivotButton="0" quotePrefix="0" xfId="0">
      <alignment horizontal="center" vertical="top" shrinkToFit="1"/>
    </xf>
    <xf numFmtId="165" fontId="5" fillId="4" borderId="35" applyAlignment="1" pivotButton="0" quotePrefix="0" xfId="0">
      <alignment horizontal="center" vertical="center" wrapText="1"/>
    </xf>
    <xf numFmtId="49" fontId="8" fillId="0" borderId="36" applyAlignment="1" pivotButton="0" quotePrefix="0" xfId="0">
      <alignment horizontal="center"/>
    </xf>
    <xf numFmtId="0" fontId="8" fillId="2" borderId="37" applyAlignment="1" pivotButton="0" quotePrefix="0" xfId="0">
      <alignment wrapText="1"/>
    </xf>
    <xf numFmtId="0" fontId="8" fillId="2" borderId="37" applyAlignment="1" pivotButton="0" quotePrefix="0" xfId="0">
      <alignment horizontal="center" vertical="center"/>
    </xf>
    <xf numFmtId="0" fontId="8" fillId="2" borderId="38" applyAlignment="1" pivotButton="0" quotePrefix="0" xfId="0">
      <alignment horizontal="center" vertical="center"/>
    </xf>
    <xf numFmtId="164" fontId="8" fillId="2" borderId="38" applyAlignment="1" pivotButton="0" quotePrefix="0" xfId="0">
      <alignment horizontal="center" vertical="center"/>
    </xf>
    <xf numFmtId="165" fontId="7" fillId="0" borderId="40" applyAlignment="1" pivotButton="0" quotePrefix="0" xfId="0">
      <alignment horizontal="center" vertical="center"/>
    </xf>
    <xf numFmtId="165" fontId="5" fillId="3" borderId="27" applyAlignment="1" pivotButton="0" quotePrefix="0" xfId="0">
      <alignment horizontal="center" vertical="center"/>
    </xf>
    <xf numFmtId="164" fontId="10" fillId="5" borderId="15" applyAlignment="1" pivotButton="0" quotePrefix="0" xfId="0">
      <alignment horizontal="center" vertical="center"/>
    </xf>
    <xf numFmtId="164" fontId="11" fillId="5" borderId="14" applyAlignment="1" pivotButton="0" quotePrefix="0" xfId="0">
      <alignment horizontal="center" vertical="center" wrapText="1"/>
    </xf>
    <xf numFmtId="164" fontId="5" fillId="5" borderId="15" applyAlignment="1" pivotButton="0" quotePrefix="0" xfId="0">
      <alignment horizontal="center" vertical="center"/>
    </xf>
    <xf numFmtId="164" fontId="5" fillId="5" borderId="16" applyAlignment="1" pivotButton="0" quotePrefix="0" xfId="0">
      <alignment horizontal="center" vertical="center"/>
    </xf>
    <xf numFmtId="4" fontId="8" fillId="2" borderId="2" applyAlignment="1" pivotButton="0" quotePrefix="0" xfId="0">
      <alignment vertical="center"/>
    </xf>
    <xf numFmtId="0" fontId="8" fillId="2" borderId="2" applyAlignment="1" pivotButton="0" quotePrefix="0" xfId="0">
      <alignment vertical="center"/>
    </xf>
    <xf numFmtId="0" fontId="14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horizontal="left" vertical="top"/>
    </xf>
    <xf numFmtId="164" fontId="3" fillId="2" borderId="7" applyAlignment="1" pivotButton="0" quotePrefix="0" xfId="0">
      <alignment horizontal="center" vertical="center" wrapText="1"/>
    </xf>
    <xf numFmtId="164" fontId="7" fillId="2" borderId="9" applyAlignment="1" pivotButton="0" quotePrefix="0" xfId="0">
      <alignment horizontal="center" vertical="center"/>
    </xf>
    <xf numFmtId="166" fontId="0" fillId="0" borderId="0" applyAlignment="1" pivotButton="0" quotePrefix="0" xfId="2">
      <alignment horizontal="left" vertical="top"/>
    </xf>
    <xf numFmtId="166" fontId="16" fillId="6" borderId="0" applyAlignment="1" pivotButton="0" quotePrefix="0" xfId="2">
      <alignment horizontal="left" vertical="top"/>
    </xf>
    <xf numFmtId="0" fontId="0" fillId="7" borderId="0" applyAlignment="1" pivotButton="0" quotePrefix="0" xfId="0">
      <alignment horizontal="left" vertical="top"/>
    </xf>
    <xf numFmtId="0" fontId="0" fillId="7" borderId="0" applyAlignment="1" pivotButton="0" quotePrefix="0" xfId="0">
      <alignment horizontal="left" vertical="top" wrapText="1"/>
    </xf>
    <xf numFmtId="164" fontId="3" fillId="7" borderId="7" applyAlignment="1" pivotButton="0" quotePrefix="0" xfId="0">
      <alignment horizontal="center" vertical="center" wrapText="1"/>
    </xf>
    <xf numFmtId="0" fontId="15" fillId="7" borderId="0" applyAlignment="1" pivotButton="0" quotePrefix="0" xfId="0">
      <alignment horizontal="left" vertical="top"/>
    </xf>
    <xf numFmtId="164" fontId="7" fillId="7" borderId="9" applyAlignment="1" pivotButton="0" quotePrefix="0" xfId="0">
      <alignment horizontal="center" vertical="center"/>
    </xf>
    <xf numFmtId="164" fontId="7" fillId="7" borderId="10" applyAlignment="1" pivotButton="0" quotePrefix="0" xfId="0">
      <alignment horizontal="center" vertical="center"/>
    </xf>
    <xf numFmtId="164" fontId="3" fillId="8" borderId="7" applyAlignment="1" pivotButton="0" quotePrefix="0" xfId="0">
      <alignment horizontal="center" vertical="center" wrapText="1"/>
    </xf>
    <xf numFmtId="164" fontId="7" fillId="8" borderId="9" applyAlignment="1" pivotButton="0" quotePrefix="0" xfId="0">
      <alignment horizontal="center" vertical="center"/>
    </xf>
    <xf numFmtId="164" fontId="7" fillId="8" borderId="10" applyAlignment="1" pivotButton="0" quotePrefix="0" xfId="0">
      <alignment horizontal="center" vertical="center"/>
    </xf>
    <xf numFmtId="0" fontId="0" fillId="0" borderId="0" pivotButton="0" quotePrefix="0" xfId="0"/>
    <xf numFmtId="0" fontId="17" fillId="9" borderId="41" applyAlignment="1" pivotButton="0" quotePrefix="0" xfId="0">
      <alignment horizontal="center" vertical="center" wrapText="1"/>
    </xf>
    <xf numFmtId="167" fontId="18" fillId="10" borderId="41" applyAlignment="1" pivotButton="0" quotePrefix="0" xfId="0">
      <alignment vertical="top"/>
    </xf>
    <xf numFmtId="167" fontId="19" fillId="10" borderId="41" applyAlignment="1" pivotButton="0" quotePrefix="0" xfId="0">
      <alignment vertical="top"/>
    </xf>
    <xf numFmtId="0" fontId="19" fillId="10" borderId="41" applyAlignment="1" pivotButton="0" quotePrefix="0" xfId="0">
      <alignment vertical="top" wrapText="1"/>
    </xf>
    <xf numFmtId="0" fontId="18" fillId="10" borderId="41" applyAlignment="1" pivotButton="0" quotePrefix="0" xfId="0">
      <alignment vertical="top" wrapText="1"/>
    </xf>
    <xf numFmtId="167" fontId="18" fillId="11" borderId="41" applyAlignment="1" pivotButton="0" quotePrefix="0" xfId="0">
      <alignment vertical="top"/>
    </xf>
    <xf numFmtId="167" fontId="19" fillId="11" borderId="41" applyAlignment="1" pivotButton="0" quotePrefix="0" xfId="0">
      <alignment vertical="top"/>
    </xf>
    <xf numFmtId="0" fontId="19" fillId="11" borderId="41" applyAlignment="1" pivotButton="0" quotePrefix="0" xfId="0">
      <alignment vertical="top" wrapText="1"/>
    </xf>
    <xf numFmtId="0" fontId="18" fillId="11" borderId="41" applyAlignment="1" pivotButton="0" quotePrefix="0" xfId="0">
      <alignment vertical="top" wrapText="1"/>
    </xf>
    <xf numFmtId="0" fontId="18" fillId="12" borderId="41" applyAlignment="1" pivotButton="0" quotePrefix="0" xfId="0">
      <alignment vertical="top" wrapText="1"/>
    </xf>
    <xf numFmtId="167" fontId="18" fillId="12" borderId="41" applyAlignment="1" pivotButton="0" quotePrefix="0" xfId="0">
      <alignment vertical="top"/>
    </xf>
    <xf numFmtId="167" fontId="19" fillId="12" borderId="41" applyAlignment="1" pivotButton="0" quotePrefix="0" xfId="0">
      <alignment vertical="top"/>
    </xf>
    <xf numFmtId="0" fontId="19" fillId="12" borderId="41" applyAlignment="1" pivotButton="0" quotePrefix="0" xfId="0">
      <alignment vertical="top" wrapText="1"/>
    </xf>
    <xf numFmtId="0" fontId="19" fillId="0" borderId="41" applyAlignment="1" pivotButton="0" quotePrefix="0" xfId="0">
      <alignment horizontal="center" wrapText="1"/>
    </xf>
    <xf numFmtId="0" fontId="17" fillId="9" borderId="41" applyAlignment="1" pivotButton="0" quotePrefix="0" xfId="0">
      <alignment horizontal="center" wrapText="1"/>
    </xf>
    <xf numFmtId="0" fontId="21" fillId="0" borderId="41" applyAlignment="1" pivotButton="0" quotePrefix="0" xfId="0">
      <alignment vertical="top"/>
    </xf>
    <xf numFmtId="0" fontId="21" fillId="0" borderId="41" applyAlignment="1" pivotButton="0" quotePrefix="0" xfId="0">
      <alignment vertical="top" wrapText="1"/>
    </xf>
    <xf numFmtId="167" fontId="21" fillId="0" borderId="41" applyAlignment="1" pivotButton="0" quotePrefix="0" xfId="0">
      <alignment vertical="top"/>
    </xf>
    <xf numFmtId="167" fontId="19" fillId="0" borderId="41" pivotButton="0" quotePrefix="0" xfId="0"/>
    <xf numFmtId="167" fontId="19" fillId="13" borderId="41" pivotButton="0" quotePrefix="0" xfId="0"/>
    <xf numFmtId="0" fontId="18" fillId="0" borderId="41" applyAlignment="1" pivotButton="0" quotePrefix="0" xfId="0">
      <alignment vertical="top" wrapText="1"/>
    </xf>
    <xf numFmtId="0" fontId="0" fillId="0" borderId="0" pivotButton="0" quotePrefix="0" xfId="0"/>
    <xf numFmtId="0" fontId="5" fillId="3" borderId="18" applyAlignment="1" pivotButton="0" quotePrefix="0" xfId="0">
      <alignment horizontal="center" vertical="top"/>
    </xf>
    <xf numFmtId="0" fontId="0" fillId="0" borderId="26" pivotButton="0" quotePrefix="0" xfId="0"/>
    <xf numFmtId="0" fontId="20" fillId="0" borderId="0" pivotButton="0" quotePrefix="0" xfId="0"/>
    <xf numFmtId="0" fontId="7" fillId="0" borderId="0" applyAlignment="1" pivotButton="0" quotePrefix="0" xfId="0">
      <alignment horizontal="left" vertical="top"/>
    </xf>
    <xf numFmtId="164" fontId="5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19" fillId="13" borderId="41" applyAlignment="1" pivotButton="0" quotePrefix="0" xfId="0">
      <alignment vertical="top" wrapText="1"/>
    </xf>
    <xf numFmtId="0" fontId="0" fillId="13" borderId="0" pivotButton="0" quotePrefix="0" xfId="0"/>
    <xf numFmtId="0" fontId="1" fillId="0" borderId="0" pivotButton="0" quotePrefix="0" xfId="0"/>
    <xf numFmtId="0" fontId="17" fillId="9" borderId="0" applyAlignment="1" pivotButton="0" quotePrefix="0" xfId="0">
      <alignment vertical="center" wrapText="1"/>
    </xf>
    <xf numFmtId="0" fontId="3" fillId="0" borderId="13" applyAlignment="1" pivotButton="0" quotePrefix="0" xfId="0">
      <alignment horizontal="center" wrapText="1"/>
    </xf>
    <xf numFmtId="0" fontId="0" fillId="0" borderId="27" pivotButton="0" quotePrefix="0" xfId="0"/>
    <xf numFmtId="0" fontId="18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/>
    </xf>
    <xf numFmtId="0" fontId="15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0" fontId="22" fillId="14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top" wrapText="1"/>
    </xf>
    <xf numFmtId="0" fontId="15" fillId="6" borderId="0" applyAlignment="1" pivotButton="0" quotePrefix="0" xfId="0">
      <alignment horizontal="left" vertical="top" wrapText="1"/>
    </xf>
    <xf numFmtId="167" fontId="18" fillId="7" borderId="41" applyAlignment="1" pivotButton="0" quotePrefix="0" xfId="0">
      <alignment vertical="top"/>
    </xf>
    <xf numFmtId="164" fontId="3" fillId="7" borderId="9" applyAlignment="1" pivotButton="0" quotePrefix="0" xfId="0">
      <alignment horizontal="center" vertical="center"/>
    </xf>
    <xf numFmtId="164" fontId="7" fillId="7" borderId="39" applyAlignment="1" pivotButton="0" quotePrefix="0" xfId="0">
      <alignment horizontal="center" vertical="center"/>
    </xf>
    <xf numFmtId="0" fontId="23" fillId="15" borderId="47" applyAlignment="1" pivotButton="0" quotePrefix="0" xfId="0">
      <alignment vertical="center" wrapText="1"/>
    </xf>
    <xf numFmtId="0" fontId="0" fillId="0" borderId="47" pivotButton="0" quotePrefix="0" xfId="0"/>
    <xf numFmtId="0" fontId="23" fillId="15" borderId="48" applyAlignment="1" pivotButton="0" quotePrefix="0" xfId="0">
      <alignment horizontal="center" vertical="center" wrapText="1"/>
    </xf>
    <xf numFmtId="168" fontId="18" fillId="0" borderId="48" applyAlignment="1" pivotButton="0" quotePrefix="0" xfId="0">
      <alignment vertical="top"/>
    </xf>
    <xf numFmtId="0" fontId="18" fillId="0" borderId="48" applyAlignment="1" pivotButton="0" quotePrefix="0" xfId="0">
      <alignment vertical="top" wrapText="1"/>
    </xf>
    <xf numFmtId="168" fontId="18" fillId="16" borderId="48" applyAlignment="1" pivotButton="0" quotePrefix="0" xfId="0">
      <alignment vertical="top"/>
    </xf>
    <xf numFmtId="0" fontId="18" fillId="16" borderId="48" applyAlignment="1" pivotButton="0" quotePrefix="0" xfId="0">
      <alignment vertical="top" wrapText="1"/>
    </xf>
    <xf numFmtId="166" fontId="0" fillId="0" borderId="0" applyAlignment="1" pivotButton="0" quotePrefix="0" xfId="2">
      <alignment horizontal="left" vertical="top"/>
    </xf>
    <xf numFmtId="168" fontId="18" fillId="17" borderId="48" applyAlignment="1" pivotButton="0" quotePrefix="0" xfId="0">
      <alignment vertical="top"/>
    </xf>
    <xf numFmtId="0" fontId="18" fillId="17" borderId="48" applyAlignment="1" pivotButton="0" quotePrefix="0" xfId="0">
      <alignment vertical="top" wrapText="1"/>
    </xf>
    <xf numFmtId="168" fontId="18" fillId="18" borderId="48" applyAlignment="1" pivotButton="0" quotePrefix="0" xfId="0">
      <alignment vertical="top"/>
    </xf>
    <xf numFmtId="0" fontId="18" fillId="18" borderId="48" applyAlignment="1" pivotButton="0" quotePrefix="0" xfId="0">
      <alignment vertical="top" wrapText="1"/>
    </xf>
    <xf numFmtId="166" fontId="16" fillId="6" borderId="0" applyAlignment="1" pivotButton="0" quotePrefix="0" xfId="2">
      <alignment horizontal="left" vertical="top"/>
    </xf>
    <xf numFmtId="0" fontId="17" fillId="0" borderId="47" applyAlignment="1" pivotButton="0" quotePrefix="0" xfId="0">
      <alignment horizontal="center" wrapText="1"/>
    </xf>
    <xf numFmtId="0" fontId="23" fillId="15" borderId="48" applyAlignment="1" pivotButton="0" quotePrefix="0" xfId="0">
      <alignment horizontal="center" wrapText="1"/>
    </xf>
    <xf numFmtId="167" fontId="21" fillId="0" borderId="41" applyAlignment="1" pivotButton="0" quotePrefix="0" xfId="0">
      <alignment vertical="top"/>
    </xf>
    <xf numFmtId="167" fontId="18" fillId="0" borderId="47" applyAlignment="1" pivotButton="0" quotePrefix="0" xfId="0">
      <alignment vertical="top"/>
    </xf>
    <xf numFmtId="167" fontId="19" fillId="0" borderId="47" applyAlignment="1" pivotButton="0" quotePrefix="0" xfId="0">
      <alignment vertical="top"/>
    </xf>
    <xf numFmtId="0" fontId="19" fillId="0" borderId="48" applyAlignment="1" pivotButton="0" quotePrefix="0" xfId="0">
      <alignment vertical="top" wrapText="1"/>
    </xf>
    <xf numFmtId="168" fontId="19" fillId="16" borderId="48" pivotButton="0" quotePrefix="0" xfId="0"/>
    <xf numFmtId="167" fontId="19" fillId="0" borderId="47" pivotButton="0" quotePrefix="0" xfId="0"/>
    <xf numFmtId="0" fontId="18" fillId="0" borderId="47" applyAlignment="1" pivotButton="0" quotePrefix="0" xfId="0">
      <alignment vertical="top" wrapText="1"/>
    </xf>
    <xf numFmtId="0" fontId="19" fillId="0" borderId="47" applyAlignment="1" pivotButton="0" quotePrefix="0" xfId="0">
      <alignment vertical="top" wrapText="1"/>
    </xf>
  </cellXfs>
  <cellStyles count="3">
    <cellStyle name="Обычный" xfId="0" builtinId="0"/>
    <cellStyle name="Обычный 3" xfId="1"/>
    <cellStyle name="Финансовый" xfId="2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9"/>
  <sheetViews>
    <sheetView tabSelected="1" topLeftCell="B1" zoomScale="70" zoomScaleNormal="70" workbookViewId="0">
      <pane ySplit="3" topLeftCell="A322" activePane="bottomLeft" state="frozen"/>
      <selection pane="bottomLeft" activeCell="W341" sqref="W341"/>
    </sheetView>
  </sheetViews>
  <sheetFormatPr baseColWidth="8" defaultRowHeight="15"/>
  <cols>
    <col width="13.33203125" customWidth="1" style="20" min="1" max="1"/>
    <col width="69.5" customWidth="1" style="159" min="2" max="2"/>
    <col width="10" customWidth="1" style="159" min="3" max="7"/>
    <col width="11.83203125" customWidth="1" style="159" min="8" max="8"/>
    <col width="10" customWidth="1" style="159" min="9" max="9"/>
    <col width="16.6640625" customWidth="1" style="160" min="10" max="10"/>
    <col width="22.83203125" customWidth="1" style="161" min="11" max="11"/>
    <col width="22.5" customWidth="1" style="162" min="12" max="12"/>
    <col hidden="1" style="155" min="13" max="13"/>
    <col width="19.1640625" bestFit="1" customWidth="1" style="155" min="15" max="15"/>
    <col width="13.5" bestFit="1" customWidth="1" style="155" min="16" max="16"/>
    <col width="18" customWidth="1" style="155" min="17" max="17"/>
    <col width="13" customWidth="1" style="155" min="19" max="19"/>
    <col width="15" customWidth="1" style="155" min="20" max="21"/>
    <col width="15" customWidth="1" style="155" min="21" max="21"/>
    <col width="16" customWidth="1" style="155" min="22" max="22"/>
    <col width="45" customWidth="1" style="155" min="23" max="23"/>
    <col width="48.83203125" customWidth="1" style="155" min="24" max="24"/>
    <col width="15" customWidth="1" style="155" min="25" max="25"/>
    <col width="15" customWidth="1" style="155" min="26" max="26"/>
  </cols>
  <sheetData>
    <row r="1" ht="33" customHeight="1" s="155" thickBot="1">
      <c r="A1" s="167" t="inlineStr">
        <is>
          <t>Коммерческое предложение к Договору подряда № СПБ-ГАЗЭ/ОВ/7-9 от 19.06.2026 г.
г. Санкт-Петербург, ул. Стартовая, д. 6, к. 2, стр. 1. Офисные помещения, этажи 2,3, 7–10</t>
        </is>
      </c>
      <c r="B1" s="157" t="n"/>
      <c r="C1" s="157" t="n"/>
      <c r="D1" s="157" t="n"/>
      <c r="E1" s="157" t="n"/>
      <c r="F1" s="157" t="n"/>
      <c r="G1" s="157" t="n"/>
      <c r="H1" s="157" t="n"/>
      <c r="I1" s="157" t="n"/>
      <c r="J1" s="157" t="n"/>
      <c r="K1" s="157" t="n"/>
      <c r="L1" s="168" t="n"/>
      <c r="M1" s="165" t="n"/>
      <c r="R1" s="165" t="n"/>
      <c r="V1" s="165" t="n"/>
    </row>
    <row r="2" ht="30" customHeight="1" s="155" thickBo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47" t="n"/>
      <c r="K2" s="4" t="n"/>
      <c r="L2" s="5" t="n"/>
      <c r="M2" s="165" t="n"/>
      <c r="N2" s="165" t="n"/>
      <c r="O2" s="165" t="n"/>
      <c r="P2" s="165" t="n"/>
      <c r="Q2" s="165" t="n"/>
      <c r="R2" s="165" t="n"/>
      <c r="S2" s="179" t="inlineStr">
        <is>
          <t>ПРЕДЛОЖЕНИЕ ПОДРЯДЧИКА (ИП Краснощеков П.А.) с учётом Ваших комментариев (кол. X). Зелёный - Ваша цена / Ваш максимум, голубой - компромиссная цена, жёлтый - отдельным КП / допсоглашением.</t>
        </is>
      </c>
      <c r="X2" s="165" t="n"/>
      <c r="Y2" s="180" t="n"/>
      <c r="Z2" s="180" t="n"/>
    </row>
    <row r="3" ht="46.5" customHeight="1" s="155" thickBot="1">
      <c r="A3" s="63" t="inlineStr">
        <is>
          <t>№ п/п</t>
        </is>
      </c>
      <c r="B3" s="64" t="inlineStr">
        <is>
          <t>НАИМЕНОВНИЕ</t>
        </is>
      </c>
      <c r="C3" s="65" t="inlineStr">
        <is>
          <t>Един. изм</t>
        </is>
      </c>
      <c r="D3" s="66" t="inlineStr">
        <is>
          <t>7 этаж</t>
        </is>
      </c>
      <c r="E3" s="66" t="inlineStr">
        <is>
          <t>8 этаж</t>
        </is>
      </c>
      <c r="F3" s="66" t="inlineStr">
        <is>
          <t>9 этаж</t>
        </is>
      </c>
      <c r="G3" s="66" t="inlineStr">
        <is>
          <t>3 этаж</t>
        </is>
      </c>
      <c r="H3" s="66" t="inlineStr">
        <is>
          <t xml:space="preserve">10 этаж </t>
        </is>
      </c>
      <c r="I3" s="67" t="inlineStr">
        <is>
          <t>2 этаж</t>
        </is>
      </c>
      <c r="J3" s="68" t="inlineStr">
        <is>
          <t>Кол-во все этажи</t>
        </is>
      </c>
      <c r="K3" s="69" t="inlineStr">
        <is>
          <t>Стоимость за ед. работ, руб. без НДС</t>
        </is>
      </c>
      <c r="L3" s="70" t="inlineStr">
        <is>
          <t>Всего за работы, руб. без НДС</t>
        </is>
      </c>
      <c r="S3" s="181" t="inlineStr">
        <is>
          <t>Цена Подрядчика, руб.</t>
        </is>
      </c>
      <c r="T3" s="181" t="inlineStr">
        <is>
          <t>Сумма Подрядчика, руб.</t>
        </is>
      </c>
      <c r="U3" s="181" t="inlineStr">
        <is>
          <t>Разница с Вашим вариантом, руб.</t>
        </is>
      </c>
      <c r="V3" s="181" t="inlineStr">
        <is>
          <t>Решение</t>
        </is>
      </c>
      <c r="W3" s="181" t="inlineStr">
        <is>
          <t>Комментарий Подрядчика</t>
        </is>
      </c>
      <c r="X3" s="173" t="inlineStr">
        <is>
          <t>Реновель</t>
        </is>
      </c>
      <c r="Y3" s="181" t="inlineStr">
        <is>
          <t>Ваш вариант по строке, руб.</t>
        </is>
      </c>
      <c r="Z3" s="181" t="inlineStr">
        <is>
          <t>Предложение по строке, руб.</t>
        </is>
      </c>
    </row>
    <row r="4" ht="18" customHeight="1" s="155" thickBot="1">
      <c r="A4" s="76" t="n">
        <v>1</v>
      </c>
      <c r="B4" s="77" t="n">
        <v>2</v>
      </c>
      <c r="C4" s="77" t="n">
        <v>3</v>
      </c>
      <c r="D4" s="78" t="n">
        <v>2</v>
      </c>
      <c r="E4" s="77" t="n">
        <v>4</v>
      </c>
      <c r="F4" s="77" t="n">
        <v>5</v>
      </c>
      <c r="G4" s="78" t="n">
        <v>3</v>
      </c>
      <c r="H4" s="77" t="n">
        <v>6</v>
      </c>
      <c r="I4" s="79" t="n">
        <v>7</v>
      </c>
      <c r="J4" s="80" t="n">
        <v>4</v>
      </c>
      <c r="K4" s="81" t="n">
        <v>8</v>
      </c>
      <c r="L4" s="82" t="n">
        <v>9</v>
      </c>
      <c r="S4" s="180" t="n"/>
      <c r="T4" s="180" t="n"/>
      <c r="U4" s="180" t="n"/>
      <c r="V4" s="180" t="n"/>
      <c r="W4" s="180" t="n"/>
      <c r="Y4" s="180" t="n"/>
      <c r="Z4" s="180" t="n"/>
    </row>
    <row r="5" ht="20.25" customHeight="1" s="155">
      <c r="A5" s="83" t="n">
        <v>1</v>
      </c>
      <c r="B5" s="71" t="inlineStr">
        <is>
          <t>Вентиляция</t>
        </is>
      </c>
      <c r="C5" s="29" t="n"/>
      <c r="D5" s="72" t="n"/>
      <c r="E5" s="72" t="n"/>
      <c r="F5" s="72" t="n"/>
      <c r="G5" s="72" t="n"/>
      <c r="H5" s="72" t="n"/>
      <c r="I5" s="73" t="n"/>
      <c r="J5" s="74" t="n"/>
      <c r="K5" s="75" t="n"/>
      <c r="L5" s="84">
        <f>SUM(L6:L39)</f>
        <v/>
      </c>
      <c r="S5" s="180" t="n"/>
      <c r="T5" s="180" t="n"/>
      <c r="U5" s="180" t="n"/>
      <c r="V5" s="180" t="n"/>
      <c r="W5" s="180" t="n"/>
      <c r="Y5" s="180" t="n"/>
      <c r="Z5" s="180" t="n"/>
    </row>
    <row r="6" ht="15.75" customHeight="1" s="155">
      <c r="A6" s="85" t="n">
        <v>1.1</v>
      </c>
      <c r="B6" s="6" t="inlineStr">
        <is>
          <t>Диффузор 160 мм</t>
        </is>
      </c>
      <c r="C6" s="7" t="inlineStr">
        <is>
          <t>шт</t>
        </is>
      </c>
      <c r="D6" s="116" t="n">
        <v>18</v>
      </c>
      <c r="E6" s="116" t="n">
        <v>18</v>
      </c>
      <c r="F6" s="116" t="n">
        <v>18</v>
      </c>
      <c r="G6" s="116" t="n">
        <v>18</v>
      </c>
      <c r="H6" s="8" t="n"/>
      <c r="I6" s="49" t="n"/>
      <c r="J6" s="112">
        <f>G6+F6+E6+D6</f>
        <v/>
      </c>
      <c r="K6" s="56" t="inlineStr">
        <is>
          <t>600,00</t>
        </is>
      </c>
      <c r="L6" s="86">
        <f>K6*J6</f>
        <v/>
      </c>
      <c r="S6" s="182" t="n"/>
      <c r="T6" s="182" t="n"/>
      <c r="U6" s="182" t="n"/>
      <c r="V6" s="183" t="n"/>
      <c r="W6" s="183" t="n"/>
      <c r="Y6" s="182">
        <f>IF(X6="ок",N(L6),IF(ISNUMBER(M6),M6*J6,N(L6)))</f>
        <v/>
      </c>
      <c r="Z6" s="182">
        <f>Y6</f>
        <v/>
      </c>
    </row>
    <row r="7" ht="15.75" customHeight="1" s="155">
      <c r="A7" s="85" t="n">
        <v>1.2</v>
      </c>
      <c r="B7" s="6" t="inlineStr">
        <is>
          <t>Диффузор 160 мм (сущ)  исключено</t>
        </is>
      </c>
      <c r="C7" s="7" t="inlineStr">
        <is>
          <t>шт</t>
        </is>
      </c>
      <c r="D7" s="116" t="n"/>
      <c r="E7" s="116" t="n"/>
      <c r="F7" s="116" t="n"/>
      <c r="G7" s="116" t="n"/>
      <c r="H7" s="8" t="n"/>
      <c r="I7" s="49" t="n"/>
      <c r="J7" s="112">
        <f>G7+F7+E7+D7</f>
        <v/>
      </c>
      <c r="K7" s="56" t="n"/>
      <c r="L7" s="87">
        <f>K7*J7</f>
        <v/>
      </c>
      <c r="S7" s="184" t="n">
        <v>600</v>
      </c>
      <c r="T7" s="184">
        <f>S7*16</f>
        <v/>
      </c>
      <c r="U7" s="184">
        <f>T7-Y7</f>
        <v/>
      </c>
      <c r="V7" s="185" t="inlineStr">
        <is>
          <t>Работа выполнена</t>
        </is>
      </c>
      <c r="W7" s="185" t="inlineStr">
        <is>
          <t>Работа выполнена. Объём и цена по Прил. №1 к ДС №1 от 27.07.2026: 16 шт x 600 руб.</t>
        </is>
      </c>
      <c r="Y7" s="182">
        <f>IF(X7="ок",N(L7),IF(ISNUMBER(M7),M7*J7,N(L7)))</f>
        <v/>
      </c>
      <c r="Z7" s="182">
        <f>T7</f>
        <v/>
      </c>
    </row>
    <row r="8" ht="15.75" customHeight="1" s="155">
      <c r="A8" s="85" t="n">
        <v>1.3</v>
      </c>
      <c r="B8" s="6" t="inlineStr">
        <is>
          <t>Диффузор 100 мм</t>
        </is>
      </c>
      <c r="C8" s="7" t="inlineStr">
        <is>
          <t>шт</t>
        </is>
      </c>
      <c r="D8" s="116" t="n">
        <v>2</v>
      </c>
      <c r="E8" s="116" t="n">
        <v>2</v>
      </c>
      <c r="F8" s="116" t="n">
        <v>2</v>
      </c>
      <c r="G8" s="116" t="n">
        <v>2</v>
      </c>
      <c r="H8" s="8" t="n"/>
      <c r="I8" s="49" t="n"/>
      <c r="J8" s="112">
        <f>G8+F8+E8+D8</f>
        <v/>
      </c>
      <c r="K8" s="56" t="inlineStr">
        <is>
          <t>600,00</t>
        </is>
      </c>
      <c r="L8" s="86">
        <f>K8*J8</f>
        <v/>
      </c>
      <c r="S8" s="182" t="n"/>
      <c r="T8" s="182" t="n"/>
      <c r="U8" s="182" t="n"/>
      <c r="V8" s="183" t="n"/>
      <c r="W8" s="183" t="n"/>
      <c r="Y8" s="182">
        <f>IF(X8="ок",N(L8),IF(ISNUMBER(M8),M8*J8,N(L8)))</f>
        <v/>
      </c>
      <c r="Z8" s="182">
        <f>Y8</f>
        <v/>
      </c>
    </row>
    <row r="9" ht="23.25" customHeight="1" s="155">
      <c r="A9" s="85" t="n">
        <v>1.4</v>
      </c>
      <c r="B9" s="6" t="inlineStr">
        <is>
          <t>Решетка щелевая SWANa 2-1200 (сущ) исключено</t>
        </is>
      </c>
      <c r="C9" s="7" t="inlineStr">
        <is>
          <t>шт</t>
        </is>
      </c>
      <c r="D9" s="116" t="n"/>
      <c r="E9" s="116" t="n"/>
      <c r="F9" s="116" t="n"/>
      <c r="G9" s="116" t="n"/>
      <c r="H9" s="8" t="n"/>
      <c r="I9" s="49" t="n"/>
      <c r="J9" s="112">
        <f>G9+F9+E9+D9</f>
        <v/>
      </c>
      <c r="K9" s="56" t="n"/>
      <c r="L9" s="87">
        <f>K9*J9</f>
        <v/>
      </c>
      <c r="S9" s="184" t="n">
        <v>4000</v>
      </c>
      <c r="T9" s="184">
        <f>S9*8</f>
        <v/>
      </c>
      <c r="U9" s="184">
        <f>T9-Y9</f>
        <v/>
      </c>
      <c r="V9" s="185" t="inlineStr">
        <is>
          <t>Работа выполнена</t>
        </is>
      </c>
      <c r="W9" s="185" t="inlineStr">
        <is>
          <t>Работа выполнена. Объём и цена по Прил. №1 к ДС №1 от 27.07.2026: 8 шт x 4000 руб.</t>
        </is>
      </c>
      <c r="Y9" s="182">
        <f>IF(X9="ок",N(L9),IF(ISNUMBER(M9),M9*J9,N(L9)))</f>
        <v/>
      </c>
      <c r="Z9" s="182">
        <f>T9</f>
        <v/>
      </c>
    </row>
    <row r="10" ht="23.25" customHeight="1" s="155">
      <c r="A10" s="85" t="n">
        <v>1.5</v>
      </c>
      <c r="B10" s="6" t="inlineStr">
        <is>
          <t>Регулятор расхода воздуха, Ø100</t>
        </is>
      </c>
      <c r="C10" s="7" t="inlineStr">
        <is>
          <t>шт</t>
        </is>
      </c>
      <c r="D10" s="116">
        <f>21/7</f>
        <v/>
      </c>
      <c r="E10" s="116">
        <f>21/7</f>
        <v/>
      </c>
      <c r="F10" s="116">
        <f>21/7</f>
        <v/>
      </c>
      <c r="G10" s="116">
        <f>21/7</f>
        <v/>
      </c>
      <c r="H10" s="8" t="n"/>
      <c r="I10" s="49" t="n"/>
      <c r="J10" s="112">
        <f>G10+F10+E10+D10</f>
        <v/>
      </c>
      <c r="K10" s="56" t="inlineStr">
        <is>
          <t>950,00</t>
        </is>
      </c>
      <c r="L10" s="86">
        <f>K10*J10</f>
        <v/>
      </c>
      <c r="S10" s="182" t="n"/>
      <c r="T10" s="182" t="n"/>
      <c r="U10" s="182" t="n"/>
      <c r="V10" s="183" t="n"/>
      <c r="W10" s="183" t="n"/>
      <c r="Y10" s="182">
        <f>IF(X10="ок",N(L10),IF(ISNUMBER(M10),M10*J10,N(L10)))</f>
        <v/>
      </c>
      <c r="Z10" s="182">
        <f>Y10</f>
        <v/>
      </c>
    </row>
    <row r="11" ht="23.25" customHeight="1" s="155">
      <c r="A11" s="85" t="n">
        <v>1.6</v>
      </c>
      <c r="B11" s="6" t="inlineStr">
        <is>
          <t>Регулятор расхода воздуха, Ø160</t>
        </is>
      </c>
      <c r="C11" s="7" t="inlineStr">
        <is>
          <t>шт</t>
        </is>
      </c>
      <c r="D11" s="116" t="n">
        <v>15</v>
      </c>
      <c r="E11" s="116" t="n">
        <v>15</v>
      </c>
      <c r="F11" s="116" t="n">
        <v>15</v>
      </c>
      <c r="G11" s="116" t="n">
        <v>15</v>
      </c>
      <c r="H11" s="8" t="n"/>
      <c r="I11" s="49" t="n"/>
      <c r="J11" s="112">
        <f>G11+F11+E11+D11</f>
        <v/>
      </c>
      <c r="K11" s="56" t="inlineStr">
        <is>
          <t>950,00</t>
        </is>
      </c>
      <c r="L11" s="86">
        <f>K11*J11</f>
        <v/>
      </c>
      <c r="S11" s="182" t="n"/>
      <c r="T11" s="182" t="n"/>
      <c r="U11" s="182" t="n"/>
      <c r="V11" s="183" t="n"/>
      <c r="W11" s="183" t="n"/>
      <c r="Y11" s="182">
        <f>IF(X11="ок",N(L11),IF(ISNUMBER(M11),M11*J11,N(L11)))</f>
        <v/>
      </c>
      <c r="Z11" s="182">
        <f>Y11</f>
        <v/>
      </c>
    </row>
    <row r="12" ht="23.25" customHeight="1" s="155">
      <c r="A12" s="85" t="n">
        <v>1.7</v>
      </c>
      <c r="B12" s="6" t="inlineStr">
        <is>
          <t>Регулятор расхода воздуха, Ø200</t>
        </is>
      </c>
      <c r="C12" s="7" t="inlineStr">
        <is>
          <t>шт</t>
        </is>
      </c>
      <c r="D12" s="116" t="n">
        <v>16</v>
      </c>
      <c r="E12" s="116" t="n">
        <v>16</v>
      </c>
      <c r="F12" s="116" t="n">
        <v>16</v>
      </c>
      <c r="G12" s="116" t="n">
        <v>16</v>
      </c>
      <c r="H12" s="8" t="n"/>
      <c r="I12" s="49" t="n"/>
      <c r="J12" s="112">
        <f>G12+F12+E12+D12</f>
        <v/>
      </c>
      <c r="K12" s="56" t="inlineStr">
        <is>
          <t>950,00</t>
        </is>
      </c>
      <c r="L12" s="86">
        <f>K12*J12</f>
        <v/>
      </c>
      <c r="S12" s="182" t="n"/>
      <c r="T12" s="182" t="n"/>
      <c r="U12" s="182" t="n"/>
      <c r="V12" s="183" t="n"/>
      <c r="W12" s="183" t="n"/>
      <c r="Y12" s="182">
        <f>IF(X12="ок",N(L12),IF(ISNUMBER(M12),M12*J12,N(L12)))</f>
        <v/>
      </c>
      <c r="Z12" s="182">
        <f>Y12</f>
        <v/>
      </c>
    </row>
    <row r="13" ht="23.25" customHeight="1" s="155">
      <c r="A13" s="85" t="n">
        <v>1.8</v>
      </c>
      <c r="B13" s="6" t="inlineStr">
        <is>
          <t>Регулятор расхода воздуха, Ø250</t>
        </is>
      </c>
      <c r="C13" s="7" t="inlineStr">
        <is>
          <t>шт</t>
        </is>
      </c>
      <c r="D13" s="116" t="n">
        <v>2</v>
      </c>
      <c r="E13" s="116" t="n">
        <v>2</v>
      </c>
      <c r="F13" s="116" t="n">
        <v>2</v>
      </c>
      <c r="G13" s="116" t="n">
        <v>2</v>
      </c>
      <c r="H13" s="8" t="n"/>
      <c r="I13" s="49" t="n"/>
      <c r="J13" s="112">
        <f>G13+F13+E13+D13</f>
        <v/>
      </c>
      <c r="K13" s="56" t="inlineStr">
        <is>
          <t>950,00</t>
        </is>
      </c>
      <c r="L13" s="86">
        <f>K13*J13</f>
        <v/>
      </c>
      <c r="S13" s="182" t="n"/>
      <c r="T13" s="182" t="n"/>
      <c r="U13" s="182" t="n"/>
      <c r="V13" s="183" t="n"/>
      <c r="W13" s="183" t="n"/>
      <c r="Y13" s="182">
        <f>IF(X13="ок",N(L13),IF(ISNUMBER(M13),M13*J13,N(L13)))</f>
        <v/>
      </c>
      <c r="Z13" s="182">
        <f>Y13</f>
        <v/>
      </c>
    </row>
    <row r="14" ht="23.25" customHeight="1" s="155">
      <c r="A14" s="85" t="n">
        <v>1.9</v>
      </c>
      <c r="B14" s="6" t="inlineStr">
        <is>
          <t>Воздуховод гофрированный 160 исключено</t>
        </is>
      </c>
      <c r="C14" s="7" t="inlineStr">
        <is>
          <t>м</t>
        </is>
      </c>
      <c r="D14" s="116" t="n"/>
      <c r="E14" s="116" t="n"/>
      <c r="F14" s="116" t="n"/>
      <c r="G14" s="116" t="n"/>
      <c r="H14" s="8" t="n"/>
      <c r="I14" s="49" t="n"/>
      <c r="J14" s="112">
        <f>G14+F14+E14+D14</f>
        <v/>
      </c>
      <c r="K14" s="56" t="n"/>
      <c r="L14" s="87">
        <f>K14*J14</f>
        <v/>
      </c>
      <c r="S14" s="184" t="n">
        <v>474.36</v>
      </c>
      <c r="T14" s="184">
        <f>S14*40</f>
        <v/>
      </c>
      <c r="U14" s="184">
        <f>T14-Y14</f>
        <v/>
      </c>
      <c r="V14" s="185" t="inlineStr">
        <is>
          <t>Работа выполнена</t>
        </is>
      </c>
      <c r="W14" s="185" t="inlineStr">
        <is>
          <t>Работа выполнена. Объём и цена по Прил. №1 к ДС №1 от 27.07.2026: 40 м x 474,36 руб.</t>
        </is>
      </c>
      <c r="Y14" s="182">
        <f>IF(X14="ок",N(L14),IF(ISNUMBER(M14),M14*J14,N(L14)))</f>
        <v/>
      </c>
      <c r="Z14" s="182">
        <f>T14</f>
        <v/>
      </c>
    </row>
    <row r="15" ht="23.25" customHeight="1" s="155">
      <c r="A15" s="85" t="n">
        <v>1.1</v>
      </c>
      <c r="B15" s="6" t="inlineStr">
        <is>
          <t>Воздуховод гофрированный 100</t>
        </is>
      </c>
      <c r="C15" s="7" t="inlineStr">
        <is>
          <t>м</t>
        </is>
      </c>
      <c r="D15" s="116" t="n">
        <v>4</v>
      </c>
      <c r="E15" s="116" t="n">
        <v>4</v>
      </c>
      <c r="F15" s="116" t="n">
        <v>4</v>
      </c>
      <c r="G15" s="116" t="n">
        <v>1.5</v>
      </c>
      <c r="H15" s="8" t="n"/>
      <c r="I15" s="49" t="n"/>
      <c r="J15" s="112">
        <f>G15+F15+E15+D15</f>
        <v/>
      </c>
      <c r="K15" s="56" t="inlineStr">
        <is>
          <t>760,00</t>
        </is>
      </c>
      <c r="L15" s="86">
        <f>K15*J15</f>
        <v/>
      </c>
      <c r="S15" s="182" t="n"/>
      <c r="T15" s="182" t="n"/>
      <c r="U15" s="182" t="n"/>
      <c r="V15" s="183" t="n"/>
      <c r="W15" s="183" t="n"/>
      <c r="Y15" s="182">
        <f>IF(X15="ок",N(L15),IF(ISNUMBER(M15),M15*J15,N(L15)))</f>
        <v/>
      </c>
      <c r="Z15" s="182">
        <f>Y15</f>
        <v/>
      </c>
    </row>
    <row r="16" ht="23.25" customHeight="1" s="155">
      <c r="A16" s="85" t="n">
        <v>1.11</v>
      </c>
      <c r="B16" s="6" t="inlineStr">
        <is>
          <t>Воздуховод гофрированный  Ø160 алюдек</t>
        </is>
      </c>
      <c r="C16" s="7" t="inlineStr">
        <is>
          <t>м</t>
        </is>
      </c>
      <c r="D16" s="117" t="n">
        <v>6</v>
      </c>
      <c r="E16" s="117" t="n">
        <v>6</v>
      </c>
      <c r="F16" s="117" t="n">
        <v>6</v>
      </c>
      <c r="G16" s="117" t="n">
        <v>8.5</v>
      </c>
      <c r="H16" s="8" t="n"/>
      <c r="I16" s="49" t="n"/>
      <c r="J16" s="112">
        <f>G16+F16+E16+D16</f>
        <v/>
      </c>
      <c r="K16" s="56" t="inlineStr">
        <is>
          <t>760,00</t>
        </is>
      </c>
      <c r="L16" s="86">
        <f>K16*J16</f>
        <v/>
      </c>
      <c r="S16" s="182" t="n"/>
      <c r="T16" s="182" t="n"/>
      <c r="U16" s="182" t="n"/>
      <c r="V16" s="183" t="n"/>
      <c r="W16" s="183" t="n"/>
      <c r="Y16" s="182">
        <f>IF(X16="ок",N(L16),IF(ISNUMBER(M16),M16*J16,N(L16)))</f>
        <v/>
      </c>
      <c r="Z16" s="182">
        <f>Y16</f>
        <v/>
      </c>
    </row>
    <row r="17" ht="23.25" customHeight="1" s="155">
      <c r="A17" s="85" t="n">
        <v>1.12</v>
      </c>
      <c r="B17" s="6" t="inlineStr">
        <is>
          <t>Воздуховод гофрированный изолированный, Ø160 санодек</t>
        </is>
      </c>
      <c r="C17" s="7" t="inlineStr">
        <is>
          <t>м</t>
        </is>
      </c>
      <c r="D17" s="117" t="n">
        <v>10</v>
      </c>
      <c r="E17" s="117" t="n">
        <v>10</v>
      </c>
      <c r="F17" s="117" t="n">
        <v>15</v>
      </c>
      <c r="G17" s="117" t="n">
        <v>15</v>
      </c>
      <c r="H17" s="8" t="n"/>
      <c r="I17" s="49" t="n"/>
      <c r="J17" s="112">
        <f>G17+F17+E17+D17</f>
        <v/>
      </c>
      <c r="K17" s="56" t="inlineStr">
        <is>
          <t>760,00</t>
        </is>
      </c>
      <c r="L17" s="86">
        <f>K17*J17</f>
        <v/>
      </c>
      <c r="S17" s="182" t="n"/>
      <c r="T17" s="182" t="n"/>
      <c r="U17" s="182" t="n"/>
      <c r="V17" s="183" t="n"/>
      <c r="W17" s="183" t="n"/>
      <c r="Y17" s="182">
        <f>IF(X17="ок",N(L17),IF(ISNUMBER(M17),M17*J17,N(L17)))</f>
        <v/>
      </c>
      <c r="Z17" s="182">
        <f>Y17</f>
        <v/>
      </c>
    </row>
    <row r="18" ht="22.5" customHeight="1" s="155">
      <c r="A18" s="85" t="n">
        <v>1.13</v>
      </c>
      <c r="B18" s="6" t="inlineStr">
        <is>
          <t>Воздуховод(класс герм. "В") толщина лист. стали b-0,5мм 100  -</t>
        </is>
      </c>
      <c r="C18" s="7" t="inlineStr">
        <is>
          <t>м</t>
        </is>
      </c>
      <c r="D18" s="116" t="n">
        <v>1</v>
      </c>
      <c r="E18" s="116" t="n">
        <v>2</v>
      </c>
      <c r="F18" s="116" t="n">
        <v>1</v>
      </c>
      <c r="G18" s="116" t="n">
        <v>1.2</v>
      </c>
      <c r="H18" s="8" t="n"/>
      <c r="I18" s="49" t="n"/>
      <c r="J18" s="112">
        <f>G18+F18+E18+D18</f>
        <v/>
      </c>
      <c r="K18" s="56" t="inlineStr">
        <is>
          <t>950,00</t>
        </is>
      </c>
      <c r="L18" s="86">
        <f>K18*J18</f>
        <v/>
      </c>
      <c r="S18" s="182" t="n"/>
      <c r="T18" s="182" t="n"/>
      <c r="U18" s="182" t="n"/>
      <c r="V18" s="183" t="n"/>
      <c r="W18" s="183" t="n"/>
      <c r="Y18" s="182">
        <f>IF(X18="ок",N(L18),IF(ISNUMBER(M18),M18*J18,N(L18)))</f>
        <v/>
      </c>
      <c r="Z18" s="182">
        <f>Y18</f>
        <v/>
      </c>
    </row>
    <row r="19" ht="22.5" customHeight="1" s="155">
      <c r="A19" s="85" t="n">
        <v>1.14</v>
      </c>
      <c r="B19" s="6" t="inlineStr">
        <is>
          <t>Воздуховод(класс герм. "В") толщина лист. стали b-0,5мм 160</t>
        </is>
      </c>
      <c r="C19" s="7" t="inlineStr">
        <is>
          <t>м</t>
        </is>
      </c>
      <c r="D19" s="116">
        <f>1330/7</f>
        <v/>
      </c>
      <c r="E19" s="116">
        <f>1330/7</f>
        <v/>
      </c>
      <c r="F19" s="116">
        <f>1330/7</f>
        <v/>
      </c>
      <c r="G19" s="116" t="n">
        <v>201.3</v>
      </c>
      <c r="H19" s="8" t="n"/>
      <c r="I19" s="49" t="n"/>
      <c r="J19" s="112">
        <f>G19+F19+E19+D19</f>
        <v/>
      </c>
      <c r="K19" s="56" t="inlineStr">
        <is>
          <t>689,79</t>
        </is>
      </c>
      <c r="L19" s="86">
        <f>K19*J19</f>
        <v/>
      </c>
      <c r="S19" s="182" t="n"/>
      <c r="T19" s="182" t="n"/>
      <c r="U19" s="182" t="n"/>
      <c r="V19" s="183" t="n"/>
      <c r="W19" s="183" t="n"/>
      <c r="Y19" s="182">
        <f>IF(X19="ок",N(L19),IF(ISNUMBER(M19),M19*J19,N(L19)))</f>
        <v/>
      </c>
      <c r="Z19" s="182">
        <f>Y19</f>
        <v/>
      </c>
    </row>
    <row r="20" ht="22.5" customHeight="1" s="155">
      <c r="A20" s="85" t="n">
        <v>1.15</v>
      </c>
      <c r="B20" s="6" t="inlineStr">
        <is>
          <t>Воздуховод(класс герм. "В") толщина лист. стали b-0,5мм 200</t>
        </is>
      </c>
      <c r="C20" s="7" t="inlineStr">
        <is>
          <t>м</t>
        </is>
      </c>
      <c r="D20" s="116" t="n">
        <v>50</v>
      </c>
      <c r="E20" s="116" t="n">
        <v>50</v>
      </c>
      <c r="F20" s="116" t="n">
        <v>50.6</v>
      </c>
      <c r="G20" s="116" t="n">
        <v>54</v>
      </c>
      <c r="H20" s="8" t="n"/>
      <c r="I20" s="49" t="n"/>
      <c r="J20" s="112">
        <f>G20+F20+E20+D20</f>
        <v/>
      </c>
      <c r="K20" s="56" t="inlineStr">
        <is>
          <t>862,23</t>
        </is>
      </c>
      <c r="L20" s="86">
        <f>K20*J20</f>
        <v/>
      </c>
      <c r="S20" s="182" t="n"/>
      <c r="T20" s="182" t="n"/>
      <c r="U20" s="182" t="n"/>
      <c r="V20" s="183" t="n"/>
      <c r="W20" s="183" t="n"/>
      <c r="Y20" s="182">
        <f>IF(X20="ок",N(L20),IF(ISNUMBER(M20),M20*J20,N(L20)))</f>
        <v/>
      </c>
      <c r="Z20" s="182">
        <f>Y20</f>
        <v/>
      </c>
    </row>
    <row r="21" ht="22.5" customHeight="1" s="155">
      <c r="A21" s="85" t="n">
        <v>1.16</v>
      </c>
      <c r="B21" s="6" t="inlineStr">
        <is>
          <t>Воздуховод(класс герм. "В") толщина лист. стали b-0,6мм 250</t>
        </is>
      </c>
      <c r="C21" s="7" t="inlineStr">
        <is>
          <t>м</t>
        </is>
      </c>
      <c r="D21" s="116" t="n">
        <v>1</v>
      </c>
      <c r="E21" s="116" t="n">
        <v>1</v>
      </c>
      <c r="F21" s="116" t="n">
        <v>1</v>
      </c>
      <c r="G21" s="116" t="n">
        <v>1.4</v>
      </c>
      <c r="H21" s="8" t="n"/>
      <c r="I21" s="49" t="n"/>
      <c r="J21" s="112">
        <f>G21+F21+E21+D21</f>
        <v/>
      </c>
      <c r="K21" s="56" t="inlineStr">
        <is>
          <t>1 077,79</t>
        </is>
      </c>
      <c r="L21" s="86">
        <f>K21*J21</f>
        <v/>
      </c>
      <c r="S21" s="182" t="n"/>
      <c r="T21" s="182" t="n"/>
      <c r="U21" s="182" t="n"/>
      <c r="V21" s="183" t="n"/>
      <c r="W21" s="183" t="n"/>
      <c r="Y21" s="182">
        <f>IF(X21="ок",N(L21),IF(ISNUMBER(M21),M21*J21,N(L21)))</f>
        <v/>
      </c>
      <c r="Z21" s="182">
        <f>Y21</f>
        <v/>
      </c>
    </row>
    <row r="22" ht="18" customHeight="1" s="155">
      <c r="A22" s="85" t="n">
        <v>1.17</v>
      </c>
      <c r="B22" s="6" t="inlineStr">
        <is>
          <t>Тройник ф 160</t>
        </is>
      </c>
      <c r="C22" s="7" t="inlineStr">
        <is>
          <t>шт.</t>
        </is>
      </c>
      <c r="D22" s="117" t="n">
        <v>40</v>
      </c>
      <c r="E22" s="117" t="n">
        <v>50</v>
      </c>
      <c r="F22" s="117" t="n">
        <v>45</v>
      </c>
      <c r="G22" s="117" t="n">
        <v>20</v>
      </c>
      <c r="H22" s="8" t="n"/>
      <c r="I22" s="49" t="n"/>
      <c r="J22" s="112">
        <f>G22+F22+E22+D22</f>
        <v/>
      </c>
      <c r="K22" s="56" t="inlineStr">
        <is>
          <t>855,00</t>
        </is>
      </c>
      <c r="L22" s="86">
        <f>K22*J22</f>
        <v/>
      </c>
      <c r="S22" s="182" t="n"/>
      <c r="T22" s="182" t="n"/>
      <c r="U22" s="182" t="n"/>
      <c r="V22" s="183" t="n"/>
      <c r="W22" s="183" t="n"/>
      <c r="Y22" s="182">
        <f>IF(X22="ок",N(L22),IF(ISNUMBER(M22),M22*J22,N(L22)))</f>
        <v/>
      </c>
      <c r="Z22" s="182">
        <f>Y22</f>
        <v/>
      </c>
    </row>
    <row r="23" ht="18" customHeight="1" s="155">
      <c r="A23" s="85" t="n">
        <v>1.18</v>
      </c>
      <c r="B23" s="6" t="inlineStr">
        <is>
          <t>Тройник ф 200</t>
        </is>
      </c>
      <c r="C23" s="7" t="inlineStr">
        <is>
          <t>шт.</t>
        </is>
      </c>
      <c r="D23" s="117" t="n">
        <v>2</v>
      </c>
      <c r="E23" s="117" t="n">
        <v>2</v>
      </c>
      <c r="F23" s="117" t="n">
        <v>2</v>
      </c>
      <c r="G23" s="117" t="n">
        <v>1</v>
      </c>
      <c r="H23" s="8" t="n"/>
      <c r="I23" s="49" t="n"/>
      <c r="J23" s="112">
        <f>G23+F23+E23+D23</f>
        <v/>
      </c>
      <c r="K23" s="56" t="inlineStr">
        <is>
          <t>855,00</t>
        </is>
      </c>
      <c r="L23" s="86">
        <f>K23*J23</f>
        <v/>
      </c>
      <c r="S23" s="182" t="n"/>
      <c r="T23" s="182" t="n"/>
      <c r="U23" s="182" t="n"/>
      <c r="V23" s="183" t="n"/>
      <c r="W23" s="183" t="n"/>
      <c r="Y23" s="182">
        <f>IF(X23="ок",N(L23),IF(ISNUMBER(M23),M23*J23,N(L23)))</f>
        <v/>
      </c>
      <c r="Z23" s="182">
        <f>Y23</f>
        <v/>
      </c>
    </row>
    <row r="24" ht="18" customHeight="1" s="155">
      <c r="A24" s="85" t="n">
        <v>1.19</v>
      </c>
      <c r="B24" s="6" t="inlineStr">
        <is>
          <t>Переход 160-200</t>
        </is>
      </c>
      <c r="C24" s="7" t="inlineStr">
        <is>
          <t>шт.</t>
        </is>
      </c>
      <c r="D24" s="117" t="n">
        <v>25</v>
      </c>
      <c r="E24" s="117" t="n">
        <v>25</v>
      </c>
      <c r="F24" s="117" t="n">
        <v>25</v>
      </c>
      <c r="G24" s="117" t="n">
        <v>29</v>
      </c>
      <c r="H24" s="8" t="n"/>
      <c r="I24" s="49" t="n"/>
      <c r="J24" s="112">
        <f>G24+F24+E24+D24</f>
        <v/>
      </c>
      <c r="K24" s="56" t="inlineStr">
        <is>
          <t>855,00</t>
        </is>
      </c>
      <c r="L24" s="86">
        <f>K24*J24</f>
        <v/>
      </c>
      <c r="S24" s="182" t="n"/>
      <c r="T24" s="182" t="n"/>
      <c r="U24" s="182" t="n"/>
      <c r="V24" s="183" t="n"/>
      <c r="W24" s="183" t="n"/>
      <c r="Y24" s="182">
        <f>IF(X24="ок",N(L24),IF(ISNUMBER(M24),M24*J24,N(L24)))</f>
        <v/>
      </c>
      <c r="Z24" s="182">
        <f>Y24</f>
        <v/>
      </c>
    </row>
    <row r="25" ht="18" customHeight="1" s="155">
      <c r="A25" s="85" t="n">
        <v>1.2</v>
      </c>
      <c r="B25" s="6" t="inlineStr">
        <is>
          <t>Отвод 90   ф160</t>
        </is>
      </c>
      <c r="C25" s="7" t="inlineStr">
        <is>
          <t>шт.</t>
        </is>
      </c>
      <c r="D25" s="117" t="n">
        <v>72</v>
      </c>
      <c r="E25" s="117" t="n">
        <v>70</v>
      </c>
      <c r="F25" s="117" t="n">
        <v>60</v>
      </c>
      <c r="G25" s="117" t="n">
        <v>70</v>
      </c>
      <c r="H25" s="8" t="n"/>
      <c r="I25" s="49" t="n"/>
      <c r="J25" s="112">
        <f>G25+F25+E25+D25</f>
        <v/>
      </c>
      <c r="K25" s="56" t="inlineStr">
        <is>
          <t>855,00</t>
        </is>
      </c>
      <c r="L25" s="86">
        <f>K25*J25</f>
        <v/>
      </c>
      <c r="S25" s="182" t="n"/>
      <c r="T25" s="182" t="n"/>
      <c r="U25" s="182" t="n"/>
      <c r="V25" s="183" t="n"/>
      <c r="W25" s="183" t="n"/>
      <c r="Y25" s="182">
        <f>IF(X25="ок",N(L25),IF(ISNUMBER(M25),M25*J25,N(L25)))</f>
        <v/>
      </c>
      <c r="Z25" s="182">
        <f>Y25</f>
        <v/>
      </c>
    </row>
    <row r="26" ht="18" customHeight="1" s="155">
      <c r="A26" s="85" t="n">
        <v>1.21</v>
      </c>
      <c r="B26" s="6" t="inlineStr">
        <is>
          <t>Отвод 45 Ф160</t>
        </is>
      </c>
      <c r="C26" s="7" t="inlineStr">
        <is>
          <t>шт.</t>
        </is>
      </c>
      <c r="D26" s="117" t="n">
        <v>63</v>
      </c>
      <c r="E26" s="117" t="n">
        <v>60</v>
      </c>
      <c r="F26" s="117" t="n">
        <v>60</v>
      </c>
      <c r="G26" s="117" t="n">
        <v>60</v>
      </c>
      <c r="H26" s="8" t="n"/>
      <c r="I26" s="49" t="n"/>
      <c r="J26" s="112">
        <f>G26+F26+E26+D26</f>
        <v/>
      </c>
      <c r="K26" s="56" t="inlineStr">
        <is>
          <t>855,00</t>
        </is>
      </c>
      <c r="L26" s="86">
        <f>K26*J26</f>
        <v/>
      </c>
      <c r="S26" s="182" t="n"/>
      <c r="T26" s="182" t="n"/>
      <c r="U26" s="182" t="n"/>
      <c r="V26" s="183" t="n"/>
      <c r="W26" s="183" t="n"/>
      <c r="Y26" s="182">
        <f>IF(X26="ок",N(L26),IF(ISNUMBER(M26),M26*J26,N(L26)))</f>
        <v/>
      </c>
      <c r="Z26" s="182">
        <f>Y26</f>
        <v/>
      </c>
    </row>
    <row r="27" ht="18" customHeight="1" s="155">
      <c r="A27" s="85" t="n">
        <v>1.22</v>
      </c>
      <c r="B27" s="6" t="inlineStr">
        <is>
          <t>Тройник 200/160/200 исключено</t>
        </is>
      </c>
      <c r="C27" s="7" t="inlineStr">
        <is>
          <t>шт.</t>
        </is>
      </c>
      <c r="D27" s="117" t="n"/>
      <c r="E27" s="117" t="n"/>
      <c r="F27" s="117" t="n"/>
      <c r="G27" s="117" t="n"/>
      <c r="H27" s="8" t="n"/>
      <c r="I27" s="49" t="n"/>
      <c r="J27" s="112">
        <f>G27+F27+E27+D27</f>
        <v/>
      </c>
      <c r="K27" s="56" t="n"/>
      <c r="L27" s="87">
        <f>K27*J27</f>
        <v/>
      </c>
      <c r="S27" s="184" t="n">
        <v>855</v>
      </c>
      <c r="T27" s="184">
        <f>S27*108</f>
        <v/>
      </c>
      <c r="U27" s="184">
        <f>T27-Y27</f>
        <v/>
      </c>
      <c r="V27" s="185" t="inlineStr">
        <is>
          <t>Работа выполнена</t>
        </is>
      </c>
      <c r="W27" s="185" t="inlineStr">
        <is>
          <t>Работа выполнена. Объём и цена по Прил. №1 к ДС №1 от 27.07.2026: 108 шт. x 855 руб.</t>
        </is>
      </c>
      <c r="Y27" s="182">
        <f>IF(X27="ок",N(L27),IF(ISNUMBER(M27),M27*J27,N(L27)))</f>
        <v/>
      </c>
      <c r="Z27" s="182">
        <f>T27</f>
        <v/>
      </c>
    </row>
    <row r="28" ht="18" customHeight="1" s="155">
      <c r="A28" s="85" t="n">
        <v>1.23</v>
      </c>
      <c r="B28" s="6" t="inlineStr">
        <is>
          <t xml:space="preserve">КВК ф250 исключено </t>
        </is>
      </c>
      <c r="C28" s="7" t="inlineStr">
        <is>
          <t>шт.</t>
        </is>
      </c>
      <c r="D28" s="117" t="n"/>
      <c r="E28" s="117" t="n"/>
      <c r="F28" s="117" t="n"/>
      <c r="G28" s="117" t="n"/>
      <c r="H28" s="8" t="n"/>
      <c r="I28" s="49" t="n"/>
      <c r="J28" s="112">
        <f>G28+F28+E28+D28</f>
        <v/>
      </c>
      <c r="K28" s="56" t="n"/>
      <c r="L28" s="87">
        <f>K28*J28</f>
        <v/>
      </c>
      <c r="S28" s="184" t="n">
        <v>950</v>
      </c>
      <c r="T28" s="184">
        <f>S28*4</f>
        <v/>
      </c>
      <c r="U28" s="184">
        <f>T28-Y28</f>
        <v/>
      </c>
      <c r="V28" s="185" t="inlineStr">
        <is>
          <t>Работа выполнена</t>
        </is>
      </c>
      <c r="W28" s="185" t="inlineStr">
        <is>
          <t>Работа выполнена. Объём и цена по Прил. №1 к ДС №1 от 27.07.2026: 4 шт. x 950 руб.</t>
        </is>
      </c>
      <c r="Y28" s="182">
        <f>IF(X28="ок",N(L28),IF(ISNUMBER(M28),M28*J28,N(L28)))</f>
        <v/>
      </c>
      <c r="Z28" s="182">
        <f>T28</f>
        <v/>
      </c>
    </row>
    <row r="29" ht="18" customHeight="1" s="155">
      <c r="A29" s="85" t="n">
        <v>1.24</v>
      </c>
      <c r="B29" s="6" t="inlineStr">
        <is>
          <t>Переход с воздуховодов на врезку балки</t>
        </is>
      </c>
      <c r="C29" s="7" t="inlineStr">
        <is>
          <t>шт.</t>
        </is>
      </c>
      <c r="D29" s="117" t="n">
        <v>85</v>
      </c>
      <c r="E29" s="117" t="n">
        <v>85</v>
      </c>
      <c r="F29" s="117" t="n">
        <v>85</v>
      </c>
      <c r="G29" s="117" t="n">
        <v>85</v>
      </c>
      <c r="H29" s="8" t="n"/>
      <c r="I29" s="49" t="n"/>
      <c r="J29" s="112">
        <f>G29+F29+E29+D29</f>
        <v/>
      </c>
      <c r="K29" s="56" t="inlineStr">
        <is>
          <t>950,00</t>
        </is>
      </c>
      <c r="L29" s="86">
        <f>K29*J29</f>
        <v/>
      </c>
      <c r="S29" s="182" t="n"/>
      <c r="T29" s="182" t="n"/>
      <c r="U29" s="182" t="n"/>
      <c r="V29" s="183" t="n"/>
      <c r="W29" s="183" t="n"/>
      <c r="Y29" s="182">
        <f>IF(X29="ок",N(L29),IF(ISNUMBER(M29),M29*J29,N(L29)))</f>
        <v/>
      </c>
      <c r="Z29" s="182">
        <f>Y29</f>
        <v/>
      </c>
    </row>
    <row r="30" ht="18" customHeight="1" s="155">
      <c r="A30" s="85" t="n">
        <v>1.25</v>
      </c>
      <c r="B30" s="6" t="inlineStr">
        <is>
          <t>Отвод 90   ф200</t>
        </is>
      </c>
      <c r="C30" s="7" t="inlineStr">
        <is>
          <t>шт.</t>
        </is>
      </c>
      <c r="D30" s="117" t="n">
        <v>8</v>
      </c>
      <c r="E30" s="117" t="n">
        <v>8</v>
      </c>
      <c r="F30" s="117" t="n">
        <v>8</v>
      </c>
      <c r="G30" s="117" t="n">
        <v>8</v>
      </c>
      <c r="H30" s="8" t="n"/>
      <c r="I30" s="49" t="n"/>
      <c r="J30" s="112">
        <f>G30+F30+E30+D30</f>
        <v/>
      </c>
      <c r="K30" s="56" t="inlineStr">
        <is>
          <t>855,00</t>
        </is>
      </c>
      <c r="L30" s="86">
        <f>K30*J30</f>
        <v/>
      </c>
      <c r="S30" s="182" t="n"/>
      <c r="T30" s="182" t="n"/>
      <c r="U30" s="182" t="n"/>
      <c r="V30" s="183" t="n"/>
      <c r="W30" s="183" t="n"/>
      <c r="Y30" s="182">
        <f>IF(X30="ок",N(L30),IF(ISNUMBER(M30),M30*J30,N(L30)))</f>
        <v/>
      </c>
      <c r="Z30" s="182">
        <f>Y30</f>
        <v/>
      </c>
    </row>
    <row r="31" ht="18" customHeight="1" s="155">
      <c r="A31" s="85" t="n">
        <v>1.26</v>
      </c>
      <c r="B31" s="6" t="inlineStr">
        <is>
          <t>Отвод 45   ф 200</t>
        </is>
      </c>
      <c r="C31" s="7" t="inlineStr">
        <is>
          <t>шт.</t>
        </is>
      </c>
      <c r="D31" s="117" t="n">
        <v>25</v>
      </c>
      <c r="E31" s="117" t="n">
        <v>30</v>
      </c>
      <c r="F31" s="117" t="n">
        <v>30</v>
      </c>
      <c r="G31" s="117" t="n">
        <v>28</v>
      </c>
      <c r="H31" s="8" t="n"/>
      <c r="I31" s="49" t="n"/>
      <c r="J31" s="112">
        <f>G31+F31+E31+D31</f>
        <v/>
      </c>
      <c r="K31" s="56" t="inlineStr">
        <is>
          <t>855,00</t>
        </is>
      </c>
      <c r="L31" s="86">
        <f>K31*J31</f>
        <v/>
      </c>
      <c r="S31" s="182" t="n"/>
      <c r="T31" s="182" t="n"/>
      <c r="U31" s="182" t="n"/>
      <c r="V31" s="183" t="n"/>
      <c r="W31" s="183" t="n"/>
      <c r="Y31" s="182">
        <f>IF(X31="ок",N(L31),IF(ISNUMBER(M31),M31*J31,N(L31)))</f>
        <v/>
      </c>
      <c r="Z31" s="182">
        <f>Y31</f>
        <v/>
      </c>
    </row>
    <row r="32" ht="18" customHeight="1" s="155">
      <c r="A32" s="85" t="n">
        <v>1.27</v>
      </c>
      <c r="B32" s="6" t="inlineStr">
        <is>
          <t>КВК ф 200 исключено</t>
        </is>
      </c>
      <c r="C32" s="7" t="inlineStr">
        <is>
          <t>шт.</t>
        </is>
      </c>
      <c r="D32" s="117" t="n"/>
      <c r="E32" s="117" t="n"/>
      <c r="F32" s="117" t="n"/>
      <c r="G32" s="117" t="n"/>
      <c r="H32" s="8" t="n"/>
      <c r="I32" s="49" t="n"/>
      <c r="J32" s="112">
        <f>G32+F32+E32+D32</f>
        <v/>
      </c>
      <c r="K32" s="56" t="n"/>
      <c r="L32" s="87">
        <f>K32*J32</f>
        <v/>
      </c>
      <c r="S32" s="184" t="n">
        <v>950</v>
      </c>
      <c r="T32" s="184">
        <f>S32*88</f>
        <v/>
      </c>
      <c r="U32" s="184">
        <f>T32-Y32</f>
        <v/>
      </c>
      <c r="V32" s="185" t="inlineStr">
        <is>
          <t>Работа выполнена</t>
        </is>
      </c>
      <c r="W32" s="185" t="inlineStr">
        <is>
          <t>Работа выполнена. Объём и цена по Прил. №1 к ДС №1 от 27.07.2026: 88 шт. x 950 руб.</t>
        </is>
      </c>
      <c r="Y32" s="182">
        <f>IF(X32="ок",N(L32),IF(ISNUMBER(M32),M32*J32,N(L32)))</f>
        <v/>
      </c>
      <c r="Z32" s="182">
        <f>T32</f>
        <v/>
      </c>
    </row>
    <row r="33" ht="18" customHeight="1" s="155">
      <c r="A33" s="85" t="n">
        <v>1.28</v>
      </c>
      <c r="B33" s="6" t="inlineStr">
        <is>
          <t>КВК160 исключено</t>
        </is>
      </c>
      <c r="C33" s="7" t="inlineStr">
        <is>
          <t>шт.</t>
        </is>
      </c>
      <c r="D33" s="117" t="n"/>
      <c r="E33" s="117" t="n"/>
      <c r="F33" s="117" t="n"/>
      <c r="G33" s="117" t="n"/>
      <c r="H33" s="8" t="n"/>
      <c r="I33" s="49" t="n"/>
      <c r="J33" s="112">
        <f>G33+F33+E33+D33</f>
        <v/>
      </c>
      <c r="K33" s="56" t="n"/>
      <c r="L33" s="87">
        <f>K33*J33</f>
        <v/>
      </c>
      <c r="S33" s="184" t="n">
        <v>950</v>
      </c>
      <c r="T33" s="184">
        <f>S33*24</f>
        <v/>
      </c>
      <c r="U33" s="184">
        <f>T33-Y33</f>
        <v/>
      </c>
      <c r="V33" s="185" t="inlineStr">
        <is>
          <t>Работа выполнена</t>
        </is>
      </c>
      <c r="W33" s="185" t="inlineStr">
        <is>
          <t>Работа выполнена. Объём и цена по Прил. №1 к ДС №1 от 27.07.2026: 24 шт. x 950 руб.</t>
        </is>
      </c>
      <c r="Y33" s="182">
        <f>IF(X33="ок",N(L33),IF(ISNUMBER(M33),M33*J33,N(L33)))</f>
        <v/>
      </c>
      <c r="Z33" s="182">
        <f>T33</f>
        <v/>
      </c>
    </row>
    <row r="34" ht="18" customHeight="1" s="155">
      <c r="A34" s="85" t="n">
        <v>1.29</v>
      </c>
      <c r="B34" s="6" t="inlineStr">
        <is>
          <t>Отвод 90 ф100</t>
        </is>
      </c>
      <c r="C34" s="7" t="inlineStr">
        <is>
          <t>шт.</t>
        </is>
      </c>
      <c r="D34" s="117" t="n">
        <v>1</v>
      </c>
      <c r="E34" s="117" t="n"/>
      <c r="F34" s="117" t="n">
        <v>1</v>
      </c>
      <c r="G34" s="117" t="n"/>
      <c r="H34" s="8" t="n"/>
      <c r="I34" s="49" t="n"/>
      <c r="J34" s="112">
        <f>G34+F34+E34+D34</f>
        <v/>
      </c>
      <c r="K34" s="56" t="inlineStr">
        <is>
          <t>855,00</t>
        </is>
      </c>
      <c r="L34" s="86">
        <f>K34*J34</f>
        <v/>
      </c>
      <c r="S34" s="182" t="n"/>
      <c r="T34" s="182" t="n"/>
      <c r="U34" s="182" t="n"/>
      <c r="V34" s="183" t="n"/>
      <c r="W34" s="183" t="n"/>
      <c r="Y34" s="182">
        <f>IF(X34="ок",N(L34),IF(ISNUMBER(M34),M34*J34,N(L34)))</f>
        <v/>
      </c>
      <c r="Z34" s="182">
        <f>Y34</f>
        <v/>
      </c>
    </row>
    <row r="35" ht="18" customHeight="1" s="155">
      <c r="A35" s="85" t="n">
        <v>1.3</v>
      </c>
      <c r="B35" s="6" t="inlineStr">
        <is>
          <t>Переход 250\200</t>
        </is>
      </c>
      <c r="C35" s="7" t="inlineStr">
        <is>
          <t>шт.</t>
        </is>
      </c>
      <c r="D35" s="117" t="n">
        <v>2</v>
      </c>
      <c r="E35" s="117" t="n">
        <v>3</v>
      </c>
      <c r="F35" s="117" t="n">
        <v>3</v>
      </c>
      <c r="G35" s="117" t="n">
        <v>2</v>
      </c>
      <c r="H35" s="8" t="n"/>
      <c r="I35" s="49" t="n"/>
      <c r="J35" s="112">
        <f>G35+F35+E35+D35</f>
        <v/>
      </c>
      <c r="K35" s="56" t="inlineStr">
        <is>
          <t>855,00</t>
        </is>
      </c>
      <c r="L35" s="86">
        <f>K35*J35</f>
        <v/>
      </c>
      <c r="S35" s="182" t="n"/>
      <c r="T35" s="182" t="n"/>
      <c r="U35" s="182" t="n"/>
      <c r="V35" s="183" t="n"/>
      <c r="W35" s="183" t="n"/>
      <c r="Y35" s="182">
        <f>IF(X35="ок",N(L35),IF(ISNUMBER(M35),M35*J35,N(L35)))</f>
        <v/>
      </c>
      <c r="Z35" s="182">
        <f>Y35</f>
        <v/>
      </c>
    </row>
    <row r="36" ht="18" customHeight="1" s="155">
      <c r="A36" s="85" t="n">
        <v>1.31</v>
      </c>
      <c r="B36" s="6" t="inlineStr">
        <is>
          <t>КВК ф100 исключено</t>
        </is>
      </c>
      <c r="C36" s="7" t="inlineStr">
        <is>
          <t>шт.</t>
        </is>
      </c>
      <c r="D36" s="117" t="n"/>
      <c r="E36" s="117" t="n"/>
      <c r="F36" s="117" t="n"/>
      <c r="G36" s="117" t="n"/>
      <c r="H36" s="8" t="n"/>
      <c r="I36" s="49" t="n"/>
      <c r="J36" s="112">
        <f>G36+F36+E36+D36</f>
        <v/>
      </c>
      <c r="K36" s="56" t="n"/>
      <c r="L36" s="87">
        <f>K36*J36</f>
        <v/>
      </c>
      <c r="S36" s="184" t="n">
        <v>950</v>
      </c>
      <c r="T36" s="184">
        <f>S36*4</f>
        <v/>
      </c>
      <c r="U36" s="184">
        <f>T36-Y36</f>
        <v/>
      </c>
      <c r="V36" s="185" t="inlineStr">
        <is>
          <t>Работа выполнена</t>
        </is>
      </c>
      <c r="W36" s="185" t="inlineStr">
        <is>
          <t>Работа выполнена. Объём и цена по Прил. №1 к ДС №1 от 27.07.2026: 4 шт. x 950 руб.</t>
        </is>
      </c>
      <c r="Y36" s="182">
        <f>IF(X36="ок",N(L36),IF(ISNUMBER(M36),M36*J36,N(L36)))</f>
        <v/>
      </c>
      <c r="Z36" s="182">
        <f>T36</f>
        <v/>
      </c>
    </row>
    <row r="37" ht="18" customHeight="1" s="155">
      <c r="A37" s="85" t="n">
        <v>1.32</v>
      </c>
      <c r="B37" s="6" t="inlineStr">
        <is>
          <t>Проделка отверстий</t>
        </is>
      </c>
      <c r="C37" s="7" t="inlineStr">
        <is>
          <t>шт.</t>
        </is>
      </c>
      <c r="D37" s="117" t="n">
        <v>32</v>
      </c>
      <c r="E37" s="117" t="n">
        <v>32</v>
      </c>
      <c r="F37" s="117" t="n">
        <v>32</v>
      </c>
      <c r="G37" s="117" t="n">
        <v>32</v>
      </c>
      <c r="H37" s="8" t="n"/>
      <c r="I37" s="49" t="n"/>
      <c r="J37" s="112">
        <f>G37+F37+E37+D37</f>
        <v/>
      </c>
      <c r="K37" s="56" t="inlineStr">
        <is>
          <t>570,00</t>
        </is>
      </c>
      <c r="L37" s="86">
        <f>K37*J37</f>
        <v/>
      </c>
      <c r="S37" s="182" t="n"/>
      <c r="T37" s="182" t="n"/>
      <c r="U37" s="182" t="n"/>
      <c r="V37" s="183" t="n"/>
      <c r="W37" s="183" t="n"/>
      <c r="Y37" s="182">
        <f>IF(X37="ок",N(L37),IF(ISNUMBER(M37),M37*J37,N(L37)))</f>
        <v/>
      </c>
      <c r="Z37" s="182">
        <f>Y37</f>
        <v/>
      </c>
    </row>
    <row r="38" ht="30.75" customHeight="1" s="155">
      <c r="A38" s="85" t="n">
        <v>1.33</v>
      </c>
      <c r="B38" s="10" t="inlineStr">
        <is>
          <t>Универсальная теплоизоляция в виде рулонов, толщиной 6 мм K-
Flex-ST</t>
        </is>
      </c>
      <c r="C38" s="7" t="inlineStr">
        <is>
          <t>м2</t>
        </is>
      </c>
      <c r="D38" s="116" t="n">
        <v>220</v>
      </c>
      <c r="E38" s="116" t="n">
        <v>220</v>
      </c>
      <c r="F38" s="116" t="n">
        <v>220</v>
      </c>
      <c r="G38" s="116" t="n">
        <v>222</v>
      </c>
      <c r="H38" s="8" t="n"/>
      <c r="I38" s="49" t="n"/>
      <c r="J38" s="112">
        <f>G38+F38+E38+D38</f>
        <v/>
      </c>
      <c r="K38" s="126" t="inlineStr">
        <is>
          <t>665,89</t>
        </is>
      </c>
      <c r="L38" s="86">
        <f>K38*J38</f>
        <v/>
      </c>
      <c r="M38" s="170" t="n">
        <v>570</v>
      </c>
      <c r="N38" s="170" t="inlineStr">
        <is>
          <t>р по договору</t>
        </is>
      </c>
      <c r="O38" s="125" t="inlineStr">
        <is>
          <t>Цена Согласована Марк</t>
        </is>
      </c>
      <c r="P38" s="186">
        <f>M38*J38</f>
        <v/>
      </c>
      <c r="Q38" s="186">
        <f>P38-L38</f>
        <v/>
      </c>
      <c r="S38" s="184" t="n">
        <v>665.89</v>
      </c>
      <c r="T38" s="184">
        <f>S38*J38</f>
        <v/>
      </c>
      <c r="U38" s="184">
        <f>T38-Y38</f>
        <v/>
      </c>
      <c r="V38" s="185" t="inlineStr">
        <is>
          <t>Цена ДС №1</t>
        </is>
      </c>
      <c r="W38" s="185" t="inlineStr">
        <is>
          <t>Подписанная цена Прил. №1 к ДС №1 от 27.07.2026 (п. 10.1 Договора).</t>
        </is>
      </c>
      <c r="Y38" s="182">
        <f>IF(X38="ок",N(L38),IF(ISNUMBER(M38),M38*J38,N(L38)))</f>
        <v/>
      </c>
      <c r="Z38" s="182">
        <f>T38</f>
        <v/>
      </c>
    </row>
    <row r="39" ht="30.75" customHeight="1" s="155">
      <c r="A39" s="85" t="n">
        <v>1.34</v>
      </c>
      <c r="B39" s="6" t="inlineStr">
        <is>
          <t>ПНР 3-10 эт</t>
        </is>
      </c>
      <c r="C39" s="7" t="inlineStr">
        <is>
          <t>комп</t>
        </is>
      </c>
      <c r="D39" s="116" t="n">
        <v>1</v>
      </c>
      <c r="E39" s="116" t="n">
        <v>1</v>
      </c>
      <c r="F39" s="116" t="n">
        <v>1</v>
      </c>
      <c r="G39" s="116" t="n">
        <v>1</v>
      </c>
      <c r="H39" s="8" t="n"/>
      <c r="I39" s="49" t="n"/>
      <c r="J39" s="112">
        <f>G39+F39+E39+D39</f>
        <v/>
      </c>
      <c r="K39" s="56" t="inlineStr">
        <is>
          <t>95 238,10</t>
        </is>
      </c>
      <c r="L39" s="86">
        <f>K39*J39</f>
        <v/>
      </c>
      <c r="S39" s="182" t="n"/>
      <c r="T39" s="182" t="n"/>
      <c r="U39" s="182" t="n"/>
      <c r="V39" s="183" t="n"/>
      <c r="W39" s="183" t="n"/>
      <c r="Y39" s="182">
        <f>IF(X39="ок",N(L39),IF(ISNUMBER(M39),M39*J39,N(L39)))</f>
        <v/>
      </c>
      <c r="Z39" s="182">
        <f>Y39</f>
        <v/>
      </c>
    </row>
    <row r="40" ht="27.75" customHeight="1" s="155">
      <c r="A40" s="88" t="n">
        <v>2</v>
      </c>
      <c r="B40" s="27" t="inlineStr">
        <is>
          <t>Кондиционирование</t>
        </is>
      </c>
      <c r="C40" s="28" t="n"/>
      <c r="D40" s="29" t="n"/>
      <c r="E40" s="29" t="n"/>
      <c r="F40" s="29" t="n"/>
      <c r="G40" s="29" t="n"/>
      <c r="H40" s="29" t="n"/>
      <c r="I40" s="37" t="n"/>
      <c r="J40" s="59" t="n"/>
      <c r="K40" s="55" t="n"/>
      <c r="L40" s="89">
        <f>SUM(L41:L83)</f>
        <v/>
      </c>
      <c r="S40" s="180" t="n"/>
      <c r="T40" s="180" t="n"/>
      <c r="U40" s="180" t="n"/>
      <c r="V40" s="180" t="n"/>
      <c r="W40" s="180" t="n"/>
      <c r="Y40" s="180" t="n"/>
      <c r="Z40" s="180" t="n"/>
    </row>
    <row r="41" ht="22.5" customHeight="1" s="155">
      <c r="A41" s="90" t="n"/>
      <c r="B41" s="24" t="inlineStr">
        <is>
          <t>Внутренние блоки:</t>
        </is>
      </c>
      <c r="C41" s="11" t="n"/>
      <c r="D41" s="116" t="n"/>
      <c r="E41" s="116" t="n"/>
      <c r="F41" s="116" t="n"/>
      <c r="G41" s="116" t="n"/>
      <c r="H41" s="11" t="n"/>
      <c r="I41" s="50" t="n"/>
      <c r="J41" s="113" t="inlineStr">
        <is>
          <t>0,00</t>
        </is>
      </c>
      <c r="K41" s="57" t="n"/>
      <c r="L41" s="91" t="n"/>
      <c r="S41" s="180" t="n"/>
      <c r="T41" s="180" t="n"/>
      <c r="U41" s="180" t="n"/>
      <c r="V41" s="180" t="n"/>
      <c r="W41" s="180" t="n"/>
      <c r="Y41" s="180" t="n"/>
      <c r="Z41" s="180" t="n"/>
    </row>
    <row r="42" ht="28.5" customHeight="1" s="155">
      <c r="A42" s="85" t="n">
        <v>2.1</v>
      </c>
      <c r="B42" s="6" t="inlineStr">
        <is>
          <t>Климатическая балка Swegon PARASOL</t>
        </is>
      </c>
      <c r="C42" s="12" t="inlineStr">
        <is>
          <t>шт.</t>
        </is>
      </c>
      <c r="D42" s="116" t="n">
        <v>85</v>
      </c>
      <c r="E42" s="116" t="n">
        <v>85</v>
      </c>
      <c r="F42" s="116" t="n">
        <v>85</v>
      </c>
      <c r="G42" s="116" t="n">
        <v>85</v>
      </c>
      <c r="H42" s="12" t="n"/>
      <c r="I42" s="7" t="n"/>
      <c r="J42" s="113">
        <f>G42+F42+E42+D42</f>
        <v/>
      </c>
      <c r="K42" s="56" t="inlineStr">
        <is>
          <t>10 000,00</t>
        </is>
      </c>
      <c r="L42" s="86">
        <f>K42*J42</f>
        <v/>
      </c>
      <c r="S42" s="182" t="n"/>
      <c r="T42" s="182" t="n"/>
      <c r="U42" s="182" t="n"/>
      <c r="V42" s="183" t="n"/>
      <c r="W42" s="183" t="n"/>
      <c r="Y42" s="182">
        <f>IF(X42="ок",N(L42),IF(ISNUMBER(M42),M42*J42,N(L42)))</f>
        <v/>
      </c>
      <c r="Z42" s="182">
        <f>Y42</f>
        <v/>
      </c>
    </row>
    <row r="43" ht="28.5" customHeight="1" s="155">
      <c r="A43" s="85" t="n">
        <v>2.2</v>
      </c>
      <c r="B43" s="6" t="inlineStr">
        <is>
          <t>Решетка защитная круглая, Ø160</t>
        </is>
      </c>
      <c r="C43" s="12" t="inlineStr">
        <is>
          <t>шт.</t>
        </is>
      </c>
      <c r="D43" s="116">
        <f>126/7</f>
        <v/>
      </c>
      <c r="E43" s="116">
        <f>126/7</f>
        <v/>
      </c>
      <c r="F43" s="116">
        <f>126/7</f>
        <v/>
      </c>
      <c r="G43" s="116">
        <f>126/7</f>
        <v/>
      </c>
      <c r="H43" s="12" t="n"/>
      <c r="I43" s="7" t="n"/>
      <c r="J43" s="113">
        <f>G43+F43+E43+D43</f>
        <v/>
      </c>
      <c r="K43" s="56" t="inlineStr">
        <is>
          <t>1 425,00</t>
        </is>
      </c>
      <c r="L43" s="86">
        <f>K43*J43</f>
        <v/>
      </c>
      <c r="S43" s="182" t="n"/>
      <c r="T43" s="182" t="n"/>
      <c r="U43" s="182" t="n"/>
      <c r="V43" s="183" t="n"/>
      <c r="W43" s="183" t="n"/>
      <c r="Y43" s="182">
        <f>IF(X43="ок",N(L43),IF(ISNUMBER(M43),M43*J43,N(L43)))</f>
        <v/>
      </c>
      <c r="Z43" s="182">
        <f>Y43</f>
        <v/>
      </c>
    </row>
    <row r="44" ht="28.5" customHeight="1" s="155">
      <c r="A44" s="85" t="n">
        <v>2.3</v>
      </c>
      <c r="B44" s="6" t="inlineStr">
        <is>
          <t>Решетка защитная круглая, Ø200</t>
        </is>
      </c>
      <c r="C44" s="12" t="inlineStr">
        <is>
          <t>шт.</t>
        </is>
      </c>
      <c r="D44" s="116">
        <f>42/7</f>
        <v/>
      </c>
      <c r="E44" s="116">
        <f>42/7</f>
        <v/>
      </c>
      <c r="F44" s="116">
        <f>42/7</f>
        <v/>
      </c>
      <c r="G44" s="116">
        <f>42/7</f>
        <v/>
      </c>
      <c r="H44" s="12" t="n"/>
      <c r="I44" s="7" t="n"/>
      <c r="J44" s="113">
        <f>G44+F44+E44+D44</f>
        <v/>
      </c>
      <c r="K44" s="56" t="inlineStr">
        <is>
          <t>1 425,00</t>
        </is>
      </c>
      <c r="L44" s="86">
        <f>K44*J44</f>
        <v/>
      </c>
      <c r="S44" s="182" t="n"/>
      <c r="T44" s="182" t="n"/>
      <c r="U44" s="182" t="n"/>
      <c r="V44" s="183" t="n"/>
      <c r="W44" s="183" t="n"/>
      <c r="Y44" s="182">
        <f>IF(X44="ок",N(L44),IF(ISNUMBER(M44),M44*J44,N(L44)))</f>
        <v/>
      </c>
      <c r="Z44" s="182">
        <f>Y44</f>
        <v/>
      </c>
    </row>
    <row r="45" ht="28.5" customHeight="1" s="155">
      <c r="A45" s="85" t="n">
        <v>2.4</v>
      </c>
      <c r="B45" s="6" t="inlineStr">
        <is>
          <t>Решетка защитная прямоугольная, 400х200</t>
        </is>
      </c>
      <c r="C45" s="12" t="inlineStr">
        <is>
          <t>шт.</t>
        </is>
      </c>
      <c r="D45" s="116" t="n">
        <v>1</v>
      </c>
      <c r="E45" s="116" t="n">
        <v>1</v>
      </c>
      <c r="F45" s="116" t="n">
        <v>1</v>
      </c>
      <c r="G45" s="116" t="n">
        <v>1</v>
      </c>
      <c r="H45" s="12" t="n"/>
      <c r="I45" s="7" t="n"/>
      <c r="J45" s="113">
        <f>G45+F45+E45+D45</f>
        <v/>
      </c>
      <c r="K45" s="56" t="inlineStr">
        <is>
          <t>1 710,00</t>
        </is>
      </c>
      <c r="L45" s="86">
        <f>K45*J45</f>
        <v/>
      </c>
      <c r="S45" s="182" t="n"/>
      <c r="T45" s="182" t="n"/>
      <c r="U45" s="182" t="n"/>
      <c r="V45" s="183" t="n"/>
      <c r="W45" s="183" t="n"/>
      <c r="Y45" s="182">
        <f>IF(X45="ок",N(L45),IF(ISNUMBER(M45),M45*J45,N(L45)))</f>
        <v/>
      </c>
      <c r="Z45" s="182">
        <f>Y45</f>
        <v/>
      </c>
    </row>
    <row r="46" ht="28.5" customHeight="1" s="155">
      <c r="A46" s="85" t="n">
        <v>2.5</v>
      </c>
      <c r="B46" s="6" t="inlineStr">
        <is>
          <t>Ручной балансировочный клапан, Ду15 STAD ТА</t>
        </is>
      </c>
      <c r="C46" s="12" t="inlineStr">
        <is>
          <t>шт.</t>
        </is>
      </c>
      <c r="D46" s="116">
        <f>35/7</f>
        <v/>
      </c>
      <c r="E46" s="116">
        <f>35/7</f>
        <v/>
      </c>
      <c r="F46" s="116">
        <f>35/7</f>
        <v/>
      </c>
      <c r="G46" s="116">
        <f>35/7</f>
        <v/>
      </c>
      <c r="H46" s="12" t="n"/>
      <c r="I46" s="7" t="n"/>
      <c r="J46" s="113">
        <f>G46+F46+E46+D46</f>
        <v/>
      </c>
      <c r="K46" s="56" t="inlineStr">
        <is>
          <t>1 900,00</t>
        </is>
      </c>
      <c r="L46" s="86">
        <f>K46*J46</f>
        <v/>
      </c>
      <c r="S46" s="182" t="n"/>
      <c r="T46" s="182" t="n"/>
      <c r="U46" s="182" t="n"/>
      <c r="V46" s="183" t="n"/>
      <c r="W46" s="183" t="n"/>
      <c r="Y46" s="182">
        <f>IF(X46="ок",N(L46),IF(ISNUMBER(M46),M46*J46,N(L46)))</f>
        <v/>
      </c>
      <c r="Z46" s="182">
        <f>Y46</f>
        <v/>
      </c>
    </row>
    <row r="47" ht="28.5" customHeight="1" s="155">
      <c r="A47" s="85" t="n">
        <v>2.6</v>
      </c>
      <c r="B47" s="10" t="inlineStr">
        <is>
          <t>Шаровый кран полнопроходной с накидной гайкой, Ду15 BVR-
FR 065B8303RG Ридан</t>
        </is>
      </c>
      <c r="C47" s="12" t="inlineStr">
        <is>
          <t>шт.</t>
        </is>
      </c>
      <c r="D47" s="116" t="n">
        <v>10</v>
      </c>
      <c r="E47" s="116" t="n">
        <v>10</v>
      </c>
      <c r="F47" s="116" t="n">
        <v>10</v>
      </c>
      <c r="G47" s="116" t="n">
        <v>10</v>
      </c>
      <c r="H47" s="12" t="n"/>
      <c r="I47" s="7" t="n"/>
      <c r="J47" s="113">
        <f>G47+F47+E47+D47</f>
        <v/>
      </c>
      <c r="K47" s="56" t="inlineStr">
        <is>
          <t>1 710,00</t>
        </is>
      </c>
      <c r="L47" s="86">
        <f>K47*J47</f>
        <v/>
      </c>
      <c r="S47" s="182" t="n"/>
      <c r="T47" s="182" t="n"/>
      <c r="U47" s="182" t="n"/>
      <c r="V47" s="183" t="n"/>
      <c r="W47" s="183" t="n"/>
      <c r="Y47" s="182">
        <f>IF(X47="ок",N(L47),IF(ISNUMBER(M47),M47*J47,N(L47)))</f>
        <v/>
      </c>
      <c r="Z47" s="182">
        <f>Y47</f>
        <v/>
      </c>
    </row>
    <row r="48" ht="28.5" customHeight="1" s="155">
      <c r="A48" s="85" t="n">
        <v>2.7</v>
      </c>
      <c r="B48" s="6" t="inlineStr">
        <is>
          <t>Узел регулирования климатической балки 1/2 Modulator ½</t>
        </is>
      </c>
      <c r="C48" s="12" t="inlineStr">
        <is>
          <t>шт.</t>
        </is>
      </c>
      <c r="D48" s="116">
        <f>D42</f>
        <v/>
      </c>
      <c r="E48" s="116">
        <f>E42</f>
        <v/>
      </c>
      <c r="F48" s="116">
        <f>F42</f>
        <v/>
      </c>
      <c r="G48" s="116">
        <f>G42</f>
        <v/>
      </c>
      <c r="H48" s="12" t="n"/>
      <c r="I48" s="7" t="n"/>
      <c r="J48" s="113">
        <f>G48+F48+E48+D48</f>
        <v/>
      </c>
      <c r="K48" s="130" t="n">
        <v>2500</v>
      </c>
      <c r="L48" s="86">
        <f>K48*J48</f>
        <v/>
      </c>
      <c r="M48" s="124" t="n">
        <v>2500</v>
      </c>
      <c r="N48" s="119" t="inlineStr">
        <is>
          <t>по договоренности</t>
        </is>
      </c>
      <c r="P48" s="186">
        <f>M48*J48</f>
        <v/>
      </c>
      <c r="Q48" s="186">
        <f>P48-L48</f>
        <v/>
      </c>
      <c r="S48" s="184" t="n">
        <v>6650</v>
      </c>
      <c r="T48" s="184">
        <f>S48*J48</f>
        <v/>
      </c>
      <c r="U48" s="184">
        <f>T48-Y48</f>
        <v/>
      </c>
      <c r="V48" s="185" t="inlineStr">
        <is>
          <t>Цена ДС №1</t>
        </is>
      </c>
      <c r="W48" s="185" t="inlineStr">
        <is>
          <t>Подписанная цена Прил. №1 к ДС №1 от 27.07.2026 (п. 10.1 Договора).</t>
        </is>
      </c>
      <c r="Y48" s="182">
        <f>IF(X48="ок",N(L48),IF(ISNUMBER(M48),M48*J48,N(L48)))</f>
        <v/>
      </c>
      <c r="Z48" s="182">
        <f>T48</f>
        <v/>
      </c>
    </row>
    <row r="49" ht="28.5" customHeight="1" s="155">
      <c r="A49" s="85" t="n">
        <v>2.8</v>
      </c>
      <c r="B49" s="6" t="inlineStr">
        <is>
          <t>Автоматический воздухоотводчик, ½” Danfoss Airvent 065B8323R</t>
        </is>
      </c>
      <c r="C49" s="12" t="inlineStr">
        <is>
          <t>шт.</t>
        </is>
      </c>
      <c r="D49" s="116" t="n">
        <v>10</v>
      </c>
      <c r="E49" s="116" t="n">
        <v>10</v>
      </c>
      <c r="F49" s="116" t="n">
        <v>10</v>
      </c>
      <c r="G49" s="116" t="n">
        <v>10</v>
      </c>
      <c r="H49" s="12" t="n"/>
      <c r="I49" s="7" t="n"/>
      <c r="J49" s="113">
        <f>G49+F49+E49+D49</f>
        <v/>
      </c>
      <c r="K49" s="120" t="inlineStr">
        <is>
          <t>500,00</t>
        </is>
      </c>
      <c r="L49" s="86">
        <f>K49*J49</f>
        <v/>
      </c>
      <c r="S49" s="182" t="n"/>
      <c r="T49" s="182" t="n"/>
      <c r="U49" s="182" t="n"/>
      <c r="V49" s="183" t="n"/>
      <c r="W49" s="183" t="n"/>
      <c r="Y49" s="182">
        <f>IF(X49="ок",N(L49),IF(ISNUMBER(M49),M49*J49,N(L49)))</f>
        <v/>
      </c>
      <c r="Z49" s="182">
        <f>Y49</f>
        <v/>
      </c>
    </row>
    <row r="50" ht="28.5" customHeight="1" s="155">
      <c r="A50" s="85" t="n">
        <v>2.9</v>
      </c>
      <c r="B50" s="10" t="inlineStr">
        <is>
          <t>Трубопровод из полимерных труб РЕХ-а, Дн25х3.5 REHAU
Rautitan Flex 11303701006</t>
        </is>
      </c>
      <c r="C50" s="12" t="inlineStr">
        <is>
          <t>м.п.</t>
        </is>
      </c>
      <c r="D50" s="116">
        <f>2240/7</f>
        <v/>
      </c>
      <c r="E50" s="116">
        <f>2240/7</f>
        <v/>
      </c>
      <c r="F50" s="116">
        <f>2240/7</f>
        <v/>
      </c>
      <c r="G50" s="116">
        <f>2240/7</f>
        <v/>
      </c>
      <c r="H50" s="12" t="n"/>
      <c r="I50" s="7" t="n"/>
      <c r="J50" s="113">
        <f>G50+F50+E50+D50</f>
        <v/>
      </c>
      <c r="K50" s="126" t="n">
        <v>500</v>
      </c>
      <c r="L50" s="86">
        <f>K50*J50</f>
        <v/>
      </c>
      <c r="M50" s="170" t="n">
        <v>400</v>
      </c>
      <c r="N50" s="119" t="inlineStr">
        <is>
          <t>по договру</t>
        </is>
      </c>
      <c r="O50" s="125" t="inlineStr">
        <is>
          <t>Цена Согласована Марк</t>
        </is>
      </c>
      <c r="P50" s="186">
        <f>M50*J50</f>
        <v/>
      </c>
      <c r="Q50" s="186">
        <f>P50-L50</f>
        <v/>
      </c>
      <c r="S50" s="182" t="n"/>
      <c r="T50" s="182" t="n"/>
      <c r="U50" s="182" t="n"/>
      <c r="V50" s="183" t="n"/>
      <c r="W50" s="183" t="n"/>
      <c r="Y50" s="182">
        <f>IF(X50="ок",N(L50),IF(ISNUMBER(M50),M50*J50,N(L50)))</f>
        <v/>
      </c>
      <c r="Z50" s="182">
        <f>Y50</f>
        <v/>
      </c>
    </row>
    <row r="51" ht="28.5" customHeight="1" s="155">
      <c r="A51" s="85" t="n">
        <v>2.1</v>
      </c>
      <c r="B51" s="10" t="inlineStr">
        <is>
          <t>Трубопровод из полимерных труб РЕХ-а, Дн32х3.5 REHAU
Rautitan Flex</t>
        </is>
      </c>
      <c r="C51" s="12" t="inlineStr">
        <is>
          <t>м.п.</t>
        </is>
      </c>
      <c r="D51" s="116">
        <f>1400/7</f>
        <v/>
      </c>
      <c r="E51" s="116">
        <f>1400/7</f>
        <v/>
      </c>
      <c r="F51" s="116">
        <f>1400/7</f>
        <v/>
      </c>
      <c r="G51" s="116">
        <f>1400/7</f>
        <v/>
      </c>
      <c r="H51" s="12" t="n"/>
      <c r="I51" s="7" t="n"/>
      <c r="J51" s="113">
        <f>G51+F51+E51+D51</f>
        <v/>
      </c>
      <c r="K51" s="126" t="n">
        <v>500</v>
      </c>
      <c r="L51" s="86">
        <f>K51*J51</f>
        <v/>
      </c>
      <c r="M51" s="170" t="n">
        <v>400</v>
      </c>
      <c r="N51" s="119" t="inlineStr">
        <is>
          <t>по договру</t>
        </is>
      </c>
      <c r="O51" s="125" t="inlineStr">
        <is>
          <t>Цена Согласована Марк</t>
        </is>
      </c>
      <c r="P51" s="186">
        <f>M51*J51</f>
        <v/>
      </c>
      <c r="Q51" s="186">
        <f>P51-L51</f>
        <v/>
      </c>
      <c r="S51" s="182" t="n"/>
      <c r="T51" s="182" t="n"/>
      <c r="U51" s="182" t="n"/>
      <c r="V51" s="183" t="n"/>
      <c r="W51" s="183" t="n"/>
      <c r="Y51" s="182">
        <f>IF(X51="ок",N(L51),IF(ISNUMBER(M51),M51*J51,N(L51)))</f>
        <v/>
      </c>
      <c r="Z51" s="182">
        <f>Y51</f>
        <v/>
      </c>
    </row>
    <row r="52" ht="28.5" customHeight="1" s="155">
      <c r="A52" s="85" t="n">
        <v>2.11</v>
      </c>
      <c r="B52" s="10" t="inlineStr">
        <is>
          <t>Трубопровод из полимерных труб РЕХ-а, Дн40х3.5 REHAU
Rautitan Flex</t>
        </is>
      </c>
      <c r="C52" s="12" t="inlineStr">
        <is>
          <t>м.п.</t>
        </is>
      </c>
      <c r="D52" s="116">
        <f>350/7</f>
        <v/>
      </c>
      <c r="E52" s="116">
        <f>350/7</f>
        <v/>
      </c>
      <c r="F52" s="116">
        <f>350/7</f>
        <v/>
      </c>
      <c r="G52" s="116">
        <f>350/7</f>
        <v/>
      </c>
      <c r="H52" s="12" t="n"/>
      <c r="I52" s="7" t="n"/>
      <c r="J52" s="113">
        <f>G52+F52+E52+D52</f>
        <v/>
      </c>
      <c r="K52" s="56" t="inlineStr">
        <is>
          <t>684,00</t>
        </is>
      </c>
      <c r="L52" s="86">
        <f>K52*J52</f>
        <v/>
      </c>
      <c r="S52" s="182" t="n"/>
      <c r="T52" s="182" t="n"/>
      <c r="U52" s="182" t="n"/>
      <c r="V52" s="183" t="n"/>
      <c r="W52" s="183" t="n"/>
      <c r="Y52" s="182">
        <f>IF(X52="ок",N(L52),IF(ISNUMBER(M52),M52*J52,N(L52)))</f>
        <v/>
      </c>
      <c r="Z52" s="182">
        <f>Y52</f>
        <v/>
      </c>
    </row>
    <row r="53" ht="28.5" customHeight="1" s="155">
      <c r="A53" s="85" t="n">
        <v>2.12</v>
      </c>
      <c r="B53" s="10" t="inlineStr">
        <is>
          <t>Трубопровод из полимерных труб РЕХ-а, Дн50х6,9 REHAU
Rautitan Flex</t>
        </is>
      </c>
      <c r="C53" s="12" t="inlineStr">
        <is>
          <t>м.п.</t>
        </is>
      </c>
      <c r="D53" s="116">
        <f>420/7</f>
        <v/>
      </c>
      <c r="E53" s="116">
        <f>420/7</f>
        <v/>
      </c>
      <c r="F53" s="116">
        <f>420/7</f>
        <v/>
      </c>
      <c r="G53" s="116">
        <f>420/7</f>
        <v/>
      </c>
      <c r="H53" s="12" t="n"/>
      <c r="I53" s="7" t="n"/>
      <c r="J53" s="113">
        <f>G53+F53+E53+D53</f>
        <v/>
      </c>
      <c r="K53" s="56" t="inlineStr">
        <is>
          <t>874,00</t>
        </is>
      </c>
      <c r="L53" s="86">
        <f>K53*J53</f>
        <v/>
      </c>
      <c r="S53" s="182" t="n"/>
      <c r="T53" s="182" t="n"/>
      <c r="U53" s="182" t="n"/>
      <c r="V53" s="183" t="n"/>
      <c r="W53" s="183" t="n"/>
      <c r="Y53" s="182">
        <f>IF(X53="ок",N(L53),IF(ISNUMBER(M53),M53*J53,N(L53)))</f>
        <v/>
      </c>
      <c r="Z53" s="182">
        <f>Y53</f>
        <v/>
      </c>
    </row>
    <row r="54" ht="28.5" customHeight="1" s="155">
      <c r="A54" s="85" t="n">
        <v>2.13</v>
      </c>
      <c r="B54" s="10" t="inlineStr">
        <is>
          <t>Трубопровод из полимерных труб РЕХ-а, Дн63х8,6 REHAU
Rautitan Flex</t>
        </is>
      </c>
      <c r="C54" s="12" t="inlineStr">
        <is>
          <t>м.п.</t>
        </is>
      </c>
      <c r="D54" s="116">
        <f>1120/7</f>
        <v/>
      </c>
      <c r="E54" s="116">
        <f>1120/7</f>
        <v/>
      </c>
      <c r="F54" s="116">
        <f>1120/7</f>
        <v/>
      </c>
      <c r="G54" s="116">
        <f>1120/7</f>
        <v/>
      </c>
      <c r="H54" s="12" t="n"/>
      <c r="I54" s="7" t="n"/>
      <c r="J54" s="113">
        <f>G54+F54+E54+D54</f>
        <v/>
      </c>
      <c r="K54" s="56" t="inlineStr">
        <is>
          <t>500,00</t>
        </is>
      </c>
      <c r="L54" s="86">
        <f>K54*J54</f>
        <v/>
      </c>
      <c r="S54" s="182" t="n"/>
      <c r="T54" s="182" t="n"/>
      <c r="U54" s="182" t="n"/>
      <c r="V54" s="183" t="n"/>
      <c r="W54" s="183" t="n"/>
      <c r="Y54" s="182">
        <f>IF(X54="ок",N(L54),IF(ISNUMBER(M54),M54*J54,N(L54)))</f>
        <v/>
      </c>
      <c r="Z54" s="182">
        <f>Y54</f>
        <v/>
      </c>
    </row>
    <row r="55" ht="28.5" customHeight="1" s="155">
      <c r="A55" s="85" t="n">
        <v>2.14</v>
      </c>
      <c r="B55" s="13" t="inlineStr">
        <is>
          <t>Пайка кондиционеров подача обратка переход с меди на рехао исключено</t>
        </is>
      </c>
      <c r="C55" s="14" t="inlineStr">
        <is>
          <t>шт.</t>
        </is>
      </c>
      <c r="D55" s="117" t="n"/>
      <c r="E55" s="117" t="n"/>
      <c r="F55" s="117" t="n"/>
      <c r="G55" s="117" t="n"/>
      <c r="H55" s="14" t="n"/>
      <c r="I55" s="51" t="n"/>
      <c r="J55" s="113">
        <f>G55+F55+E55+D55</f>
        <v/>
      </c>
      <c r="K55" s="58" t="n"/>
      <c r="L55" s="87">
        <f>K55*J55</f>
        <v/>
      </c>
      <c r="S55" s="184" t="n">
        <v>950</v>
      </c>
      <c r="T55" s="184">
        <f>S55*680</f>
        <v/>
      </c>
      <c r="U55" s="184">
        <f>T55-Y55</f>
        <v/>
      </c>
      <c r="V55" s="185" t="inlineStr">
        <is>
          <t>Работа выполнена</t>
        </is>
      </c>
      <c r="W55" s="185" t="inlineStr">
        <is>
          <t>Работа выполнена. Объём и цена по Прил. №1 к ДС №1 от 27.07.2026: 680 шт. x 950 руб.</t>
        </is>
      </c>
      <c r="Y55" s="182">
        <f>IF(X55="ок",N(L55),IF(ISNUMBER(M55),M55*J55,N(L55)))</f>
        <v/>
      </c>
      <c r="Z55" s="182">
        <f>T55</f>
        <v/>
      </c>
    </row>
    <row r="56" ht="21.75" customHeight="1" s="155">
      <c r="A56" s="85" t="n">
        <v>2.15</v>
      </c>
      <c r="B56" s="6" t="inlineStr">
        <is>
          <t>Рехао тройник 63*8,7/32*4,4/63*8,7</t>
        </is>
      </c>
      <c r="C56" s="12" t="inlineStr">
        <is>
          <t>шт.</t>
        </is>
      </c>
      <c r="D56" s="117" t="n">
        <v>34</v>
      </c>
      <c r="E56" s="117" t="n">
        <v>34</v>
      </c>
      <c r="F56" s="117" t="n">
        <v>34</v>
      </c>
      <c r="G56" s="117" t="n">
        <v>34</v>
      </c>
      <c r="H56" s="12" t="n"/>
      <c r="I56" s="7" t="n"/>
      <c r="J56" s="113">
        <f>G56+F56+E56+D56</f>
        <v/>
      </c>
      <c r="K56" s="56" t="inlineStr">
        <is>
          <t>798,00</t>
        </is>
      </c>
      <c r="L56" s="86">
        <f>K56*J56</f>
        <v/>
      </c>
      <c r="S56" s="182" t="n"/>
      <c r="T56" s="182" t="n"/>
      <c r="U56" s="182" t="n"/>
      <c r="V56" s="183" t="n"/>
      <c r="W56" s="183" t="n"/>
      <c r="Y56" s="182">
        <f>IF(X56="ок",N(L56),IF(ISNUMBER(M56),M56*J56,N(L56)))</f>
        <v/>
      </c>
      <c r="Z56" s="182">
        <f>Y56</f>
        <v/>
      </c>
    </row>
    <row r="57" ht="21.75" customHeight="1" s="155">
      <c r="A57" s="85" t="n">
        <v>2.16</v>
      </c>
      <c r="B57" s="6" t="inlineStr">
        <is>
          <t>Рехао тройник 32*4,4/25*3,5/32*4,4</t>
        </is>
      </c>
      <c r="C57" s="12" t="inlineStr">
        <is>
          <t>шт.</t>
        </is>
      </c>
      <c r="D57" s="117" t="n">
        <v>72</v>
      </c>
      <c r="E57" s="117" t="n">
        <v>72</v>
      </c>
      <c r="F57" s="117" t="n">
        <v>72</v>
      </c>
      <c r="G57" s="117" t="n">
        <v>72</v>
      </c>
      <c r="H57" s="12" t="n"/>
      <c r="I57" s="7" t="n"/>
      <c r="J57" s="113">
        <f>G57+F57+E57+D57</f>
        <v/>
      </c>
      <c r="K57" s="56" t="inlineStr">
        <is>
          <t>798,00</t>
        </is>
      </c>
      <c r="L57" s="86">
        <f>K57*J57</f>
        <v/>
      </c>
      <c r="S57" s="182" t="n"/>
      <c r="T57" s="182" t="n"/>
      <c r="U57" s="182" t="n"/>
      <c r="V57" s="183" t="n"/>
      <c r="W57" s="183" t="n"/>
      <c r="Y57" s="182">
        <f>IF(X57="ок",N(L57),IF(ISNUMBER(M57),M57*J57,N(L57)))</f>
        <v/>
      </c>
      <c r="Z57" s="182">
        <f>Y57</f>
        <v/>
      </c>
    </row>
    <row r="58" ht="21.75" customHeight="1" s="155">
      <c r="A58" s="85" t="n">
        <v>2.17</v>
      </c>
      <c r="B58" s="6" t="inlineStr">
        <is>
          <t>Рехао Переходник 32*4,4 -25*3,5</t>
        </is>
      </c>
      <c r="C58" s="12" t="inlineStr">
        <is>
          <t>шт.</t>
        </is>
      </c>
      <c r="D58" s="117" t="n">
        <v>54</v>
      </c>
      <c r="E58" s="117" t="n">
        <v>54</v>
      </c>
      <c r="F58" s="117" t="n">
        <v>54</v>
      </c>
      <c r="G58" s="117" t="n">
        <v>54</v>
      </c>
      <c r="H58" s="12" t="n"/>
      <c r="I58" s="7" t="n"/>
      <c r="J58" s="113">
        <f>G58+F58+E58+D58</f>
        <v/>
      </c>
      <c r="K58" s="56" t="inlineStr">
        <is>
          <t>798,00</t>
        </is>
      </c>
      <c r="L58" s="86">
        <f>K58*J58</f>
        <v/>
      </c>
      <c r="S58" s="182" t="n"/>
      <c r="T58" s="182" t="n"/>
      <c r="U58" s="182" t="n"/>
      <c r="V58" s="183" t="n"/>
      <c r="W58" s="183" t="n"/>
      <c r="Y58" s="182">
        <f>IF(X58="ок",N(L58),IF(ISNUMBER(M58),M58*J58,N(L58)))</f>
        <v/>
      </c>
      <c r="Z58" s="182">
        <f>Y58</f>
        <v/>
      </c>
    </row>
    <row r="59" ht="21.75" customHeight="1" s="155">
      <c r="A59" s="85" t="n">
        <v>2.18</v>
      </c>
      <c r="B59" s="6" t="inlineStr">
        <is>
          <t>Отвод 90   25*3,5</t>
        </is>
      </c>
      <c r="C59" s="12" t="inlineStr">
        <is>
          <t>шт.</t>
        </is>
      </c>
      <c r="D59" s="117" t="n">
        <v>68</v>
      </c>
      <c r="E59" s="117" t="n">
        <v>68</v>
      </c>
      <c r="F59" s="117" t="n">
        <v>68</v>
      </c>
      <c r="G59" s="117" t="n">
        <v>68</v>
      </c>
      <c r="H59" s="12" t="n"/>
      <c r="I59" s="7" t="n"/>
      <c r="J59" s="113">
        <f>G59+F59+E59+D59</f>
        <v/>
      </c>
      <c r="K59" s="56" t="inlineStr">
        <is>
          <t>798,00</t>
        </is>
      </c>
      <c r="L59" s="86">
        <f>K59*J59</f>
        <v/>
      </c>
      <c r="S59" s="182" t="n"/>
      <c r="T59" s="182" t="n"/>
      <c r="U59" s="182" t="n"/>
      <c r="V59" s="183" t="n"/>
      <c r="W59" s="183" t="n"/>
      <c r="Y59" s="182">
        <f>IF(X59="ок",N(L59),IF(ISNUMBER(M59),M59*J59,N(L59)))</f>
        <v/>
      </c>
      <c r="Z59" s="182">
        <f>Y59</f>
        <v/>
      </c>
    </row>
    <row r="60" ht="21.75" customHeight="1" s="155">
      <c r="A60" s="85" t="n">
        <v>2.19</v>
      </c>
      <c r="B60" s="6" t="inlineStr">
        <is>
          <t>Отвод 90 32*4,4</t>
        </is>
      </c>
      <c r="C60" s="12" t="inlineStr">
        <is>
          <t>шт.</t>
        </is>
      </c>
      <c r="D60" s="117" t="n">
        <v>24</v>
      </c>
      <c r="E60" s="117" t="n">
        <v>24</v>
      </c>
      <c r="F60" s="117" t="n">
        <v>24</v>
      </c>
      <c r="G60" s="117" t="n">
        <v>24</v>
      </c>
      <c r="H60" s="12" t="n"/>
      <c r="I60" s="7" t="n"/>
      <c r="J60" s="113">
        <f>G60+F60+E60+D60</f>
        <v/>
      </c>
      <c r="K60" s="56" t="inlineStr">
        <is>
          <t>798,00</t>
        </is>
      </c>
      <c r="L60" s="86">
        <f>K60*J60</f>
        <v/>
      </c>
      <c r="S60" s="182" t="n"/>
      <c r="T60" s="182" t="n"/>
      <c r="U60" s="182" t="n"/>
      <c r="V60" s="183" t="n"/>
      <c r="W60" s="183" t="n"/>
      <c r="Y60" s="182">
        <f>IF(X60="ок",N(L60),IF(ISNUMBER(M60),M60*J60,N(L60)))</f>
        <v/>
      </c>
      <c r="Z60" s="182">
        <f>Y60</f>
        <v/>
      </c>
    </row>
    <row r="61" ht="21.75" customHeight="1" s="155">
      <c r="A61" s="85" t="n">
        <v>2.2</v>
      </c>
      <c r="B61" s="6" t="inlineStr">
        <is>
          <t>Полуотвод 45 63*8,7</t>
        </is>
      </c>
      <c r="C61" s="12" t="inlineStr">
        <is>
          <t>шт.</t>
        </is>
      </c>
      <c r="D61" s="117" t="n">
        <v>2</v>
      </c>
      <c r="E61" s="117" t="n">
        <v>2</v>
      </c>
      <c r="F61" s="117" t="n">
        <v>2</v>
      </c>
      <c r="G61" s="117" t="n">
        <v>2</v>
      </c>
      <c r="H61" s="12" t="n"/>
      <c r="I61" s="7" t="n"/>
      <c r="J61" s="113">
        <f>G61+F61+E61+D61</f>
        <v/>
      </c>
      <c r="K61" s="56" t="inlineStr">
        <is>
          <t>798,00</t>
        </is>
      </c>
      <c r="L61" s="86">
        <f>K61*J61</f>
        <v/>
      </c>
      <c r="S61" s="182" t="n"/>
      <c r="T61" s="182" t="n"/>
      <c r="U61" s="182" t="n"/>
      <c r="V61" s="183" t="n"/>
      <c r="W61" s="183" t="n"/>
      <c r="Y61" s="182">
        <f>IF(X61="ок",N(L61),IF(ISNUMBER(M61),M61*J61,N(L61)))</f>
        <v/>
      </c>
      <c r="Z61" s="182">
        <f>Y61</f>
        <v/>
      </c>
    </row>
    <row r="62" ht="21.75" customHeight="1" s="155">
      <c r="A62" s="85" t="n">
        <v>2.21</v>
      </c>
      <c r="B62" s="6" t="inlineStr">
        <is>
          <t>Переход 63*4,4/ 50*6,9</t>
        </is>
      </c>
      <c r="C62" s="12" t="inlineStr">
        <is>
          <t>шт.</t>
        </is>
      </c>
      <c r="D62" s="117" t="n">
        <v>6</v>
      </c>
      <c r="E62" s="117" t="n">
        <v>6</v>
      </c>
      <c r="F62" s="117" t="n">
        <v>6</v>
      </c>
      <c r="G62" s="117" t="n">
        <v>6</v>
      </c>
      <c r="H62" s="12" t="n"/>
      <c r="I62" s="7" t="n"/>
      <c r="J62" s="113">
        <f>G62+F62+E62+D62</f>
        <v/>
      </c>
      <c r="K62" s="56" t="inlineStr">
        <is>
          <t>798,00</t>
        </is>
      </c>
      <c r="L62" s="86">
        <f>K62*J62</f>
        <v/>
      </c>
      <c r="S62" s="182" t="n"/>
      <c r="T62" s="182" t="n"/>
      <c r="U62" s="182" t="n"/>
      <c r="V62" s="183" t="n"/>
      <c r="W62" s="183" t="n"/>
      <c r="Y62" s="182">
        <f>IF(X62="ок",N(L62),IF(ISNUMBER(M62),M62*J62,N(L62)))</f>
        <v/>
      </c>
      <c r="Z62" s="182">
        <f>Y62</f>
        <v/>
      </c>
    </row>
    <row r="63" ht="21.75" customHeight="1" s="155">
      <c r="A63" s="85" t="n">
        <v>2.22</v>
      </c>
      <c r="B63" s="6" t="inlineStr">
        <is>
          <t>Рехао Тройник 50*6,9/32*4,4/50*6,9</t>
        </is>
      </c>
      <c r="C63" s="12" t="inlineStr">
        <is>
          <t>шт.</t>
        </is>
      </c>
      <c r="D63" s="117" t="n">
        <v>12</v>
      </c>
      <c r="E63" s="117" t="n">
        <v>12</v>
      </c>
      <c r="F63" s="117" t="n">
        <v>12</v>
      </c>
      <c r="G63" s="117" t="n">
        <v>12</v>
      </c>
      <c r="H63" s="12" t="n"/>
      <c r="I63" s="7" t="n"/>
      <c r="J63" s="113">
        <f>G63+F63+E63+D63</f>
        <v/>
      </c>
      <c r="K63" s="56" t="inlineStr">
        <is>
          <t>798,00</t>
        </is>
      </c>
      <c r="L63" s="86">
        <f>K63*J63</f>
        <v/>
      </c>
      <c r="S63" s="182" t="n"/>
      <c r="T63" s="182" t="n"/>
      <c r="U63" s="182" t="n"/>
      <c r="V63" s="183" t="n"/>
      <c r="W63" s="183" t="n"/>
      <c r="Y63" s="182">
        <f>IF(X63="ок",N(L63),IF(ISNUMBER(M63),M63*J63,N(L63)))</f>
        <v/>
      </c>
      <c r="Z63" s="182">
        <f>Y63</f>
        <v/>
      </c>
    </row>
    <row r="64" ht="21.75" customHeight="1" s="155">
      <c r="A64" s="85" t="n">
        <v>2.23</v>
      </c>
      <c r="B64" s="6" t="inlineStr">
        <is>
          <t>Переход 50*6,9 / 40*5,5</t>
        </is>
      </c>
      <c r="C64" s="12" t="inlineStr">
        <is>
          <t>шт.</t>
        </is>
      </c>
      <c r="D64" s="117" t="n">
        <v>4</v>
      </c>
      <c r="E64" s="117" t="n">
        <v>4</v>
      </c>
      <c r="F64" s="117" t="n">
        <v>4</v>
      </c>
      <c r="G64" s="117" t="n">
        <v>4</v>
      </c>
      <c r="H64" s="12" t="n"/>
      <c r="I64" s="7" t="n"/>
      <c r="J64" s="113">
        <f>G64+F64+E64+D64</f>
        <v/>
      </c>
      <c r="K64" s="56" t="inlineStr">
        <is>
          <t>798,00</t>
        </is>
      </c>
      <c r="L64" s="86">
        <f>K64*J64</f>
        <v/>
      </c>
      <c r="S64" s="182" t="n"/>
      <c r="T64" s="182" t="n"/>
      <c r="U64" s="182" t="n"/>
      <c r="V64" s="183" t="n"/>
      <c r="W64" s="183" t="n"/>
      <c r="Y64" s="182">
        <f>IF(X64="ок",N(L64),IF(ISNUMBER(M64),M64*J64,N(L64)))</f>
        <v/>
      </c>
      <c r="Z64" s="182">
        <f>Y64</f>
        <v/>
      </c>
    </row>
    <row r="65" ht="21.75" customHeight="1" s="155">
      <c r="A65" s="85" t="n">
        <v>2.24</v>
      </c>
      <c r="B65" s="6" t="inlineStr">
        <is>
          <t>Рехао тройник 40*5,5/32*4,4/40*5,5</t>
        </is>
      </c>
      <c r="C65" s="12" t="inlineStr">
        <is>
          <t>шт.</t>
        </is>
      </c>
      <c r="D65" s="117" t="n">
        <v>8</v>
      </c>
      <c r="E65" s="117" t="n">
        <v>8</v>
      </c>
      <c r="F65" s="117" t="n">
        <v>8</v>
      </c>
      <c r="G65" s="117" t="n">
        <v>8</v>
      </c>
      <c r="H65" s="12" t="n"/>
      <c r="I65" s="7" t="n"/>
      <c r="J65" s="113">
        <f>G65+F65+E65+D65</f>
        <v/>
      </c>
      <c r="K65" s="56" t="inlineStr">
        <is>
          <t>798,00</t>
        </is>
      </c>
      <c r="L65" s="86">
        <f>K65*J65</f>
        <v/>
      </c>
      <c r="S65" s="182" t="n"/>
      <c r="T65" s="182" t="n"/>
      <c r="U65" s="182" t="n"/>
      <c r="V65" s="183" t="n"/>
      <c r="W65" s="183" t="n"/>
      <c r="Y65" s="182">
        <f>IF(X65="ок",N(L65),IF(ISNUMBER(M65),M65*J65,N(L65)))</f>
        <v/>
      </c>
      <c r="Z65" s="182">
        <f>Y65</f>
        <v/>
      </c>
    </row>
    <row r="66" ht="21.75" customHeight="1" s="155">
      <c r="A66" s="85" t="n">
        <v>2.25</v>
      </c>
      <c r="B66" s="6" t="inlineStr">
        <is>
          <t>полуотвод 25*3,5</t>
        </is>
      </c>
      <c r="C66" s="12" t="inlineStr">
        <is>
          <t>шт.</t>
        </is>
      </c>
      <c r="D66" s="117" t="n">
        <v>10</v>
      </c>
      <c r="E66" s="117" t="n">
        <v>10</v>
      </c>
      <c r="F66" s="117" t="n">
        <v>10</v>
      </c>
      <c r="G66" s="117" t="n">
        <v>10</v>
      </c>
      <c r="H66" s="12" t="n"/>
      <c r="I66" s="7" t="n"/>
      <c r="J66" s="113">
        <f>G66+F66+E66+D66</f>
        <v/>
      </c>
      <c r="K66" s="56" t="inlineStr">
        <is>
          <t>798,00</t>
        </is>
      </c>
      <c r="L66" s="86">
        <f>K66*J66</f>
        <v/>
      </c>
      <c r="S66" s="182" t="n"/>
      <c r="T66" s="182" t="n"/>
      <c r="U66" s="182" t="n"/>
      <c r="V66" s="183" t="n"/>
      <c r="W66" s="183" t="n"/>
      <c r="Y66" s="182">
        <f>IF(X66="ок",N(L66),IF(ISNUMBER(M66),M66*J66,N(L66)))</f>
        <v/>
      </c>
      <c r="Z66" s="182">
        <f>Y66</f>
        <v/>
      </c>
    </row>
    <row r="67" ht="21.75" customHeight="1" s="155">
      <c r="A67" s="85" t="n">
        <v>2.26</v>
      </c>
      <c r="B67" s="6" t="inlineStr">
        <is>
          <t>полуотвод 32*4,4</t>
        </is>
      </c>
      <c r="C67" s="12" t="inlineStr">
        <is>
          <t>шт.</t>
        </is>
      </c>
      <c r="D67" s="117" t="n">
        <v>6</v>
      </c>
      <c r="E67" s="117" t="n">
        <v>6</v>
      </c>
      <c r="F67" s="117" t="n">
        <v>6</v>
      </c>
      <c r="G67" s="117" t="n">
        <v>6</v>
      </c>
      <c r="H67" s="12" t="n"/>
      <c r="I67" s="7" t="n"/>
      <c r="J67" s="113">
        <f>G67+F67+E67+D67</f>
        <v/>
      </c>
      <c r="K67" s="56" t="inlineStr">
        <is>
          <t>798,00</t>
        </is>
      </c>
      <c r="L67" s="86">
        <f>K67*J67</f>
        <v/>
      </c>
      <c r="S67" s="182" t="n"/>
      <c r="T67" s="182" t="n"/>
      <c r="U67" s="182" t="n"/>
      <c r="V67" s="183" t="n"/>
      <c r="W67" s="183" t="n"/>
      <c r="Y67" s="182">
        <f>IF(X67="ок",N(L67),IF(ISNUMBER(M67),M67*J67,N(L67)))</f>
        <v/>
      </c>
      <c r="Z67" s="182">
        <f>Y67</f>
        <v/>
      </c>
    </row>
    <row r="68" ht="21.75" customHeight="1" s="155">
      <c r="A68" s="85" t="n">
        <v>2.27</v>
      </c>
      <c r="B68" s="6" t="inlineStr">
        <is>
          <t>переходник 40*5,5 32*4,4</t>
        </is>
      </c>
      <c r="C68" s="12" t="inlineStr">
        <is>
          <t>шт.</t>
        </is>
      </c>
      <c r="D68" s="117" t="n">
        <v>6</v>
      </c>
      <c r="E68" s="117" t="n">
        <v>6</v>
      </c>
      <c r="F68" s="117" t="n">
        <v>6</v>
      </c>
      <c r="G68" s="117" t="n">
        <v>6</v>
      </c>
      <c r="H68" s="12" t="n"/>
      <c r="I68" s="7" t="n"/>
      <c r="J68" s="113">
        <f>G68+F68+E68+D68</f>
        <v/>
      </c>
      <c r="K68" s="56" t="inlineStr">
        <is>
          <t>798,00</t>
        </is>
      </c>
      <c r="L68" s="86">
        <f>K68*J68</f>
        <v/>
      </c>
      <c r="S68" s="182" t="n"/>
      <c r="T68" s="182" t="n"/>
      <c r="U68" s="182" t="n"/>
      <c r="V68" s="183" t="n"/>
      <c r="W68" s="183" t="n"/>
      <c r="Y68" s="182">
        <f>IF(X68="ок",N(L68),IF(ISNUMBER(M68),M68*J68,N(L68)))</f>
        <v/>
      </c>
      <c r="Z68" s="182">
        <f>Y68</f>
        <v/>
      </c>
    </row>
    <row r="69" ht="21.75" customHeight="1" s="155">
      <c r="A69" s="85" t="n">
        <v>2.28</v>
      </c>
      <c r="B69" s="6" t="inlineStr">
        <is>
          <t>Тройник 40*5,5/25*3,5/ 40*5,5</t>
        </is>
      </c>
      <c r="C69" s="12" t="inlineStr">
        <is>
          <t>шт.</t>
        </is>
      </c>
      <c r="D69" s="117" t="n">
        <v>4</v>
      </c>
      <c r="E69" s="117" t="n">
        <v>4</v>
      </c>
      <c r="F69" s="117" t="n">
        <v>4</v>
      </c>
      <c r="G69" s="117" t="n">
        <v>4</v>
      </c>
      <c r="H69" s="12" t="n"/>
      <c r="I69" s="7" t="n"/>
      <c r="J69" s="113">
        <f>G69+F69+E69+D69</f>
        <v/>
      </c>
      <c r="K69" s="56" t="inlineStr">
        <is>
          <t>798,00</t>
        </is>
      </c>
      <c r="L69" s="86">
        <f>K69*J69</f>
        <v/>
      </c>
      <c r="S69" s="182" t="n"/>
      <c r="T69" s="182" t="n"/>
      <c r="U69" s="182" t="n"/>
      <c r="V69" s="183" t="n"/>
      <c r="W69" s="183" t="n"/>
      <c r="Y69" s="182">
        <f>IF(X69="ок",N(L69),IF(ISNUMBER(M69),M69*J69,N(L69)))</f>
        <v/>
      </c>
      <c r="Z69" s="182">
        <f>Y69</f>
        <v/>
      </c>
    </row>
    <row r="70" ht="21.75" customHeight="1" s="155">
      <c r="A70" s="85" t="n">
        <v>2.29</v>
      </c>
      <c r="B70" s="6" t="inlineStr">
        <is>
          <t>Отвод 90  50*6,9</t>
        </is>
      </c>
      <c r="C70" s="12" t="inlineStr">
        <is>
          <t>шт.</t>
        </is>
      </c>
      <c r="D70" s="117" t="n">
        <v>12</v>
      </c>
      <c r="E70" s="117" t="n">
        <v>12</v>
      </c>
      <c r="F70" s="117" t="n">
        <v>12</v>
      </c>
      <c r="G70" s="117" t="n">
        <v>12</v>
      </c>
      <c r="H70" s="12" t="n"/>
      <c r="I70" s="7" t="n"/>
      <c r="J70" s="113">
        <f>G70+F70+E70+D70</f>
        <v/>
      </c>
      <c r="K70" s="56" t="inlineStr">
        <is>
          <t>798,00</t>
        </is>
      </c>
      <c r="L70" s="86">
        <f>K70*J70</f>
        <v/>
      </c>
      <c r="S70" s="182" t="n"/>
      <c r="T70" s="182" t="n"/>
      <c r="U70" s="182" t="n"/>
      <c r="V70" s="183" t="n"/>
      <c r="W70" s="183" t="n"/>
      <c r="Y70" s="182">
        <f>IF(X70="ок",N(L70),IF(ISNUMBER(M70),M70*J70,N(L70)))</f>
        <v/>
      </c>
      <c r="Z70" s="182">
        <f>Y70</f>
        <v/>
      </c>
    </row>
    <row r="71" ht="21.75" customHeight="1" s="155">
      <c r="A71" s="85" t="n">
        <v>2.3</v>
      </c>
      <c r="B71" s="6" t="inlineStr">
        <is>
          <t>Тройник 50*6,9/25*3,5/50*6,9</t>
        </is>
      </c>
      <c r="C71" s="12" t="inlineStr">
        <is>
          <t>шт.</t>
        </is>
      </c>
      <c r="D71" s="117" t="n">
        <v>6</v>
      </c>
      <c r="E71" s="117" t="n">
        <v>6</v>
      </c>
      <c r="F71" s="117" t="n">
        <v>6</v>
      </c>
      <c r="G71" s="117" t="n">
        <v>6</v>
      </c>
      <c r="H71" s="12" t="n"/>
      <c r="I71" s="7" t="n"/>
      <c r="J71" s="113">
        <f>G71+F71+E71+D71</f>
        <v/>
      </c>
      <c r="K71" s="56" t="inlineStr">
        <is>
          <t>798,00</t>
        </is>
      </c>
      <c r="L71" s="86">
        <f>K71*J71</f>
        <v/>
      </c>
      <c r="S71" s="182" t="n"/>
      <c r="T71" s="182" t="n"/>
      <c r="U71" s="182" t="n"/>
      <c r="V71" s="183" t="n"/>
      <c r="W71" s="183" t="n"/>
      <c r="Y71" s="182">
        <f>IF(X71="ок",N(L71),IF(ISNUMBER(M71),M71*J71,N(L71)))</f>
        <v/>
      </c>
      <c r="Z71" s="182">
        <f>Y71</f>
        <v/>
      </c>
    </row>
    <row r="72" ht="21.75" customHeight="1" s="155">
      <c r="A72" s="85" t="n">
        <v>2.31</v>
      </c>
      <c r="B72" s="6" t="inlineStr">
        <is>
          <t>Тройник 63*8,7 /25*3,6/63*8,7</t>
        </is>
      </c>
      <c r="C72" s="12" t="inlineStr">
        <is>
          <t>шт.</t>
        </is>
      </c>
      <c r="D72" s="117" t="n">
        <v>10</v>
      </c>
      <c r="E72" s="117" t="n">
        <v>10</v>
      </c>
      <c r="F72" s="117" t="n">
        <v>10</v>
      </c>
      <c r="G72" s="117" t="n">
        <v>10</v>
      </c>
      <c r="H72" s="12" t="n"/>
      <c r="I72" s="7" t="n"/>
      <c r="J72" s="113">
        <f>G72+F72+E72+D72</f>
        <v/>
      </c>
      <c r="K72" s="56" t="inlineStr">
        <is>
          <t>798,00</t>
        </is>
      </c>
      <c r="L72" s="86">
        <f>K72*J72</f>
        <v/>
      </c>
      <c r="S72" s="182" t="n"/>
      <c r="T72" s="182" t="n"/>
      <c r="U72" s="182" t="n"/>
      <c r="V72" s="183" t="n"/>
      <c r="W72" s="183" t="n"/>
      <c r="Y72" s="182">
        <f>IF(X72="ок",N(L72),IF(ISNUMBER(M72),M72*J72,N(L72)))</f>
        <v/>
      </c>
      <c r="Z72" s="182">
        <f>Y72</f>
        <v/>
      </c>
    </row>
    <row r="73" ht="21.75" customHeight="1" s="155">
      <c r="A73" s="85" t="n">
        <v>2.32</v>
      </c>
      <c r="B73" s="6" t="inlineStr">
        <is>
          <t>Полуотвод 63*8,7</t>
        </is>
      </c>
      <c r="C73" s="12" t="inlineStr">
        <is>
          <t>шт.</t>
        </is>
      </c>
      <c r="D73" s="117" t="n">
        <v>6</v>
      </c>
      <c r="E73" s="117" t="n">
        <v>6</v>
      </c>
      <c r="F73" s="117" t="n">
        <v>6</v>
      </c>
      <c r="G73" s="117" t="n">
        <v>6</v>
      </c>
      <c r="H73" s="12" t="n"/>
      <c r="I73" s="7" t="n"/>
      <c r="J73" s="113">
        <f>G73+F73+E73+D73</f>
        <v/>
      </c>
      <c r="K73" s="56" t="inlineStr">
        <is>
          <t>798,00</t>
        </is>
      </c>
      <c r="L73" s="86">
        <f>K73*J73</f>
        <v/>
      </c>
      <c r="S73" s="182" t="n"/>
      <c r="T73" s="182" t="n"/>
      <c r="U73" s="182" t="n"/>
      <c r="V73" s="183" t="n"/>
      <c r="W73" s="183" t="n"/>
      <c r="Y73" s="182">
        <f>IF(X73="ок",N(L73),IF(ISNUMBER(M73),M73*J73,N(L73)))</f>
        <v/>
      </c>
      <c r="Z73" s="182">
        <f>Y73</f>
        <v/>
      </c>
    </row>
    <row r="74" ht="21.75" customHeight="1" s="155">
      <c r="A74" s="85" t="n">
        <v>2.33</v>
      </c>
      <c r="B74" s="6" t="inlineStr">
        <is>
          <t>Тройник 25*3,5</t>
        </is>
      </c>
      <c r="C74" s="12" t="inlineStr">
        <is>
          <t>шт.</t>
        </is>
      </c>
      <c r="D74" s="117" t="n">
        <v>6</v>
      </c>
      <c r="E74" s="117" t="n">
        <v>6</v>
      </c>
      <c r="F74" s="117" t="n">
        <v>6</v>
      </c>
      <c r="G74" s="117" t="n">
        <v>6</v>
      </c>
      <c r="H74" s="12" t="n"/>
      <c r="I74" s="7" t="n"/>
      <c r="J74" s="113">
        <f>G74+F74+E74+D74</f>
        <v/>
      </c>
      <c r="K74" s="56" t="inlineStr">
        <is>
          <t>798,00</t>
        </is>
      </c>
      <c r="L74" s="86">
        <f>K74*J74</f>
        <v/>
      </c>
      <c r="S74" s="182" t="n"/>
      <c r="T74" s="182" t="n"/>
      <c r="U74" s="182" t="n"/>
      <c r="V74" s="183" t="n"/>
      <c r="W74" s="183" t="n"/>
      <c r="Y74" s="182">
        <f>IF(X74="ок",N(L74),IF(ISNUMBER(M74),M74*J74,N(L74)))</f>
        <v/>
      </c>
      <c r="Z74" s="182">
        <f>Y74</f>
        <v/>
      </c>
    </row>
    <row r="75" ht="21.75" customHeight="1" s="155">
      <c r="A75" s="85" t="n">
        <v>2.34</v>
      </c>
      <c r="B75" s="6" t="inlineStr">
        <is>
          <t>Отвод 90  63*8,7</t>
        </is>
      </c>
      <c r="C75" s="12" t="inlineStr">
        <is>
          <t>шт.</t>
        </is>
      </c>
      <c r="D75" s="117" t="n">
        <v>4</v>
      </c>
      <c r="E75" s="117" t="n">
        <v>4</v>
      </c>
      <c r="F75" s="117" t="n">
        <v>4</v>
      </c>
      <c r="G75" s="117" t="n">
        <v>4</v>
      </c>
      <c r="H75" s="12" t="n"/>
      <c r="I75" s="7" t="n"/>
      <c r="J75" s="113">
        <f>G75+F75+E75+D75</f>
        <v/>
      </c>
      <c r="K75" s="56" t="inlineStr">
        <is>
          <t>798,00</t>
        </is>
      </c>
      <c r="L75" s="86">
        <f>K75*J75</f>
        <v/>
      </c>
      <c r="S75" s="182" t="n"/>
      <c r="T75" s="182" t="n"/>
      <c r="U75" s="182" t="n"/>
      <c r="V75" s="183" t="n"/>
      <c r="W75" s="183" t="n"/>
      <c r="Y75" s="182">
        <f>IF(X75="ок",N(L75),IF(ISNUMBER(M75),M75*J75,N(L75)))</f>
        <v/>
      </c>
      <c r="Z75" s="182">
        <f>Y75</f>
        <v/>
      </c>
    </row>
    <row r="76" ht="21.75" customHeight="1" s="155">
      <c r="A76" s="85" t="n">
        <v>2.35</v>
      </c>
      <c r="B76" s="6" t="inlineStr">
        <is>
          <t>Отвод  90  40*5,5</t>
        </is>
      </c>
      <c r="C76" s="12" t="inlineStr">
        <is>
          <t>шт.</t>
        </is>
      </c>
      <c r="D76" s="117" t="n">
        <v>2</v>
      </c>
      <c r="E76" s="117" t="n">
        <v>2</v>
      </c>
      <c r="F76" s="117" t="n">
        <v>2</v>
      </c>
      <c r="G76" s="117" t="n">
        <v>2</v>
      </c>
      <c r="H76" s="12" t="n"/>
      <c r="I76" s="7" t="n"/>
      <c r="J76" s="113">
        <f>G76+F76+E76+D76</f>
        <v/>
      </c>
      <c r="K76" s="56" t="inlineStr">
        <is>
          <t>798,00</t>
        </is>
      </c>
      <c r="L76" s="86">
        <f>K76*J76</f>
        <v/>
      </c>
      <c r="S76" s="182" t="n"/>
      <c r="T76" s="182" t="n"/>
      <c r="U76" s="182" t="n"/>
      <c r="V76" s="183" t="n"/>
      <c r="W76" s="183" t="n"/>
      <c r="Y76" s="182">
        <f>IF(X76="ок",N(L76),IF(ISNUMBER(M76),M76*J76,N(L76)))</f>
        <v/>
      </c>
      <c r="Z76" s="182">
        <f>Y76</f>
        <v/>
      </c>
    </row>
    <row r="77" ht="21.75" customHeight="1" s="155">
      <c r="A77" s="85" t="n">
        <v>2.36</v>
      </c>
      <c r="B77" s="6" t="inlineStr">
        <is>
          <t>Проделка отверстий</t>
        </is>
      </c>
      <c r="C77" s="12" t="inlineStr">
        <is>
          <t>шт.</t>
        </is>
      </c>
      <c r="D77" s="117" t="n">
        <v>32</v>
      </c>
      <c r="E77" s="117" t="n">
        <v>32</v>
      </c>
      <c r="F77" s="117" t="n">
        <v>32</v>
      </c>
      <c r="G77" s="117" t="n">
        <v>32</v>
      </c>
      <c r="H77" s="12" t="n"/>
      <c r="I77" s="7" t="n"/>
      <c r="J77" s="113">
        <f>G77+F77+E77+D77</f>
        <v/>
      </c>
      <c r="K77" s="56" t="inlineStr">
        <is>
          <t>285,00</t>
        </is>
      </c>
      <c r="L77" s="86">
        <f>K77*J77</f>
        <v/>
      </c>
      <c r="S77" s="182" t="n"/>
      <c r="T77" s="182" t="n"/>
      <c r="U77" s="182" t="n"/>
      <c r="V77" s="183" t="n"/>
      <c r="W77" s="183" t="n"/>
      <c r="Y77" s="182">
        <f>IF(X77="ок",N(L77),IF(ISNUMBER(M77),M77*J77,N(L77)))</f>
        <v/>
      </c>
      <c r="Z77" s="182">
        <f>Y77</f>
        <v/>
      </c>
    </row>
    <row r="78" ht="18" customHeight="1" s="155">
      <c r="A78" s="85" t="n">
        <v>2.37</v>
      </c>
      <c r="B78" s="10" t="inlineStr">
        <is>
          <t>Тепловая изоляция из вспененного каучука, толщиной 9 мм
Armaflex АСЕ 28*13</t>
        </is>
      </c>
      <c r="C78" s="12" t="inlineStr">
        <is>
          <t>м.п.</t>
        </is>
      </c>
      <c r="D78" s="116">
        <f>D50</f>
        <v/>
      </c>
      <c r="E78" s="116">
        <f>E50</f>
        <v/>
      </c>
      <c r="F78" s="116">
        <f>F50</f>
        <v/>
      </c>
      <c r="G78" s="116">
        <f>G50</f>
        <v/>
      </c>
      <c r="H78" s="12" t="n"/>
      <c r="I78" s="7" t="n"/>
      <c r="J78" s="113">
        <f>G78+F78+E78+D78</f>
        <v/>
      </c>
      <c r="K78" s="126" t="n">
        <v>200</v>
      </c>
      <c r="L78" s="86">
        <f>K78*J78</f>
        <v/>
      </c>
      <c r="M78" s="170" t="n">
        <v>150</v>
      </c>
      <c r="N78" s="119" t="inlineStr">
        <is>
          <t>по договору</t>
        </is>
      </c>
      <c r="O78" s="125" t="inlineStr">
        <is>
          <t>Цена Согласована Марк</t>
        </is>
      </c>
      <c r="P78" s="186">
        <f>M78*J78</f>
        <v/>
      </c>
      <c r="Q78" s="186">
        <f>P78-L78</f>
        <v/>
      </c>
      <c r="S78" s="182" t="n"/>
      <c r="T78" s="182" t="n"/>
      <c r="U78" s="182" t="n"/>
      <c r="V78" s="183" t="n"/>
      <c r="W78" s="183" t="n"/>
      <c r="Y78" s="182">
        <f>IF(X78="ок",N(L78),IF(ISNUMBER(M78),M78*J78,N(L78)))</f>
        <v/>
      </c>
      <c r="Z78" s="182">
        <f>Y78</f>
        <v/>
      </c>
    </row>
    <row r="79" ht="18" customHeight="1" s="155">
      <c r="A79" s="85" t="n">
        <v>2.38</v>
      </c>
      <c r="B79" s="10" t="inlineStr">
        <is>
          <t>Тепловая изоляция из вспененного каучука, толщиной 9 мм
Armaflex АСЕ 35*13</t>
        </is>
      </c>
      <c r="C79" s="12" t="inlineStr">
        <is>
          <t>м.п.</t>
        </is>
      </c>
      <c r="D79" s="116">
        <f>D51</f>
        <v/>
      </c>
      <c r="E79" s="116">
        <f>E51</f>
        <v/>
      </c>
      <c r="F79" s="116">
        <f>F51</f>
        <v/>
      </c>
      <c r="G79" s="116">
        <f>G51</f>
        <v/>
      </c>
      <c r="H79" s="12" t="n"/>
      <c r="I79" s="7" t="n"/>
      <c r="J79" s="113">
        <f>G79+F79+E79+D79</f>
        <v/>
      </c>
      <c r="K79" s="126" t="n">
        <v>200</v>
      </c>
      <c r="L79" s="86">
        <f>K79*J79</f>
        <v/>
      </c>
      <c r="M79" s="170" t="n">
        <v>150</v>
      </c>
      <c r="N79" s="119" t="inlineStr">
        <is>
          <t>по договору</t>
        </is>
      </c>
      <c r="O79" s="125" t="inlineStr">
        <is>
          <t>Цена Согласована Марк</t>
        </is>
      </c>
      <c r="P79" s="186">
        <f>M79*J79</f>
        <v/>
      </c>
      <c r="Q79" s="186">
        <f>P79-L79</f>
        <v/>
      </c>
      <c r="S79" s="182" t="n"/>
      <c r="T79" s="182" t="n"/>
      <c r="U79" s="182" t="n"/>
      <c r="V79" s="183" t="n"/>
      <c r="W79" s="183" t="n"/>
      <c r="Y79" s="182">
        <f>IF(X79="ок",N(L79),IF(ISNUMBER(M79),M79*J79,N(L79)))</f>
        <v/>
      </c>
      <c r="Z79" s="182">
        <f>Y79</f>
        <v/>
      </c>
    </row>
    <row r="80" ht="18" customHeight="1" s="155">
      <c r="A80" s="85" t="n">
        <v>2.39</v>
      </c>
      <c r="B80" s="10" t="inlineStr">
        <is>
          <t>Тепловая изоляция из вспененного каучука, толщиной 9 мм
Armaflex АСЕ 42*13</t>
        </is>
      </c>
      <c r="C80" s="12" t="inlineStr">
        <is>
          <t>м.п.</t>
        </is>
      </c>
      <c r="D80" s="116">
        <f>D52</f>
        <v/>
      </c>
      <c r="E80" s="116">
        <f>E52</f>
        <v/>
      </c>
      <c r="F80" s="116">
        <f>F52</f>
        <v/>
      </c>
      <c r="G80" s="116">
        <f>G52</f>
        <v/>
      </c>
      <c r="H80" s="12" t="n"/>
      <c r="I80" s="7" t="n"/>
      <c r="J80" s="113">
        <f>G80+F80+E80+D80</f>
        <v/>
      </c>
      <c r="K80" s="120" t="inlineStr">
        <is>
          <t>228,00</t>
        </is>
      </c>
      <c r="L80" s="86">
        <f>K80*J80</f>
        <v/>
      </c>
      <c r="S80" s="182" t="n"/>
      <c r="T80" s="182" t="n"/>
      <c r="U80" s="182" t="n"/>
      <c r="V80" s="183" t="n"/>
      <c r="W80" s="183" t="n"/>
      <c r="Y80" s="182">
        <f>IF(X80="ок",N(L80),IF(ISNUMBER(M80),M80*J80,N(L80)))</f>
        <v/>
      </c>
      <c r="Z80" s="182">
        <f>Y80</f>
        <v/>
      </c>
    </row>
    <row r="81" ht="18" customHeight="1" s="155">
      <c r="A81" s="85" t="n">
        <v>2.4</v>
      </c>
      <c r="B81" s="10" t="inlineStr">
        <is>
          <t>Тепловая изоляция из вспененного каучука, толщиной 13 мм
Armaflex АСЕ 50*13</t>
        </is>
      </c>
      <c r="C81" s="15" t="n"/>
      <c r="D81" s="116">
        <f>D53</f>
        <v/>
      </c>
      <c r="E81" s="116">
        <f>E53</f>
        <v/>
      </c>
      <c r="F81" s="116">
        <f>F53</f>
        <v/>
      </c>
      <c r="G81" s="116">
        <f>G53</f>
        <v/>
      </c>
      <c r="H81" s="15" t="n"/>
      <c r="I81" s="52" t="n"/>
      <c r="J81" s="113">
        <f>G81+F81+E81+D81</f>
        <v/>
      </c>
      <c r="K81" s="120" t="inlineStr">
        <is>
          <t>228,00</t>
        </is>
      </c>
      <c r="L81" s="86">
        <f>K81*J81</f>
        <v/>
      </c>
      <c r="S81" s="182" t="n"/>
      <c r="T81" s="182" t="n"/>
      <c r="U81" s="182" t="n"/>
      <c r="V81" s="183" t="n"/>
      <c r="W81" s="183" t="n"/>
      <c r="Y81" s="182">
        <f>IF(X81="ок",N(L81),IF(ISNUMBER(M81),M81*J81,N(L81)))</f>
        <v/>
      </c>
      <c r="Z81" s="182">
        <f>Y81</f>
        <v/>
      </c>
    </row>
    <row r="82" ht="18" customHeight="1" s="155">
      <c r="A82" s="85" t="n">
        <v>2.41</v>
      </c>
      <c r="B82" s="10" t="inlineStr">
        <is>
          <t>Тепловая изоляция из вспененного каучука, толщиной 13 мм
Armaflex АСЕ 63*13</t>
        </is>
      </c>
      <c r="C82" s="12" t="inlineStr">
        <is>
          <t>м.п.</t>
        </is>
      </c>
      <c r="D82" s="116">
        <f>D54</f>
        <v/>
      </c>
      <c r="E82" s="116">
        <f>E54</f>
        <v/>
      </c>
      <c r="F82" s="116">
        <f>F54</f>
        <v/>
      </c>
      <c r="G82" s="116">
        <f>G54</f>
        <v/>
      </c>
      <c r="H82" s="12" t="n"/>
      <c r="I82" s="7" t="n"/>
      <c r="J82" s="113">
        <f>G82+F82+E82+D82</f>
        <v/>
      </c>
      <c r="K82" s="120" t="inlineStr">
        <is>
          <t>150,00</t>
        </is>
      </c>
      <c r="L82" s="86">
        <f>K82*J82</f>
        <v/>
      </c>
      <c r="S82" s="182" t="n"/>
      <c r="T82" s="182" t="n"/>
      <c r="U82" s="182" t="n"/>
      <c r="V82" s="183" t="n"/>
      <c r="W82" s="183" t="n"/>
      <c r="Y82" s="182">
        <f>IF(X82="ок",N(L82),IF(ISNUMBER(M82),M82*J82,N(L82)))</f>
        <v/>
      </c>
      <c r="Z82" s="182">
        <f>Y82</f>
        <v/>
      </c>
    </row>
    <row r="83" ht="18" customHeight="1" s="155">
      <c r="A83" s="85" t="n">
        <v>2.42</v>
      </c>
      <c r="B83" s="6" t="inlineStr">
        <is>
          <t>ПНР 3-10 эт</t>
        </is>
      </c>
      <c r="C83" s="12" t="inlineStr">
        <is>
          <t>Компл.</t>
        </is>
      </c>
      <c r="D83" s="116" t="n">
        <v>1</v>
      </c>
      <c r="E83" s="116" t="n">
        <v>1</v>
      </c>
      <c r="F83" s="116" t="n">
        <v>1</v>
      </c>
      <c r="G83" s="116" t="n">
        <v>1</v>
      </c>
      <c r="H83" s="12" t="n"/>
      <c r="I83" s="7" t="n"/>
      <c r="J83" s="113">
        <f>G83+F83+E83+D83</f>
        <v/>
      </c>
      <c r="K83" s="56" t="inlineStr">
        <is>
          <t>120 000,00</t>
        </is>
      </c>
      <c r="L83" s="86">
        <f>K83*J83</f>
        <v/>
      </c>
      <c r="S83" s="182" t="n"/>
      <c r="T83" s="182" t="n"/>
      <c r="U83" s="182" t="n"/>
      <c r="V83" s="183" t="n"/>
      <c r="W83" s="183" t="n"/>
      <c r="Y83" s="182">
        <f>IF(X83="ок",N(L83),IF(ISNUMBER(M83),M83*J83,N(L83)))</f>
        <v/>
      </c>
      <c r="Z83" s="182">
        <f>Y83</f>
        <v/>
      </c>
    </row>
    <row r="84" ht="18" customHeight="1" s="155">
      <c r="A84" s="88" t="inlineStr">
        <is>
          <t>3</t>
        </is>
      </c>
      <c r="B84" s="27" t="inlineStr">
        <is>
          <t>Дополнительные работы 3,7,8,9 этаж</t>
        </is>
      </c>
      <c r="C84" s="28" t="n"/>
      <c r="D84" s="28" t="n"/>
      <c r="E84" s="28" t="n"/>
      <c r="F84" s="28" t="n"/>
      <c r="G84" s="28" t="n"/>
      <c r="H84" s="28" t="n"/>
      <c r="I84" s="32" t="n"/>
      <c r="J84" s="59" t="n"/>
      <c r="K84" s="55" t="n"/>
      <c r="L84" s="89">
        <f>SUM(L85:L114)</f>
        <v/>
      </c>
      <c r="S84" s="180" t="n"/>
      <c r="T84" s="180" t="n"/>
      <c r="U84" s="180" t="n"/>
      <c r="V84" s="180" t="n"/>
      <c r="W84" s="180" t="n"/>
      <c r="Y84" s="180" t="n"/>
      <c r="Z84" s="180" t="n"/>
    </row>
    <row r="85">
      <c r="A85" s="92" t="inlineStr">
        <is>
          <t>3,1</t>
        </is>
      </c>
      <c r="B85" s="16" t="inlineStr">
        <is>
          <t>Тройник ф 250</t>
        </is>
      </c>
      <c r="C85" s="17" t="inlineStr">
        <is>
          <t>шт.</t>
        </is>
      </c>
      <c r="D85" s="116" t="n"/>
      <c r="E85" s="116" t="n"/>
      <c r="F85" s="116" t="n">
        <v>1</v>
      </c>
      <c r="G85" s="116" t="n">
        <v>1</v>
      </c>
      <c r="H85" s="17" t="n"/>
      <c r="I85" s="34" t="n"/>
      <c r="J85" s="112">
        <f>I85+H85+G85+F85+E85+D85</f>
        <v/>
      </c>
      <c r="K85" s="56" t="n">
        <v>630</v>
      </c>
      <c r="L85" s="86">
        <f>K85*J85</f>
        <v/>
      </c>
      <c r="S85" s="182" t="n"/>
      <c r="T85" s="182" t="n"/>
      <c r="U85" s="182" t="n"/>
      <c r="V85" s="183" t="n"/>
      <c r="W85" s="183" t="n"/>
      <c r="Y85" s="182">
        <f>IF(X85="ок",N(L85),IF(ISNUMBER(M85),M85*J85,N(L85)))</f>
        <v/>
      </c>
      <c r="Z85" s="182">
        <f>Y85</f>
        <v/>
      </c>
    </row>
    <row r="86">
      <c r="A86" s="92" t="inlineStr">
        <is>
          <t>3,2</t>
        </is>
      </c>
      <c r="B86" s="16" t="inlineStr">
        <is>
          <t>Отвод 45   ф 250</t>
        </is>
      </c>
      <c r="C86" s="17" t="inlineStr">
        <is>
          <t>шт.</t>
        </is>
      </c>
      <c r="D86" s="116" t="n"/>
      <c r="E86" s="116" t="n">
        <v>2</v>
      </c>
      <c r="F86" s="116" t="n">
        <v>2</v>
      </c>
      <c r="G86" s="116" t="n">
        <v>2</v>
      </c>
      <c r="H86" s="17" t="n"/>
      <c r="I86" s="34" t="n"/>
      <c r="J86" s="112">
        <f>I86+H86+G86+F86+E86+D86</f>
        <v/>
      </c>
      <c r="K86" s="56" t="n">
        <v>630</v>
      </c>
      <c r="L86" s="86">
        <f>K86*J86</f>
        <v/>
      </c>
      <c r="S86" s="182" t="n"/>
      <c r="T86" s="182" t="n"/>
      <c r="U86" s="182" t="n"/>
      <c r="V86" s="183" t="n"/>
      <c r="W86" s="183" t="n"/>
      <c r="Y86" s="182">
        <f>IF(X86="ок",N(L86),IF(ISNUMBER(M86),M86*J86,N(L86)))</f>
        <v/>
      </c>
      <c r="Z86" s="182">
        <f>Y86</f>
        <v/>
      </c>
    </row>
    <row r="87">
      <c r="A87" s="92" t="inlineStr">
        <is>
          <t>3,3</t>
        </is>
      </c>
      <c r="B87" s="16" t="inlineStr">
        <is>
          <t>Врезка седлообразная ф160\160</t>
        </is>
      </c>
      <c r="C87" s="17" t="inlineStr">
        <is>
          <t>шт.</t>
        </is>
      </c>
      <c r="D87" s="116" t="n">
        <v>10</v>
      </c>
      <c r="E87" s="116" t="n">
        <v>12</v>
      </c>
      <c r="F87" s="116" t="n">
        <v>10</v>
      </c>
      <c r="G87" s="116" t="n">
        <v>15</v>
      </c>
      <c r="H87" s="17" t="n"/>
      <c r="I87" s="34" t="n"/>
      <c r="J87" s="112">
        <f>I87+H87+G87+F87+E87+D87</f>
        <v/>
      </c>
      <c r="K87" s="56" t="n">
        <v>630</v>
      </c>
      <c r="L87" s="86">
        <f>K87*J87</f>
        <v/>
      </c>
      <c r="S87" s="182" t="n"/>
      <c r="T87" s="182" t="n"/>
      <c r="U87" s="182" t="n"/>
      <c r="V87" s="183" t="n"/>
      <c r="W87" s="183" t="n"/>
      <c r="Y87" s="182">
        <f>IF(X87="ок",N(L87),IF(ISNUMBER(M87),M87*J87,N(L87)))</f>
        <v/>
      </c>
      <c r="Z87" s="182">
        <f>Y87</f>
        <v/>
      </c>
    </row>
    <row r="88">
      <c r="A88" s="92" t="inlineStr">
        <is>
          <t>3,4</t>
        </is>
      </c>
      <c r="B88" s="16" t="inlineStr">
        <is>
          <t>Врезка седлообразная ф160\200</t>
        </is>
      </c>
      <c r="C88" s="17" t="inlineStr">
        <is>
          <t>шт.</t>
        </is>
      </c>
      <c r="D88" s="116" t="n">
        <v>8</v>
      </c>
      <c r="E88" s="116" t="n">
        <v>7</v>
      </c>
      <c r="F88" s="116" t="n">
        <v>6</v>
      </c>
      <c r="G88" s="116" t="n">
        <v>10</v>
      </c>
      <c r="H88" s="17" t="n"/>
      <c r="I88" s="34" t="n"/>
      <c r="J88" s="112">
        <f>I88+H88+G88+F88+E88+D88</f>
        <v/>
      </c>
      <c r="K88" s="56" t="n">
        <v>630</v>
      </c>
      <c r="L88" s="86">
        <f>K88*J88</f>
        <v/>
      </c>
      <c r="S88" s="182" t="n"/>
      <c r="T88" s="182" t="n"/>
      <c r="U88" s="182" t="n"/>
      <c r="V88" s="183" t="n"/>
      <c r="W88" s="183" t="n"/>
      <c r="Y88" s="182">
        <f>IF(X88="ок",N(L88),IF(ISNUMBER(M88),M88*J88,N(L88)))</f>
        <v/>
      </c>
      <c r="Z88" s="182">
        <f>Y88</f>
        <v/>
      </c>
    </row>
    <row r="89">
      <c r="A89" s="92" t="inlineStr">
        <is>
          <t>3,5</t>
        </is>
      </c>
      <c r="B89" s="16" t="inlineStr">
        <is>
          <t>Врезка седлообразная ф200\200</t>
        </is>
      </c>
      <c r="C89" s="17" t="inlineStr">
        <is>
          <t>шт.</t>
        </is>
      </c>
      <c r="D89" s="116" t="n">
        <v>6</v>
      </c>
      <c r="E89" s="116" t="n">
        <v>9</v>
      </c>
      <c r="F89" s="116" t="n">
        <v>7</v>
      </c>
      <c r="G89" s="116" t="n">
        <v>7</v>
      </c>
      <c r="H89" s="17" t="n"/>
      <c r="I89" s="34" t="n"/>
      <c r="J89" s="112">
        <f>I89+H89+G89+F89+E89+D89</f>
        <v/>
      </c>
      <c r="K89" s="56" t="n">
        <v>630</v>
      </c>
      <c r="L89" s="86">
        <f>K89*J89</f>
        <v/>
      </c>
      <c r="S89" s="182" t="n"/>
      <c r="T89" s="182" t="n"/>
      <c r="U89" s="182" t="n"/>
      <c r="V89" s="183" t="n"/>
      <c r="W89" s="183" t="n"/>
      <c r="Y89" s="182">
        <f>IF(X89="ок",N(L89),IF(ISNUMBER(M89),M89*J89,N(L89)))</f>
        <v/>
      </c>
      <c r="Z89" s="182">
        <f>Y89</f>
        <v/>
      </c>
    </row>
    <row r="90">
      <c r="A90" s="92" t="inlineStr">
        <is>
          <t>3,6</t>
        </is>
      </c>
      <c r="B90" s="16" t="inlineStr">
        <is>
          <t>Врезка прямая ф100</t>
        </is>
      </c>
      <c r="C90" s="17" t="inlineStr">
        <is>
          <t>шт.</t>
        </is>
      </c>
      <c r="D90" s="116" t="n">
        <v>4</v>
      </c>
      <c r="E90" s="116" t="n">
        <v>3</v>
      </c>
      <c r="F90" s="116" t="n">
        <v>3</v>
      </c>
      <c r="G90" s="116" t="n">
        <v>4</v>
      </c>
      <c r="H90" s="17" t="n"/>
      <c r="I90" s="34" t="n"/>
      <c r="J90" s="112">
        <f>I90+H90+G90+F90+E90+D90</f>
        <v/>
      </c>
      <c r="K90" s="56" t="n">
        <v>630</v>
      </c>
      <c r="L90" s="86">
        <f>K90*J90</f>
        <v/>
      </c>
      <c r="S90" s="182" t="n"/>
      <c r="T90" s="182" t="n"/>
      <c r="U90" s="182" t="n"/>
      <c r="V90" s="183" t="n"/>
      <c r="W90" s="183" t="n"/>
      <c r="Y90" s="182">
        <f>IF(X90="ок",N(L90),IF(ISNUMBER(M90),M90*J90,N(L90)))</f>
        <v/>
      </c>
      <c r="Z90" s="182">
        <f>Y90</f>
        <v/>
      </c>
    </row>
    <row r="91" ht="63.75" customHeight="1" s="155">
      <c r="A91" s="92" t="inlineStr">
        <is>
          <t>3,7</t>
        </is>
      </c>
      <c r="B91" s="16" t="inlineStr">
        <is>
          <t>Изоляция изделий (отводы, тройники, переходы, клапана)</t>
        </is>
      </c>
      <c r="C91" s="17" t="inlineStr">
        <is>
          <t>шт.</t>
        </is>
      </c>
      <c r="D91" s="116" t="n">
        <v>300</v>
      </c>
      <c r="E91" s="116" t="n">
        <v>300</v>
      </c>
      <c r="F91" s="116" t="n">
        <v>300</v>
      </c>
      <c r="G91" s="116" t="n">
        <v>295</v>
      </c>
      <c r="H91" s="17" t="n"/>
      <c r="I91" s="34" t="n"/>
      <c r="J91" s="112">
        <f>I91+H91+G91+F91+E91+D91</f>
        <v/>
      </c>
      <c r="K91" s="130" t="n">
        <v>570</v>
      </c>
      <c r="L91" s="86">
        <f>K91*J91</f>
        <v/>
      </c>
      <c r="M91" s="124" t="n">
        <v>570</v>
      </c>
      <c r="N91" s="119" t="n"/>
      <c r="P91" s="186">
        <f>M91*J91</f>
        <v/>
      </c>
      <c r="Q91" s="186">
        <f>P91-L91</f>
        <v/>
      </c>
      <c r="S91" s="184" t="n">
        <v>740</v>
      </c>
      <c r="T91" s="184">
        <f>S91*J91</f>
        <v/>
      </c>
      <c r="U91" s="184">
        <f>T91-Y91</f>
        <v/>
      </c>
      <c r="V91" s="185" t="inlineStr">
        <is>
          <t>Компромисс</t>
        </is>
      </c>
      <c r="W91" s="185" t="n"/>
      <c r="X91" s="174" t="inlineStr">
        <is>
          <t>Цену за изоляцию и так подняли относительно изначального КП. Не можем поднимать цены относительно изначального Договора на 150%. Надо было изначально грамотно оценивать КП</t>
        </is>
      </c>
      <c r="Y91" s="182">
        <f>IF(X91="ок",N(L91),IF(ISNUMBER(M91),M91*J91,N(L91)))</f>
        <v/>
      </c>
      <c r="Z91" s="182">
        <f>T91</f>
        <v/>
      </c>
    </row>
    <row r="92">
      <c r="A92" s="92" t="inlineStr">
        <is>
          <t>3,8</t>
        </is>
      </c>
      <c r="B92" s="16" t="inlineStr">
        <is>
          <t>Ниппель ф160</t>
        </is>
      </c>
      <c r="C92" s="17" t="inlineStr">
        <is>
          <t>шт.</t>
        </is>
      </c>
      <c r="D92" s="116" t="n">
        <v>5</v>
      </c>
      <c r="E92" s="116" t="n">
        <v>7</v>
      </c>
      <c r="F92" s="116" t="n">
        <v>7</v>
      </c>
      <c r="G92" s="116" t="n">
        <v>8</v>
      </c>
      <c r="H92" s="17" t="n"/>
      <c r="I92" s="34" t="n"/>
      <c r="J92" s="112">
        <f>I92+H92+G92+F92+E92+D92</f>
        <v/>
      </c>
      <c r="K92" s="56" t="n">
        <v>630</v>
      </c>
      <c r="L92" s="86">
        <f>K92*J92</f>
        <v/>
      </c>
      <c r="S92" s="182" t="n"/>
      <c r="T92" s="182" t="n"/>
      <c r="U92" s="182" t="n"/>
      <c r="V92" s="183" t="n"/>
      <c r="W92" s="183" t="n"/>
      <c r="Y92" s="182">
        <f>IF(X92="ок",N(L92),IF(ISNUMBER(M92),M92*J92,N(L92)))</f>
        <v/>
      </c>
      <c r="Z92" s="182">
        <f>Y92</f>
        <v/>
      </c>
    </row>
    <row r="93" ht="51" customHeight="1" s="155">
      <c r="A93" s="92" t="inlineStr">
        <is>
          <t>3,9</t>
        </is>
      </c>
      <c r="B93" s="16" t="inlineStr">
        <is>
          <t>Монтаж пожарного клапана</t>
        </is>
      </c>
      <c r="C93" s="18" t="inlineStr">
        <is>
          <t>к-т</t>
        </is>
      </c>
      <c r="D93" s="116" t="n"/>
      <c r="E93" s="116" t="n">
        <v>1</v>
      </c>
      <c r="F93" s="116" t="n">
        <v>1</v>
      </c>
      <c r="G93" s="116" t="n"/>
      <c r="H93" s="18" t="n"/>
      <c r="I93" s="53" t="n"/>
      <c r="J93" s="112">
        <f>I93+H93+G93+F93+E93+D93</f>
        <v/>
      </c>
      <c r="K93" s="130" t="n">
        <v>2900</v>
      </c>
      <c r="L93" s="86">
        <f>K93*J93</f>
        <v/>
      </c>
      <c r="M93" s="124" t="n">
        <v>2900</v>
      </c>
      <c r="N93" s="118" t="inlineStr">
        <is>
          <t>сильно завышена расценка</t>
        </is>
      </c>
      <c r="P93" s="186">
        <f>M93*J93</f>
        <v/>
      </c>
      <c r="Q93" s="186">
        <f>P93-L93</f>
        <v/>
      </c>
      <c r="S93" s="187" t="n">
        <v>3100</v>
      </c>
      <c r="T93" s="187">
        <f>S93*J93</f>
        <v/>
      </c>
      <c r="U93" s="187">
        <f>T93-Y93</f>
        <v/>
      </c>
      <c r="V93" s="188" t="inlineStr">
        <is>
          <t>По Вашему максимуму</t>
        </is>
      </c>
      <c r="W93" s="188" t="n"/>
      <c r="X93" s="119" t="inlineStr">
        <is>
          <t>Клапан существующий. Вы просто перемонтировали кусок воздуховода с клапаном, без подключений и отключений. Это не может стоить 21000. Максимум - 3100руб</t>
        </is>
      </c>
      <c r="Y93" s="182">
        <f>IF(X93="ок",N(L93),IF(ISNUMBER(M93),M93*J93,N(L93)))</f>
        <v/>
      </c>
      <c r="Z93" s="182">
        <f>T93</f>
        <v/>
      </c>
    </row>
    <row r="94">
      <c r="A94" s="92" t="inlineStr">
        <is>
          <t>3,10</t>
        </is>
      </c>
      <c r="B94" s="16" t="inlineStr">
        <is>
          <t>Обрезка вытяжных воздуховодов</t>
        </is>
      </c>
      <c r="C94" s="18" t="inlineStr">
        <is>
          <t>шт</t>
        </is>
      </c>
      <c r="D94" s="116" t="n">
        <v>16</v>
      </c>
      <c r="E94" s="116" t="n">
        <v>16</v>
      </c>
      <c r="F94" s="116" t="n">
        <v>16</v>
      </c>
      <c r="G94" s="116" t="n">
        <v>16</v>
      </c>
      <c r="H94" s="18" t="n"/>
      <c r="I94" s="53" t="n"/>
      <c r="J94" s="112">
        <f>I94+H94+G94+F94+E94+D94</f>
        <v/>
      </c>
      <c r="K94" s="56" t="n">
        <v>1120</v>
      </c>
      <c r="L94" s="86">
        <f>K94*J94</f>
        <v/>
      </c>
      <c r="S94" s="182" t="n"/>
      <c r="T94" s="182" t="n"/>
      <c r="U94" s="182" t="n"/>
      <c r="V94" s="183" t="n"/>
      <c r="W94" s="183" t="n"/>
      <c r="Y94" s="182">
        <f>IF(X94="ок",N(L94),IF(ISNUMBER(M94),M94*J94,N(L94)))</f>
        <v/>
      </c>
      <c r="Z94" s="182">
        <f>Y94</f>
        <v/>
      </c>
    </row>
    <row r="95">
      <c r="A95" s="92" t="inlineStr">
        <is>
          <t>3,11</t>
        </is>
      </c>
      <c r="B95" s="16" t="inlineStr">
        <is>
          <t>Демонтаж вытяжки 400*200</t>
        </is>
      </c>
      <c r="C95" s="18" t="inlineStr">
        <is>
          <t>мп</t>
        </is>
      </c>
      <c r="D95" s="116" t="n">
        <v>8</v>
      </c>
      <c r="E95" s="116" t="n">
        <v>8</v>
      </c>
      <c r="F95" s="116" t="n">
        <v>8</v>
      </c>
      <c r="G95" s="116" t="n">
        <v>10.4</v>
      </c>
      <c r="H95" s="18" t="n"/>
      <c r="I95" s="53" t="n"/>
      <c r="J95" s="112">
        <f>I95+H95+G95+F95+E95+D95</f>
        <v/>
      </c>
      <c r="K95" s="56" t="n">
        <v>840</v>
      </c>
      <c r="L95" s="86">
        <f>K95*J95</f>
        <v/>
      </c>
      <c r="S95" s="182" t="n"/>
      <c r="T95" s="182" t="n"/>
      <c r="U95" s="182" t="n"/>
      <c r="V95" s="183" t="n"/>
      <c r="W95" s="183" t="n"/>
      <c r="Y95" s="182">
        <f>IF(X95="ок",N(L95),IF(ISNUMBER(M95),M95*J95,N(L95)))</f>
        <v/>
      </c>
      <c r="Z95" s="182">
        <f>Y95</f>
        <v/>
      </c>
    </row>
    <row r="96">
      <c r="A96" s="92" t="inlineStr">
        <is>
          <t>3,12</t>
        </is>
      </c>
      <c r="B96" s="16" t="inlineStr">
        <is>
          <t>Демонтаж вытяжки ф200</t>
        </is>
      </c>
      <c r="C96" s="18" t="inlineStr">
        <is>
          <t>мп</t>
        </is>
      </c>
      <c r="D96" s="116" t="n">
        <v>8</v>
      </c>
      <c r="E96" s="116" t="n">
        <v>8</v>
      </c>
      <c r="F96" s="116" t="n">
        <v>8</v>
      </c>
      <c r="G96" s="116" t="n">
        <v>8.800000000000001</v>
      </c>
      <c r="H96" s="18" t="n"/>
      <c r="I96" s="53" t="n"/>
      <c r="J96" s="112">
        <f>I96+H96+G96+F96+E96+D96</f>
        <v/>
      </c>
      <c r="K96" s="56" t="n">
        <v>700</v>
      </c>
      <c r="L96" s="86">
        <f>K96*J96</f>
        <v/>
      </c>
      <c r="S96" s="182" t="n"/>
      <c r="T96" s="182" t="n"/>
      <c r="U96" s="182" t="n"/>
      <c r="V96" s="183" t="n"/>
      <c r="W96" s="183" t="n"/>
      <c r="Y96" s="182">
        <f>IF(X96="ок",N(L96),IF(ISNUMBER(M96),M96*J96,N(L96)))</f>
        <v/>
      </c>
      <c r="Z96" s="182">
        <f>Y96</f>
        <v/>
      </c>
    </row>
    <row r="97" ht="51" customHeight="1" s="155">
      <c r="A97" s="92" t="inlineStr">
        <is>
          <t>3,13</t>
        </is>
      </c>
      <c r="B97" s="16" t="inlineStr">
        <is>
          <t xml:space="preserve">Перемонтаж щелевых диффузоров </t>
        </is>
      </c>
      <c r="C97" s="18" t="inlineStr">
        <is>
          <t>к-т</t>
        </is>
      </c>
      <c r="D97" s="116" t="n">
        <v>2</v>
      </c>
      <c r="E97" s="116" t="n">
        <v>2</v>
      </c>
      <c r="F97" s="116" t="n">
        <v>2</v>
      </c>
      <c r="G97" s="116" t="n">
        <v>2</v>
      </c>
      <c r="H97" s="18" t="n"/>
      <c r="I97" s="53" t="n"/>
      <c r="J97" s="112">
        <f>I97+H97+G97+F97+E97+D97</f>
        <v/>
      </c>
      <c r="K97" s="130" t="n">
        <v>4800</v>
      </c>
      <c r="L97" s="86">
        <f>K97*J97</f>
        <v/>
      </c>
      <c r="M97" s="171" t="n"/>
      <c r="N97" s="172" t="n"/>
      <c r="O97" s="172" t="n"/>
      <c r="P97" s="172" t="n"/>
      <c r="Q97" s="172" t="n"/>
      <c r="S97" s="184" t="n">
        <v>6240</v>
      </c>
      <c r="T97" s="184">
        <f>S97*J97</f>
        <v/>
      </c>
      <c r="U97" s="184">
        <f>T97-Y97</f>
        <v/>
      </c>
      <c r="V97" s="185" t="inlineStr">
        <is>
          <t>Компромисс</t>
        </is>
      </c>
      <c r="W97" s="185" t="n"/>
      <c r="X97" s="170" t="inlineStr">
        <is>
          <t xml:space="preserve">Монтаж диффузора - 4000р. Вы хотите 12800 за демонтаж? </t>
        </is>
      </c>
      <c r="Y97" s="182">
        <f>IF(X97="ок",N(L97),IF(ISNUMBER(M97),M97*J97,N(L97)))</f>
        <v/>
      </c>
      <c r="Z97" s="182">
        <f>T97</f>
        <v/>
      </c>
    </row>
    <row r="98" ht="26.45" customHeight="1" s="155">
      <c r="A98" s="92" t="inlineStr">
        <is>
          <t>3,14</t>
        </is>
      </c>
      <c r="B98" s="16" t="inlineStr">
        <is>
          <t xml:space="preserve">Перемонтаж вентканалов </t>
        </is>
      </c>
      <c r="C98" s="18" t="inlineStr">
        <is>
          <t>мп</t>
        </is>
      </c>
      <c r="D98" s="116" t="n">
        <v>18</v>
      </c>
      <c r="E98" s="116" t="n">
        <v>18</v>
      </c>
      <c r="F98" s="116" t="n">
        <v>16</v>
      </c>
      <c r="G98" s="116" t="n">
        <v>9.6</v>
      </c>
      <c r="H98" s="18" t="n"/>
      <c r="I98" s="53" t="n"/>
      <c r="J98" s="112">
        <f>I98+H98+G98+F98+E98+D98</f>
        <v/>
      </c>
      <c r="K98" s="126" t="n">
        <v>920</v>
      </c>
      <c r="L98" s="86">
        <f>K98*J98</f>
        <v/>
      </c>
      <c r="M98" s="119" t="inlineStr">
        <is>
          <t>Какие размеры?</t>
        </is>
      </c>
      <c r="O98" s="125" t="inlineStr">
        <is>
          <t>Цена Согласована Марк</t>
        </is>
      </c>
      <c r="S98" s="184" t="n">
        <v>1120</v>
      </c>
      <c r="T98" s="184">
        <f>S98*J98</f>
        <v/>
      </c>
      <c r="U98" s="184">
        <f>T98-Y98</f>
        <v/>
      </c>
      <c r="V98" s="185" t="inlineStr">
        <is>
          <t>Компромисс</t>
        </is>
      </c>
      <c r="W98" s="185" t="n"/>
      <c r="Y98" s="182">
        <f>IF(X98="ок",N(L98),IF(ISNUMBER(M98),M98*J98,N(L98)))</f>
        <v/>
      </c>
      <c r="Z98" s="182">
        <f>T98</f>
        <v/>
      </c>
    </row>
    <row r="99" ht="38.25" customHeight="1" s="155">
      <c r="A99" s="92" t="inlineStr">
        <is>
          <t>3,15</t>
        </is>
      </c>
      <c r="B99" s="16" t="inlineStr">
        <is>
          <t>Демонтаж диффузора, монтаж гибкой подводки, монтаж диффузора в гкл</t>
        </is>
      </c>
      <c r="C99" s="18" t="inlineStr">
        <is>
          <t>к-т</t>
        </is>
      </c>
      <c r="D99" s="116" t="n">
        <v>2</v>
      </c>
      <c r="E99" s="116" t="n">
        <v>1</v>
      </c>
      <c r="F99" s="116" t="n">
        <v>2</v>
      </c>
      <c r="G99" s="116" t="n">
        <v>1</v>
      </c>
      <c r="H99" s="18" t="n"/>
      <c r="I99" s="53" t="n"/>
      <c r="J99" s="112">
        <f>I99+H99+G99+F99+E99+D99</f>
        <v/>
      </c>
      <c r="K99" s="130">
        <f>300+600+600</f>
        <v/>
      </c>
      <c r="L99" s="86">
        <f>K99*J99</f>
        <v/>
      </c>
      <c r="M99" s="119" t="inlineStr">
        <is>
          <t>Расписать какой диффузор, какая гибкая подводка?</t>
        </is>
      </c>
      <c r="Q99" s="124" t="inlineStr">
        <is>
          <t>демонтаж существующего диффузора, монтаж гибкой подводки временно, после зашивке ГКЛ будет монтаж данного диффузора в ГКЛ</t>
        </is>
      </c>
      <c r="S99" s="187" t="n">
        <v>1800</v>
      </c>
      <c r="T99" s="187">
        <f>S99*J99</f>
        <v/>
      </c>
      <c r="U99" s="187">
        <f>T99-Y99</f>
        <v/>
      </c>
      <c r="V99" s="188" t="inlineStr">
        <is>
          <t>По Вашему максимуму</t>
        </is>
      </c>
      <c r="W99" s="188" t="n"/>
      <c r="X99" s="119" t="inlineStr">
        <is>
          <t>Диффузор обычный , вытаскивается одной рукой. Максимум 1800руб</t>
        </is>
      </c>
      <c r="Y99" s="182">
        <f>IF(X99="ок",N(L99),IF(ISNUMBER(M99),M99*J99,N(L99)))</f>
        <v/>
      </c>
      <c r="Z99" s="182">
        <f>T99</f>
        <v/>
      </c>
    </row>
    <row r="100">
      <c r="A100" s="92" t="inlineStr">
        <is>
          <t>3,16</t>
        </is>
      </c>
      <c r="B100" s="16" t="inlineStr">
        <is>
          <t>Перемонтаж вентканалов (пересечение с АУПТ)</t>
        </is>
      </c>
      <c r="C100" s="18" t="inlineStr">
        <is>
          <t>к-т</t>
        </is>
      </c>
      <c r="D100" s="116" t="n"/>
      <c r="E100" s="116" t="n"/>
      <c r="F100" s="116" t="n">
        <v>1</v>
      </c>
      <c r="G100" s="116" t="n">
        <v>1</v>
      </c>
      <c r="H100" s="18" t="n"/>
      <c r="I100" s="53" t="n"/>
      <c r="J100" s="112">
        <f>I100+H100+G100+F100+E100+D100</f>
        <v/>
      </c>
      <c r="K100" s="126" t="n">
        <v>7000</v>
      </c>
      <c r="L100" s="86">
        <f>K100*J100</f>
        <v/>
      </c>
      <c r="M100" s="119" t="inlineStr">
        <is>
          <t>расписать что за работа?</t>
        </is>
      </c>
      <c r="P100" s="124" t="inlineStr">
        <is>
          <t xml:space="preserve">Переделка согласованной трассы из-за изменений по системе АПТ. </t>
        </is>
      </c>
      <c r="S100" s="182" t="n"/>
      <c r="T100" s="182" t="n"/>
      <c r="U100" s="182" t="n"/>
      <c r="V100" s="183" t="n"/>
      <c r="W100" s="183" t="n"/>
      <c r="Y100" s="182">
        <f>IF(X100="ок",N(L100),IF(ISNUMBER(M100),M100*J100,N(L100)))</f>
        <v/>
      </c>
      <c r="Z100" s="182">
        <f>Y100</f>
        <v/>
      </c>
    </row>
    <row r="101">
      <c r="A101" s="92" t="inlineStr">
        <is>
          <t>3,17</t>
        </is>
      </c>
      <c r="B101" s="16" t="inlineStr">
        <is>
          <t>Демонтаж труб пожаротушения (сплинклер)</t>
        </is>
      </c>
      <c r="C101" s="18" t="inlineStr">
        <is>
          <t>мп</t>
        </is>
      </c>
      <c r="D101" s="116" t="n">
        <v>30</v>
      </c>
      <c r="E101" s="116" t="n">
        <v>30</v>
      </c>
      <c r="F101" s="116" t="n">
        <v>30</v>
      </c>
      <c r="G101" s="116" t="n">
        <v>30</v>
      </c>
      <c r="H101" s="18" t="n"/>
      <c r="I101" s="53" t="n"/>
      <c r="J101" s="112">
        <f>I101+H101+G101+F101+E101+D101</f>
        <v/>
      </c>
      <c r="K101" s="120" t="n">
        <v>700</v>
      </c>
      <c r="L101" s="86">
        <f>K101*J101</f>
        <v/>
      </c>
      <c r="M101" s="119" t="inlineStr">
        <is>
          <t>какая труба?</t>
        </is>
      </c>
      <c r="O101" s="124" t="inlineStr">
        <is>
          <t>разные диаметры, 32, 40, 25, 20</t>
        </is>
      </c>
      <c r="S101" s="182" t="n"/>
      <c r="T101" s="182" t="n"/>
      <c r="U101" s="182" t="n"/>
      <c r="V101" s="183" t="n"/>
      <c r="W101" s="183" t="n"/>
      <c r="Y101" s="182">
        <f>IF(X101="ок",N(L101),IF(ISNUMBER(M101),M101*J101,N(L101)))</f>
        <v/>
      </c>
      <c r="Z101" s="182">
        <f>Y101</f>
        <v/>
      </c>
    </row>
    <row r="102">
      <c r="A102" s="92" t="inlineStr">
        <is>
          <t>3,18</t>
        </is>
      </c>
      <c r="B102" s="16" t="inlineStr">
        <is>
          <t>Устройство проходок (изоляция)</t>
        </is>
      </c>
      <c r="C102" s="18" t="inlineStr">
        <is>
          <t>шт</t>
        </is>
      </c>
      <c r="D102" s="116" t="n">
        <v>16</v>
      </c>
      <c r="E102" s="116" t="n">
        <v>16</v>
      </c>
      <c r="F102" s="116" t="n">
        <v>16</v>
      </c>
      <c r="G102" s="116" t="n">
        <v>16</v>
      </c>
      <c r="H102" s="18" t="n"/>
      <c r="I102" s="53" t="n"/>
      <c r="J102" s="112">
        <f>I102+H102+G102+F102+E102+D102</f>
        <v/>
      </c>
      <c r="K102" s="56" t="n">
        <v>420</v>
      </c>
      <c r="L102" s="86">
        <f>K102*J102</f>
        <v/>
      </c>
      <c r="M102" s="119" t="inlineStr">
        <is>
          <t>Где проходка? Что изолируется?</t>
        </is>
      </c>
      <c r="P102" s="124" t="inlineStr">
        <is>
          <t>Воздуховоды, которые без изоляции, в местах проходок через стену изолируются</t>
        </is>
      </c>
      <c r="S102" s="182" t="n"/>
      <c r="T102" s="182" t="n"/>
      <c r="U102" s="182" t="n"/>
      <c r="V102" s="183" t="n"/>
      <c r="W102" s="183" t="n"/>
      <c r="Y102" s="182">
        <f>IF(X102="ок",N(L102),IF(ISNUMBER(M102),M102*J102,N(L102)))</f>
        <v/>
      </c>
      <c r="Z102" s="182">
        <f>Y102</f>
        <v/>
      </c>
    </row>
    <row r="103" ht="38.25" customHeight="1" s="155">
      <c r="A103" s="92" t="inlineStr">
        <is>
          <t>3,19</t>
        </is>
      </c>
      <c r="B103" s="16" t="inlineStr">
        <is>
          <t>Демонтаж короба щелевой решетки</t>
        </is>
      </c>
      <c r="C103" s="18" t="inlineStr">
        <is>
          <t>шт</t>
        </is>
      </c>
      <c r="D103" s="116" t="n">
        <v>2</v>
      </c>
      <c r="E103" s="116" t="n">
        <v>2</v>
      </c>
      <c r="F103" s="116" t="n">
        <v>2</v>
      </c>
      <c r="G103" s="116" t="n">
        <v>2</v>
      </c>
      <c r="H103" s="18" t="n"/>
      <c r="I103" s="53" t="n"/>
      <c r="J103" s="112">
        <f>I103+H103+G103+F103+E103+D103</f>
        <v/>
      </c>
      <c r="K103" s="130" t="n">
        <v>2400</v>
      </c>
      <c r="L103" s="86">
        <f>K103*J103</f>
        <v/>
      </c>
      <c r="M103" s="119" t="inlineStr">
        <is>
          <t>непонятно что за работа, расписать</t>
        </is>
      </c>
      <c r="P103" s="124" t="inlineStr">
        <is>
          <t>щелевой диффузор достать из металлической плитки армстронга.</t>
        </is>
      </c>
      <c r="S103" s="187" t="n">
        <v>2800</v>
      </c>
      <c r="T103" s="187">
        <f>S103*J103</f>
        <v/>
      </c>
      <c r="U103" s="187">
        <f>T103-Y103</f>
        <v/>
      </c>
      <c r="V103" s="188" t="inlineStr">
        <is>
          <t>По Вашему максимуму</t>
        </is>
      </c>
      <c r="W103" s="188" t="n"/>
      <c r="X103" s="119" t="inlineStr">
        <is>
          <t>Максимум 2800</t>
        </is>
      </c>
      <c r="Y103" s="182">
        <f>IF(X103="ок",N(L103),IF(ISNUMBER(M103),M103*J103,N(L103)))</f>
        <v/>
      </c>
      <c r="Z103" s="182">
        <f>T103</f>
        <v/>
      </c>
    </row>
    <row r="104">
      <c r="A104" s="92" t="inlineStr">
        <is>
          <t>3,20</t>
        </is>
      </c>
      <c r="B104" s="16" t="inlineStr">
        <is>
          <t>соединитель 63</t>
        </is>
      </c>
      <c r="C104" s="17" t="inlineStr">
        <is>
          <t>шт.</t>
        </is>
      </c>
      <c r="D104" s="116" t="n">
        <v>10</v>
      </c>
      <c r="E104" s="116" t="n">
        <v>10</v>
      </c>
      <c r="F104" s="116" t="n">
        <v>10</v>
      </c>
      <c r="G104" s="116" t="n">
        <v>10</v>
      </c>
      <c r="H104" s="17" t="n"/>
      <c r="I104" s="34" t="n"/>
      <c r="J104" s="112">
        <f>I104+H104+G104+F104+E104+D104</f>
        <v/>
      </c>
      <c r="K104" s="56" t="n">
        <v>588</v>
      </c>
      <c r="L104" s="86">
        <f>K104*J104</f>
        <v/>
      </c>
      <c r="S104" s="182" t="n"/>
      <c r="T104" s="182" t="n"/>
      <c r="U104" s="182" t="n"/>
      <c r="V104" s="183" t="n"/>
      <c r="W104" s="183" t="n"/>
      <c r="Y104" s="182">
        <f>IF(X104="ок",N(L104),IF(ISNUMBER(M104),M104*J104,N(L104)))</f>
        <v/>
      </c>
      <c r="Z104" s="182">
        <f>Y104</f>
        <v/>
      </c>
    </row>
    <row r="105">
      <c r="A105" s="92" t="inlineStr">
        <is>
          <t>3,21</t>
        </is>
      </c>
      <c r="B105" s="16" t="inlineStr">
        <is>
          <t>соединитель 50</t>
        </is>
      </c>
      <c r="C105" s="17" t="inlineStr">
        <is>
          <t>шт.</t>
        </is>
      </c>
      <c r="D105" s="116" t="n">
        <v>10</v>
      </c>
      <c r="E105" s="116" t="n">
        <v>10</v>
      </c>
      <c r="F105" s="116" t="n">
        <v>10</v>
      </c>
      <c r="G105" s="116" t="n">
        <v>10</v>
      </c>
      <c r="H105" s="17" t="n"/>
      <c r="I105" s="34" t="n"/>
      <c r="J105" s="112">
        <f>I105+H105+G105+F105+E105+D105</f>
        <v/>
      </c>
      <c r="K105" s="56" t="n">
        <v>588</v>
      </c>
      <c r="L105" s="86">
        <f>K105*J105</f>
        <v/>
      </c>
      <c r="S105" s="182" t="n"/>
      <c r="T105" s="182" t="n"/>
      <c r="U105" s="182" t="n"/>
      <c r="V105" s="183" t="n"/>
      <c r="W105" s="183" t="n"/>
      <c r="Y105" s="182">
        <f>IF(X105="ок",N(L105),IF(ISNUMBER(M105),M105*J105,N(L105)))</f>
        <v/>
      </c>
      <c r="Z105" s="182">
        <f>Y105</f>
        <v/>
      </c>
    </row>
    <row r="106">
      <c r="A106" s="92" t="inlineStr">
        <is>
          <t>3,22</t>
        </is>
      </c>
      <c r="B106" s="16" t="inlineStr">
        <is>
          <t>соединитель 40</t>
        </is>
      </c>
      <c r="C106" s="17" t="inlineStr">
        <is>
          <t>шт.</t>
        </is>
      </c>
      <c r="D106" s="116" t="n">
        <v>6</v>
      </c>
      <c r="E106" s="116" t="n">
        <v>6</v>
      </c>
      <c r="F106" s="116" t="n">
        <v>6</v>
      </c>
      <c r="G106" s="116" t="n">
        <v>6</v>
      </c>
      <c r="H106" s="17" t="n"/>
      <c r="I106" s="34" t="n"/>
      <c r="J106" s="112">
        <f>I106+H106+G106+F106+E106+D106</f>
        <v/>
      </c>
      <c r="K106" s="56" t="n">
        <v>588</v>
      </c>
      <c r="L106" s="86">
        <f>K106*J106</f>
        <v/>
      </c>
      <c r="S106" s="182" t="n"/>
      <c r="T106" s="182" t="n"/>
      <c r="U106" s="182" t="n"/>
      <c r="V106" s="183" t="n"/>
      <c r="W106" s="183" t="n"/>
      <c r="Y106" s="182">
        <f>IF(X106="ок",N(L106),IF(ISNUMBER(M106),M106*J106,N(L106)))</f>
        <v/>
      </c>
      <c r="Z106" s="182">
        <f>Y106</f>
        <v/>
      </c>
    </row>
    <row r="107">
      <c r="A107" s="92" t="inlineStr">
        <is>
          <t>3,23</t>
        </is>
      </c>
      <c r="B107" s="16" t="inlineStr">
        <is>
          <t>соединитель 32</t>
        </is>
      </c>
      <c r="C107" s="17" t="inlineStr">
        <is>
          <t>шт.</t>
        </is>
      </c>
      <c r="D107" s="116" t="n">
        <v>14</v>
      </c>
      <c r="E107" s="116" t="n">
        <v>14</v>
      </c>
      <c r="F107" s="116" t="n">
        <v>14</v>
      </c>
      <c r="G107" s="116" t="n">
        <v>14</v>
      </c>
      <c r="H107" s="17" t="n"/>
      <c r="I107" s="34" t="n"/>
      <c r="J107" s="112">
        <f>I107+H107+G107+F107+E107+D107</f>
        <v/>
      </c>
      <c r="K107" s="56" t="n">
        <v>588</v>
      </c>
      <c r="L107" s="86">
        <f>K107*J107</f>
        <v/>
      </c>
      <c r="S107" s="182" t="n"/>
      <c r="T107" s="182" t="n"/>
      <c r="U107" s="182" t="n"/>
      <c r="V107" s="183" t="n"/>
      <c r="W107" s="183" t="n"/>
      <c r="Y107" s="182">
        <f>IF(X107="ок",N(L107),IF(ISNUMBER(M107),M107*J107,N(L107)))</f>
        <v/>
      </c>
      <c r="Z107" s="182">
        <f>Y107</f>
        <v/>
      </c>
    </row>
    <row r="108">
      <c r="A108" s="92" t="inlineStr">
        <is>
          <t>3,24</t>
        </is>
      </c>
      <c r="B108" s="16" t="inlineStr">
        <is>
          <t>соединитель 25</t>
        </is>
      </c>
      <c r="C108" s="17" t="inlineStr">
        <is>
          <t>шт.</t>
        </is>
      </c>
      <c r="D108" s="116" t="n">
        <v>2</v>
      </c>
      <c r="E108" s="116" t="n">
        <v>2</v>
      </c>
      <c r="F108" s="116" t="n">
        <v>2</v>
      </c>
      <c r="G108" s="116" t="n">
        <v>2</v>
      </c>
      <c r="H108" s="17" t="n"/>
      <c r="I108" s="34" t="n"/>
      <c r="J108" s="112">
        <f>I108+H108+G108+F108+E108+D108</f>
        <v/>
      </c>
      <c r="K108" s="56" t="n">
        <v>588</v>
      </c>
      <c r="L108" s="86">
        <f>K108*J108</f>
        <v/>
      </c>
      <c r="S108" s="182" t="n"/>
      <c r="T108" s="182" t="n"/>
      <c r="U108" s="182" t="n"/>
      <c r="V108" s="183" t="n"/>
      <c r="W108" s="183" t="n"/>
      <c r="Y108" s="182">
        <f>IF(X108="ок",N(L108),IF(ISNUMBER(M108),M108*J108,N(L108)))</f>
        <v/>
      </c>
      <c r="Z108" s="182">
        <f>Y108</f>
        <v/>
      </c>
    </row>
    <row r="109">
      <c r="A109" s="92" t="inlineStr">
        <is>
          <t>3,25</t>
        </is>
      </c>
      <c r="B109" s="16" t="inlineStr">
        <is>
          <t>тройник 63*63*63</t>
        </is>
      </c>
      <c r="C109" s="17" t="inlineStr">
        <is>
          <t>шт.</t>
        </is>
      </c>
      <c r="D109" s="116" t="n">
        <v>2</v>
      </c>
      <c r="E109" s="116" t="n">
        <v>2</v>
      </c>
      <c r="F109" s="116" t="n">
        <v>2</v>
      </c>
      <c r="G109" s="116" t="n">
        <v>2</v>
      </c>
      <c r="H109" s="17" t="n"/>
      <c r="I109" s="34" t="n"/>
      <c r="J109" s="112">
        <f>I109+H109+G109+F109+E109+D109</f>
        <v/>
      </c>
      <c r="K109" s="56" t="n">
        <v>588</v>
      </c>
      <c r="L109" s="86">
        <f>K109*J109</f>
        <v/>
      </c>
      <c r="S109" s="182" t="n"/>
      <c r="T109" s="182" t="n"/>
      <c r="U109" s="182" t="n"/>
      <c r="V109" s="183" t="n"/>
      <c r="W109" s="183" t="n"/>
      <c r="Y109" s="182">
        <f>IF(X109="ок",N(L109),IF(ISNUMBER(M109),M109*J109,N(L109)))</f>
        <v/>
      </c>
      <c r="Z109" s="182">
        <f>Y109</f>
        <v/>
      </c>
    </row>
    <row r="110">
      <c r="A110" s="92" t="inlineStr">
        <is>
          <t>3,26</t>
        </is>
      </c>
      <c r="B110" s="16" t="inlineStr">
        <is>
          <t>тройник 32*32*32</t>
        </is>
      </c>
      <c r="C110" s="17" t="inlineStr">
        <is>
          <t>шт.</t>
        </is>
      </c>
      <c r="D110" s="116" t="n">
        <v>2</v>
      </c>
      <c r="E110" s="116" t="n">
        <v>2</v>
      </c>
      <c r="F110" s="116" t="n">
        <v>2</v>
      </c>
      <c r="G110" s="116" t="n">
        <v>2</v>
      </c>
      <c r="H110" s="17" t="n"/>
      <c r="I110" s="34" t="n"/>
      <c r="J110" s="112">
        <f>I110+H110+G110+F110+E110+D110</f>
        <v/>
      </c>
      <c r="K110" s="56" t="n">
        <v>588</v>
      </c>
      <c r="L110" s="86">
        <f>K110*J110</f>
        <v/>
      </c>
      <c r="S110" s="182" t="n"/>
      <c r="T110" s="182" t="n"/>
      <c r="U110" s="182" t="n"/>
      <c r="V110" s="183" t="n"/>
      <c r="W110" s="183" t="n"/>
      <c r="Y110" s="182">
        <f>IF(X110="ок",N(L110),IF(ISNUMBER(M110),M110*J110,N(L110)))</f>
        <v/>
      </c>
      <c r="Z110" s="182">
        <f>Y110</f>
        <v/>
      </c>
    </row>
    <row r="111">
      <c r="A111" s="92" t="inlineStr">
        <is>
          <t>3,27</t>
        </is>
      </c>
      <c r="B111" s="16" t="inlineStr">
        <is>
          <t xml:space="preserve">подключение к вводу </t>
        </is>
      </c>
      <c r="C111" s="17" t="inlineStr">
        <is>
          <t>к-т</t>
        </is>
      </c>
      <c r="D111" s="116" t="n">
        <v>4</v>
      </c>
      <c r="E111" s="116" t="n">
        <v>4</v>
      </c>
      <c r="F111" s="116" t="n">
        <v>4</v>
      </c>
      <c r="G111" s="116" t="n">
        <v>4</v>
      </c>
      <c r="H111" s="17" t="n"/>
      <c r="I111" s="34" t="n"/>
      <c r="J111" s="112">
        <f>I111+H111+G111+F111+E111+D111</f>
        <v/>
      </c>
      <c r="K111" s="126" t="n">
        <v>2100</v>
      </c>
      <c r="L111" s="86">
        <f>K111*J111</f>
        <v/>
      </c>
      <c r="M111" s="119" t="inlineStr">
        <is>
          <t>что за подключение? Непонятно</t>
        </is>
      </c>
      <c r="P111" s="124" t="inlineStr">
        <is>
          <t>боченок, американка, переход с аксиального  на резьбовой фитинг,  демонтаж заглушек, слив остатков, удаление инородных включенийс резьб</t>
        </is>
      </c>
      <c r="S111" s="182" t="n"/>
      <c r="T111" s="182" t="n"/>
      <c r="U111" s="182" t="n"/>
      <c r="V111" s="183" t="n"/>
      <c r="W111" s="183" t="n"/>
      <c r="Y111" s="182">
        <f>IF(X111="ок",N(L111),IF(ISNUMBER(M111),M111*J111,N(L111)))</f>
        <v/>
      </c>
      <c r="Z111" s="182">
        <f>Y111</f>
        <v/>
      </c>
    </row>
    <row r="112" ht="26.45" customHeight="1" s="155">
      <c r="A112" s="92" t="inlineStr">
        <is>
          <t>3,28</t>
        </is>
      </c>
      <c r="B112" s="19" t="inlineStr">
        <is>
          <t>перемонтаж кронштейнов (подвесов, хомутов)</t>
        </is>
      </c>
      <c r="C112" s="17" t="inlineStr">
        <is>
          <t>шт.</t>
        </is>
      </c>
      <c r="D112" s="116" t="n">
        <v>30</v>
      </c>
      <c r="E112" s="116" t="n">
        <v>30</v>
      </c>
      <c r="F112" s="116" t="n">
        <v>30</v>
      </c>
      <c r="G112" s="116" t="n">
        <v>55</v>
      </c>
      <c r="H112" s="17" t="n"/>
      <c r="I112" s="34" t="n"/>
      <c r="J112" s="112">
        <f>I112+H112+G112+F112+E112+D112</f>
        <v/>
      </c>
      <c r="K112" s="126" t="n">
        <v>420</v>
      </c>
      <c r="L112" s="86">
        <f>K112*J112</f>
        <v/>
      </c>
      <c r="M112" s="119" t="inlineStr">
        <is>
          <t>по какой причине? Расценка завышена для хомутов, монтаж трубы полностью 500р, а подвесы с хомутами 420?</t>
        </is>
      </c>
      <c r="Q112" s="125" t="inlineStr">
        <is>
          <t>Цена Согласована Марк</t>
        </is>
      </c>
      <c r="R112" s="124" t="inlineStr">
        <is>
          <t>демонтировал по нашей ошибке</t>
        </is>
      </c>
      <c r="S112" s="182" t="n"/>
      <c r="T112" s="182" t="n"/>
      <c r="U112" s="182" t="n"/>
      <c r="V112" s="183" t="n"/>
      <c r="W112" s="183" t="n"/>
      <c r="Y112" s="182">
        <f>IF(X112="ок",N(L112),IF(ISNUMBER(M112),M112*J112,N(L112)))</f>
        <v/>
      </c>
      <c r="Z112" s="182">
        <f>Y112</f>
        <v/>
      </c>
    </row>
    <row r="113" ht="26.45" customHeight="1" s="155">
      <c r="A113" s="92" t="inlineStr">
        <is>
          <t>3,29</t>
        </is>
      </c>
      <c r="B113" s="19" t="inlineStr">
        <is>
          <t>переделка заготовок подвесов</t>
        </is>
      </c>
      <c r="C113" s="17" t="inlineStr">
        <is>
          <t>шт.</t>
        </is>
      </c>
      <c r="D113" s="116" t="n">
        <v>60</v>
      </c>
      <c r="E113" s="116" t="n">
        <v>60</v>
      </c>
      <c r="F113" s="116" t="n">
        <v>60</v>
      </c>
      <c r="G113" s="116" t="n">
        <v>87</v>
      </c>
      <c r="H113" s="17" t="n"/>
      <c r="I113" s="34" t="n"/>
      <c r="J113" s="112">
        <f>I113+H113+G113+F113+E113+D113</f>
        <v/>
      </c>
      <c r="K113" s="56" t="n">
        <v>112</v>
      </c>
      <c r="L113" s="86">
        <f>K113*J113</f>
        <v/>
      </c>
      <c r="M113" s="119" t="inlineStr">
        <is>
          <t>по какой причине?  Что входит в заготовку?</t>
        </is>
      </c>
      <c r="Q113" s="125" t="inlineStr">
        <is>
          <t>Цена Согласована Марк</t>
        </is>
      </c>
      <c r="S113" s="182" t="n"/>
      <c r="T113" s="182" t="n"/>
      <c r="U113" s="182" t="n"/>
      <c r="V113" s="183" t="n"/>
      <c r="W113" s="183" t="n"/>
      <c r="Y113" s="182">
        <f>IF(X113="ок",N(L113),IF(ISNUMBER(M113),M113*J113,N(L113)))</f>
        <v/>
      </c>
      <c r="Z113" s="182">
        <f>Y113</f>
        <v/>
      </c>
    </row>
    <row r="114">
      <c r="A114" s="92" t="inlineStr">
        <is>
          <t>3,30</t>
        </is>
      </c>
      <c r="B114" s="19" t="inlineStr">
        <is>
          <t>монтаж узла подсоединения к магистрали</t>
        </is>
      </c>
      <c r="C114" s="17" t="inlineStr">
        <is>
          <t>шт.</t>
        </is>
      </c>
      <c r="D114" s="116" t="n">
        <v>2</v>
      </c>
      <c r="E114" s="116" t="n">
        <v>2</v>
      </c>
      <c r="F114" s="116" t="n">
        <v>2</v>
      </c>
      <c r="G114" s="116" t="n">
        <v>2</v>
      </c>
      <c r="H114" s="17" t="n"/>
      <c r="I114" s="34" t="n"/>
      <c r="J114" s="112">
        <f>I114+H114+G114+F114+E114+D114</f>
        <v/>
      </c>
      <c r="K114" s="126" t="n">
        <v>2800</v>
      </c>
      <c r="L114" s="86">
        <f>K114*J114</f>
        <v/>
      </c>
      <c r="M114" s="119" t="inlineStr">
        <is>
          <t>Расписать подробнее что за узел?</t>
        </is>
      </c>
      <c r="P114" s="124" t="inlineStr">
        <is>
          <t>подготовка заготовок (резьба, полуотвод, резьба, американка,  переход), демонтаж заглушек, слив остатков, оистка резьб от инородных включений)</t>
        </is>
      </c>
      <c r="S114" s="182" t="n"/>
      <c r="T114" s="182" t="n"/>
      <c r="U114" s="182" t="n"/>
      <c r="V114" s="183" t="n"/>
      <c r="W114" s="183" t="n"/>
      <c r="Y114" s="182">
        <f>IF(X114="ок",N(L114),IF(ISNUMBER(M114),M114*J114,N(L114)))</f>
        <v/>
      </c>
      <c r="Z114" s="182">
        <f>Y114</f>
        <v/>
      </c>
    </row>
    <row r="115" ht="21.75" customHeight="1" s="155">
      <c r="A115" s="88" t="inlineStr">
        <is>
          <t>4</t>
        </is>
      </c>
      <c r="B115" s="27" t="inlineStr">
        <is>
          <t>Вентиляция 10 этаж</t>
        </is>
      </c>
      <c r="C115" s="28" t="n"/>
      <c r="D115" s="28" t="n"/>
      <c r="E115" s="28" t="n"/>
      <c r="F115" s="28" t="n"/>
      <c r="G115" s="28" t="n"/>
      <c r="H115" s="28" t="n"/>
      <c r="I115" s="32" t="n"/>
      <c r="J115" s="59" t="n"/>
      <c r="K115" s="55" t="n"/>
      <c r="L115" s="93">
        <f>SUM(L116:L199)</f>
        <v/>
      </c>
      <c r="S115" s="180" t="n"/>
      <c r="T115" s="180" t="n"/>
      <c r="U115" s="180" t="n"/>
      <c r="V115" s="180" t="n"/>
      <c r="W115" s="180" t="n"/>
      <c r="Y115" s="180" t="n"/>
      <c r="Z115" s="180" t="n"/>
    </row>
    <row r="116">
      <c r="A116" s="92" t="inlineStr">
        <is>
          <t>4,1</t>
        </is>
      </c>
      <c r="B116" s="19" t="inlineStr">
        <is>
          <t xml:space="preserve">Решетка защитная круглая, Ø100 БСК 100 </t>
        </is>
      </c>
      <c r="C116" s="17" t="inlineStr">
        <is>
          <t>шт.</t>
        </is>
      </c>
      <c r="D116" s="17" t="n"/>
      <c r="E116" s="17" t="n"/>
      <c r="F116" s="17" t="n"/>
      <c r="G116" s="17" t="n"/>
      <c r="H116" s="9">
        <f>J116</f>
        <v/>
      </c>
      <c r="I116" s="34" t="n"/>
      <c r="J116" s="112" t="n">
        <v>1</v>
      </c>
      <c r="K116" s="38" t="n">
        <v>1296</v>
      </c>
      <c r="L116" s="94">
        <f>K116*J116</f>
        <v/>
      </c>
      <c r="S116" s="182" t="n"/>
      <c r="T116" s="182" t="n"/>
      <c r="U116" s="182" t="n"/>
      <c r="V116" s="183" t="n"/>
      <c r="W116" s="183" t="n"/>
      <c r="Y116" s="182">
        <f>IF(X116="ок",N(L116),IF(ISNUMBER(M116),M116*J116,N(L116)))</f>
        <v/>
      </c>
      <c r="Z116" s="182">
        <f>Y116</f>
        <v/>
      </c>
    </row>
    <row r="117" ht="27.6" customHeight="1" s="155">
      <c r="A117" s="92" t="inlineStr">
        <is>
          <t>4,2</t>
        </is>
      </c>
      <c r="B117" s="19" t="inlineStr">
        <is>
          <t>Диффузор круглый со статической камерой и регулятором расхода, Ø100 ЛК 100 + КСД 0 100 100</t>
        </is>
      </c>
      <c r="C117" s="17" t="inlineStr">
        <is>
          <t>шт.</t>
        </is>
      </c>
      <c r="D117" s="17" t="n"/>
      <c r="E117" s="17" t="n"/>
      <c r="F117" s="17" t="n"/>
      <c r="G117" s="17" t="n"/>
      <c r="H117" s="9">
        <f>J117</f>
        <v/>
      </c>
      <c r="I117" s="34" t="n"/>
      <c r="J117" s="112" t="n">
        <v>4</v>
      </c>
      <c r="K117" s="38" t="n">
        <v>2592</v>
      </c>
      <c r="L117" s="94">
        <f>K117*J117</f>
        <v/>
      </c>
      <c r="S117" s="182" t="n"/>
      <c r="T117" s="182" t="n"/>
      <c r="U117" s="182" t="n"/>
      <c r="V117" s="183" t="n"/>
      <c r="W117" s="183" t="n"/>
      <c r="Y117" s="182">
        <f>IF(X117="ок",N(L117),IF(ISNUMBER(M117),M117*J117,N(L117)))</f>
        <v/>
      </c>
      <c r="Z117" s="182">
        <f>Y117</f>
        <v/>
      </c>
    </row>
    <row r="118" ht="27.6" customHeight="1" s="155">
      <c r="A118" s="92" t="inlineStr">
        <is>
          <t>4,3</t>
        </is>
      </c>
      <c r="B118" s="19" t="inlineStr">
        <is>
          <t xml:space="preserve">Диффузор круглый со статической камерой и регулятором расхода, Ø125 ЛК 125 + КСД 0 125 125 </t>
        </is>
      </c>
      <c r="C118" s="17" t="inlineStr">
        <is>
          <t>шт.</t>
        </is>
      </c>
      <c r="D118" s="17" t="n"/>
      <c r="E118" s="17" t="n"/>
      <c r="F118" s="17" t="n"/>
      <c r="G118" s="17" t="n"/>
      <c r="H118" s="9">
        <f>J118</f>
        <v/>
      </c>
      <c r="I118" s="34" t="n"/>
      <c r="J118" s="112" t="n">
        <v>2</v>
      </c>
      <c r="K118" s="38" t="n">
        <v>2592</v>
      </c>
      <c r="L118" s="94">
        <f>K118*J118</f>
        <v/>
      </c>
      <c r="S118" s="182" t="n"/>
      <c r="T118" s="182" t="n"/>
      <c r="U118" s="182" t="n"/>
      <c r="V118" s="183" t="n"/>
      <c r="W118" s="183" t="n"/>
      <c r="Y118" s="182">
        <f>IF(X118="ок",N(L118),IF(ISNUMBER(M118),M118*J118,N(L118)))</f>
        <v/>
      </c>
      <c r="Z118" s="182">
        <f>Y118</f>
        <v/>
      </c>
    </row>
    <row r="119" ht="27.6" customHeight="1" s="155">
      <c r="A119" s="92" t="inlineStr">
        <is>
          <t>4,4</t>
        </is>
      </c>
      <c r="B119" s="19" t="inlineStr">
        <is>
          <t>Диффузор круглый со статической камерой и регулятором расхода, Ø200 ЛК 200 + КСД 0 200 200</t>
        </is>
      </c>
      <c r="C119" s="17" t="inlineStr">
        <is>
          <t>шт.</t>
        </is>
      </c>
      <c r="D119" s="17" t="n"/>
      <c r="E119" s="17" t="n"/>
      <c r="F119" s="17" t="n"/>
      <c r="G119" s="17" t="n"/>
      <c r="H119" s="9">
        <f>J119</f>
        <v/>
      </c>
      <c r="I119" s="34" t="n"/>
      <c r="J119" s="112" t="n">
        <v>12</v>
      </c>
      <c r="K119" s="38" t="n">
        <v>2592</v>
      </c>
      <c r="L119" s="94">
        <f>K119*J119</f>
        <v/>
      </c>
      <c r="S119" s="182" t="n"/>
      <c r="T119" s="182" t="n"/>
      <c r="U119" s="182" t="n"/>
      <c r="V119" s="183" t="n"/>
      <c r="W119" s="183" t="n"/>
      <c r="Y119" s="182">
        <f>IF(X119="ок",N(L119),IF(ISNUMBER(M119),M119*J119,N(L119)))</f>
        <v/>
      </c>
      <c r="Z119" s="182">
        <f>Y119</f>
        <v/>
      </c>
    </row>
    <row r="120">
      <c r="A120" s="92" t="inlineStr">
        <is>
          <t>4,5</t>
        </is>
      </c>
      <c r="B120" s="19" t="inlineStr">
        <is>
          <t xml:space="preserve">Решетка щелевая, 1000мм ЛРЩ 22-1-1000-У1 </t>
        </is>
      </c>
      <c r="C120" s="17" t="inlineStr">
        <is>
          <t>шт.</t>
        </is>
      </c>
      <c r="D120" s="17" t="n"/>
      <c r="E120" s="17" t="n"/>
      <c r="F120" s="17" t="n"/>
      <c r="G120" s="17" t="n"/>
      <c r="H120" s="9">
        <f>J120</f>
        <v/>
      </c>
      <c r="I120" s="34" t="n"/>
      <c r="J120" s="112" t="n">
        <v>10</v>
      </c>
      <c r="K120" s="128" t="n">
        <v>4000</v>
      </c>
      <c r="L120" s="94">
        <f>K120*J120</f>
        <v/>
      </c>
      <c r="M120" s="124" t="n">
        <v>4000</v>
      </c>
      <c r="N120" s="119" t="inlineStr">
        <is>
          <t>по договору</t>
        </is>
      </c>
      <c r="P120" s="186">
        <f>M120*J120</f>
        <v/>
      </c>
      <c r="Q120" s="186">
        <f>P120-L120</f>
        <v/>
      </c>
      <c r="S120" s="184" t="n">
        <v>4050</v>
      </c>
      <c r="T120" s="184">
        <f>S120*J120</f>
        <v/>
      </c>
      <c r="U120" s="184">
        <f>T120-Y120</f>
        <v/>
      </c>
      <c r="V120" s="185" t="inlineStr">
        <is>
          <t>Компромисс</t>
        </is>
      </c>
      <c r="W120" s="185" t="n"/>
      <c r="Y120" s="182">
        <f>IF(X120="ок",N(L120),IF(ISNUMBER(M120),M120*J120,N(L120)))</f>
        <v/>
      </c>
      <c r="Z120" s="182">
        <f>T120</f>
        <v/>
      </c>
    </row>
    <row r="121">
      <c r="A121" s="92" t="inlineStr">
        <is>
          <t>4,6</t>
        </is>
      </c>
      <c r="B121" s="19" t="inlineStr">
        <is>
          <t xml:space="preserve">Решетка щелевая, 1000мм ЛРЩ 22-1-1000-У2 </t>
        </is>
      </c>
      <c r="C121" s="17" t="inlineStr">
        <is>
          <t>шт.</t>
        </is>
      </c>
      <c r="D121" s="17" t="n"/>
      <c r="E121" s="17" t="n"/>
      <c r="F121" s="17" t="n"/>
      <c r="G121" s="17" t="n"/>
      <c r="H121" s="9">
        <f>J121</f>
        <v/>
      </c>
      <c r="I121" s="34" t="n"/>
      <c r="J121" s="112" t="n">
        <v>2</v>
      </c>
      <c r="K121" s="128" t="n">
        <v>4000</v>
      </c>
      <c r="L121" s="94">
        <f>K121*J121</f>
        <v/>
      </c>
      <c r="M121" s="124" t="n">
        <v>4000</v>
      </c>
      <c r="N121" s="119" t="inlineStr">
        <is>
          <t>по договору</t>
        </is>
      </c>
      <c r="P121" s="186">
        <f>M121*J121</f>
        <v/>
      </c>
      <c r="Q121" s="186">
        <f>P121-L121</f>
        <v/>
      </c>
      <c r="S121" s="184" t="n">
        <v>4050</v>
      </c>
      <c r="T121" s="184">
        <f>S121*J121</f>
        <v/>
      </c>
      <c r="U121" s="184">
        <f>T121-Y121</f>
        <v/>
      </c>
      <c r="V121" s="185" t="inlineStr">
        <is>
          <t>Компромисс</t>
        </is>
      </c>
      <c r="W121" s="185" t="n"/>
      <c r="Y121" s="182">
        <f>IF(X121="ок",N(L121),IF(ISNUMBER(M121),M121*J121,N(L121)))</f>
        <v/>
      </c>
      <c r="Z121" s="182">
        <f>T121</f>
        <v/>
      </c>
    </row>
    <row r="122" ht="41.45" customHeight="1" s="155">
      <c r="A122" s="92" t="inlineStr">
        <is>
          <t>4,7</t>
        </is>
      </c>
      <c r="B122" s="19" t="inlineStr">
        <is>
          <t>Адаптер для щелевой решетки с регулятором расхода и увеличенным патрубком, 1000мм Адаптер для ЛРЩ 22-1-1000
y=67мм + заслонка</t>
        </is>
      </c>
      <c r="C122" s="17" t="inlineStr">
        <is>
          <t>шт.</t>
        </is>
      </c>
      <c r="D122" s="17" t="n"/>
      <c r="E122" s="17" t="n"/>
      <c r="F122" s="17" t="n"/>
      <c r="G122" s="17" t="n"/>
      <c r="H122" s="9">
        <f>J122</f>
        <v/>
      </c>
      <c r="I122" s="34" t="n"/>
      <c r="J122" s="112" t="n">
        <v>12</v>
      </c>
      <c r="K122" s="128" t="n">
        <v>1500</v>
      </c>
      <c r="L122" s="94">
        <f>K122*J122</f>
        <v/>
      </c>
      <c r="M122" s="124" t="n">
        <v>1500</v>
      </c>
      <c r="N122" s="119" t="inlineStr">
        <is>
          <t>расценка сильно завышена</t>
        </is>
      </c>
      <c r="P122" s="186">
        <f>M122*J122</f>
        <v/>
      </c>
      <c r="Q122" s="186">
        <f>P122-L122</f>
        <v/>
      </c>
      <c r="S122" s="184" t="n">
        <v>1950</v>
      </c>
      <c r="T122" s="184">
        <f>S122*J122</f>
        <v/>
      </c>
      <c r="U122" s="184">
        <f>T122-Y122</f>
        <v/>
      </c>
      <c r="V122" s="185" t="inlineStr">
        <is>
          <t>Компромисс</t>
        </is>
      </c>
      <c r="W122" s="185" t="n"/>
      <c r="Y122" s="182">
        <f>IF(X122="ок",N(L122),IF(ISNUMBER(M122),M122*J122,N(L122)))</f>
        <v/>
      </c>
      <c r="Z122" s="182">
        <f>T122</f>
        <v/>
      </c>
    </row>
    <row r="123">
      <c r="A123" s="92" t="inlineStr">
        <is>
          <t>4,8</t>
        </is>
      </c>
      <c r="B123" s="19" t="inlineStr">
        <is>
          <t>Решетка щелевая, 1400мм ЛРЩ 22-1-1400-У2</t>
        </is>
      </c>
      <c r="C123" s="17" t="inlineStr">
        <is>
          <t>шт.</t>
        </is>
      </c>
      <c r="D123" s="17" t="n"/>
      <c r="E123" s="17" t="n"/>
      <c r="F123" s="17" t="n"/>
      <c r="G123" s="17" t="n"/>
      <c r="H123" s="9">
        <f>J123</f>
        <v/>
      </c>
      <c r="I123" s="34" t="n"/>
      <c r="J123" s="112" t="n">
        <v>1</v>
      </c>
      <c r="K123" s="128" t="n">
        <v>4000</v>
      </c>
      <c r="L123" s="94">
        <f>K123*J123</f>
        <v/>
      </c>
      <c r="M123" s="124" t="n">
        <v>4000</v>
      </c>
      <c r="N123" s="119" t="inlineStr">
        <is>
          <t>по договору</t>
        </is>
      </c>
      <c r="P123" s="186">
        <f>M123*J123</f>
        <v/>
      </c>
      <c r="Q123" s="186">
        <f>P123-L123</f>
        <v/>
      </c>
      <c r="S123" s="184" t="n">
        <v>4860</v>
      </c>
      <c r="T123" s="184">
        <f>S123*J123</f>
        <v/>
      </c>
      <c r="U123" s="184">
        <f>T123-Y123</f>
        <v/>
      </c>
      <c r="V123" s="185" t="inlineStr">
        <is>
          <t>Компромисс</t>
        </is>
      </c>
      <c r="W123" s="185" t="n"/>
      <c r="Y123" s="182">
        <f>IF(X123="ок",N(L123),IF(ISNUMBER(M123),M123*J123,N(L123)))</f>
        <v/>
      </c>
      <c r="Z123" s="182">
        <f>T123</f>
        <v/>
      </c>
    </row>
    <row r="124" ht="69" customHeight="1" s="155">
      <c r="A124" s="92" t="inlineStr">
        <is>
          <t>4,9</t>
        </is>
      </c>
      <c r="B124" s="19" t="inlineStr">
        <is>
          <t xml:space="preserve">Адаптер для щелевой решетки с регулятором расхода, подключение 160мм два патрубка и увеличенным патрубком, 1000мм Адаптер для ЛРЩ 22-1-1400
y=67мм + подключение 2х160мм
+ заслонка </t>
        </is>
      </c>
      <c r="C124" s="17" t="inlineStr">
        <is>
          <t>шт.</t>
        </is>
      </c>
      <c r="D124" s="17" t="n"/>
      <c r="E124" s="17" t="n"/>
      <c r="F124" s="17" t="n"/>
      <c r="G124" s="17" t="n"/>
      <c r="H124" s="9">
        <f>J124</f>
        <v/>
      </c>
      <c r="I124" s="34" t="n"/>
      <c r="J124" s="112" t="n">
        <v>1</v>
      </c>
      <c r="K124" s="128" t="n">
        <v>1500</v>
      </c>
      <c r="L124" s="94">
        <f>K124*J124</f>
        <v/>
      </c>
      <c r="M124" s="124" t="n">
        <v>1500</v>
      </c>
      <c r="N124" s="119" t="inlineStr">
        <is>
          <t>расценка сильно завышена</t>
        </is>
      </c>
      <c r="P124" s="186">
        <f>M124*J124</f>
        <v/>
      </c>
      <c r="Q124" s="186">
        <f>P124-L124</f>
        <v/>
      </c>
      <c r="S124" s="184" t="n">
        <v>1950</v>
      </c>
      <c r="T124" s="184">
        <f>S124*J124</f>
        <v/>
      </c>
      <c r="U124" s="184">
        <f>T124-Y124</f>
        <v/>
      </c>
      <c r="V124" s="185" t="inlineStr">
        <is>
          <t>Компромисс</t>
        </is>
      </c>
      <c r="W124" s="185" t="n"/>
      <c r="Y124" s="182">
        <f>IF(X124="ок",N(L124),IF(ISNUMBER(M124),M124*J124,N(L124)))</f>
        <v/>
      </c>
      <c r="Z124" s="182">
        <f>T124</f>
        <v/>
      </c>
    </row>
    <row r="125">
      <c r="A125" s="92" t="inlineStr">
        <is>
          <t>4,10</t>
        </is>
      </c>
      <c r="B125" s="19" t="inlineStr">
        <is>
          <t xml:space="preserve">Решетка щелевая, 1500мм ЛРЩ 22-1-1500-У2 </t>
        </is>
      </c>
      <c r="C125" s="17" t="inlineStr">
        <is>
          <t>шт.</t>
        </is>
      </c>
      <c r="D125" s="17" t="n"/>
      <c r="E125" s="17" t="n"/>
      <c r="F125" s="17" t="n"/>
      <c r="G125" s="17" t="n"/>
      <c r="H125" s="9">
        <f>J125</f>
        <v/>
      </c>
      <c r="I125" s="34" t="n"/>
      <c r="J125" s="112" t="n">
        <v>1</v>
      </c>
      <c r="K125" s="128" t="n">
        <v>4000</v>
      </c>
      <c r="L125" s="94">
        <f>K125*J125</f>
        <v/>
      </c>
      <c r="M125" s="124" t="n">
        <v>4000</v>
      </c>
      <c r="N125" s="119" t="inlineStr">
        <is>
          <t>по договору</t>
        </is>
      </c>
      <c r="P125" s="186">
        <f>M125*J125</f>
        <v/>
      </c>
      <c r="Q125" s="186">
        <f>P125-L125</f>
        <v/>
      </c>
      <c r="S125" s="184" t="n">
        <v>5184</v>
      </c>
      <c r="T125" s="184">
        <f>S125*J125</f>
        <v/>
      </c>
      <c r="U125" s="184">
        <f>T125-Y125</f>
        <v/>
      </c>
      <c r="V125" s="185" t="inlineStr">
        <is>
          <t>Компромисс</t>
        </is>
      </c>
      <c r="W125" s="185" t="n"/>
      <c r="Y125" s="182">
        <f>IF(X125="ок",N(L125),IF(ISNUMBER(M125),M125*J125,N(L125)))</f>
        <v/>
      </c>
      <c r="Z125" s="182">
        <f>T125</f>
        <v/>
      </c>
    </row>
    <row r="126" ht="69" customHeight="1" s="155">
      <c r="A126" s="92" t="inlineStr">
        <is>
          <t>4,11</t>
        </is>
      </c>
      <c r="B126" s="19" t="inlineStr">
        <is>
          <t xml:space="preserve">Адаптер для щелевой решетки с регулятором расхода, подключение
160мм два патрубка и увеличенным патрубком, 1000мм Адаптер для ЛРЩ 22-1-1500
y=67мм + подключение 2х160мм
+ заслонка </t>
        </is>
      </c>
      <c r="C126" s="17" t="inlineStr">
        <is>
          <t>шт.</t>
        </is>
      </c>
      <c r="D126" s="17" t="n"/>
      <c r="E126" s="17" t="n"/>
      <c r="F126" s="17" t="n"/>
      <c r="G126" s="17" t="n"/>
      <c r="H126" s="9">
        <f>J126</f>
        <v/>
      </c>
      <c r="I126" s="34" t="n"/>
      <c r="J126" s="112" t="n">
        <v>1</v>
      </c>
      <c r="K126" s="128" t="n">
        <v>1500</v>
      </c>
      <c r="L126" s="94">
        <f>K126*J126</f>
        <v/>
      </c>
      <c r="M126" s="124" t="n">
        <v>1500</v>
      </c>
      <c r="N126" s="119" t="inlineStr">
        <is>
          <t>расценка сильно завышена</t>
        </is>
      </c>
      <c r="P126" s="186">
        <f>M126*J126</f>
        <v/>
      </c>
      <c r="Q126" s="186">
        <f>P126-L126</f>
        <v/>
      </c>
      <c r="S126" s="184" t="n">
        <v>1950</v>
      </c>
      <c r="T126" s="184">
        <f>S126*J126</f>
        <v/>
      </c>
      <c r="U126" s="184">
        <f>T126-Y126</f>
        <v/>
      </c>
      <c r="V126" s="185" t="inlineStr">
        <is>
          <t>Компромисс</t>
        </is>
      </c>
      <c r="W126" s="185" t="n"/>
      <c r="Y126" s="182">
        <f>IF(X126="ок",N(L126),IF(ISNUMBER(M126),M126*J126,N(L126)))</f>
        <v/>
      </c>
      <c r="Z126" s="182">
        <f>T126</f>
        <v/>
      </c>
    </row>
    <row r="127">
      <c r="A127" s="92" t="inlineStr">
        <is>
          <t>4,12</t>
        </is>
      </c>
      <c r="B127" s="19" t="inlineStr">
        <is>
          <t>Решетка щелевая, 500мм ЛРЩ 22-1-8500-У2</t>
        </is>
      </c>
      <c r="C127" s="17" t="inlineStr">
        <is>
          <t>шт.</t>
        </is>
      </c>
      <c r="D127" s="17" t="n"/>
      <c r="E127" s="17" t="n"/>
      <c r="F127" s="17" t="n"/>
      <c r="G127" s="17" t="n"/>
      <c r="H127" s="9">
        <f>J127</f>
        <v/>
      </c>
      <c r="I127" s="34" t="n"/>
      <c r="J127" s="112" t="n">
        <v>1</v>
      </c>
      <c r="K127" s="128" t="n">
        <v>4000</v>
      </c>
      <c r="L127" s="94">
        <f>K127*J127</f>
        <v/>
      </c>
      <c r="M127" s="124" t="n">
        <v>4000</v>
      </c>
      <c r="N127" s="119" t="inlineStr">
        <is>
          <t>по договору</t>
        </is>
      </c>
      <c r="P127" s="186">
        <f>M127*J127</f>
        <v/>
      </c>
      <c r="Q127" s="186">
        <f>P127-L127</f>
        <v/>
      </c>
      <c r="S127" s="184" t="n">
        <v>4860</v>
      </c>
      <c r="T127" s="184">
        <f>S127*J127</f>
        <v/>
      </c>
      <c r="U127" s="184">
        <f>T127-Y127</f>
        <v/>
      </c>
      <c r="V127" s="185" t="inlineStr">
        <is>
          <t>Компромисс</t>
        </is>
      </c>
      <c r="W127" s="185" t="n"/>
      <c r="Y127" s="182">
        <f>IF(X127="ок",N(L127),IF(ISNUMBER(M127),M127*J127,N(L127)))</f>
        <v/>
      </c>
      <c r="Z127" s="182">
        <f>T127</f>
        <v/>
      </c>
    </row>
    <row r="128" ht="41.45" customHeight="1" s="155">
      <c r="A128" s="92" t="inlineStr">
        <is>
          <t>4,13</t>
        </is>
      </c>
      <c r="B128" s="19" t="inlineStr">
        <is>
          <t xml:space="preserve">Адаптер для щелевой решетки с регулятором расхода и увеличенным патрубком, 500мм Адаптер для ЛРЩ 22-1-500
y=67мм + заслонка </t>
        </is>
      </c>
      <c r="C128" s="17" t="inlineStr">
        <is>
          <t>шт.</t>
        </is>
      </c>
      <c r="D128" s="17" t="n"/>
      <c r="E128" s="17" t="n"/>
      <c r="F128" s="17" t="n"/>
      <c r="G128" s="17" t="n"/>
      <c r="H128" s="9">
        <f>J128</f>
        <v/>
      </c>
      <c r="I128" s="34" t="n"/>
      <c r="J128" s="112" t="n">
        <v>1</v>
      </c>
      <c r="K128" s="128" t="n">
        <v>1500</v>
      </c>
      <c r="L128" s="94">
        <f>K128*J128</f>
        <v/>
      </c>
      <c r="M128" s="124" t="n">
        <v>1500</v>
      </c>
      <c r="N128" s="119" t="inlineStr">
        <is>
          <t>расценка сильно завышена</t>
        </is>
      </c>
      <c r="P128" s="186">
        <f>M128*J128</f>
        <v/>
      </c>
      <c r="Q128" s="186">
        <f>P128-L128</f>
        <v/>
      </c>
      <c r="S128" s="184" t="n">
        <v>1950</v>
      </c>
      <c r="T128" s="184">
        <f>S128*J128</f>
        <v/>
      </c>
      <c r="U128" s="184">
        <f>T128-Y128</f>
        <v/>
      </c>
      <c r="V128" s="185" t="inlineStr">
        <is>
          <t>Компромисс</t>
        </is>
      </c>
      <c r="W128" s="185" t="n"/>
      <c r="Y128" s="182">
        <f>IF(X128="ок",N(L128),IF(ISNUMBER(M128),M128*J128,N(L128)))</f>
        <v/>
      </c>
      <c r="Z128" s="182">
        <f>T128</f>
        <v/>
      </c>
    </row>
    <row r="129">
      <c r="A129" s="92" t="inlineStr">
        <is>
          <t>4,14</t>
        </is>
      </c>
      <c r="B129" s="19" t="inlineStr">
        <is>
          <t>Регулятор расхода воздуха, Ø100 квк100</t>
        </is>
      </c>
      <c r="C129" s="17" t="inlineStr">
        <is>
          <t>шт.</t>
        </is>
      </c>
      <c r="D129" s="17" t="n"/>
      <c r="E129" s="17" t="n"/>
      <c r="F129" s="17" t="n"/>
      <c r="G129" s="17" t="n"/>
      <c r="H129" s="9">
        <f>J129</f>
        <v/>
      </c>
      <c r="I129" s="34" t="n"/>
      <c r="J129" s="112" t="n">
        <v>1</v>
      </c>
      <c r="K129" s="128" t="n">
        <v>950</v>
      </c>
      <c r="L129" s="94">
        <f>K129*J129</f>
        <v/>
      </c>
      <c r="M129" s="124" t="n">
        <v>950</v>
      </c>
      <c r="N129" s="119" t="inlineStr">
        <is>
          <t>по договору</t>
        </is>
      </c>
      <c r="P129" s="186">
        <f>M129*J129</f>
        <v/>
      </c>
      <c r="Q129" s="186">
        <f>P129-L129</f>
        <v/>
      </c>
      <c r="S129" s="184" t="n">
        <v>1020</v>
      </c>
      <c r="T129" s="184">
        <f>S129*J129</f>
        <v/>
      </c>
      <c r="U129" s="184">
        <f>T129-Y129</f>
        <v/>
      </c>
      <c r="V129" s="185" t="inlineStr">
        <is>
          <t>Компромисс</t>
        </is>
      </c>
      <c r="W129" s="185" t="n"/>
      <c r="Y129" s="182">
        <f>IF(X129="ок",N(L129),IF(ISNUMBER(M129),M129*J129,N(L129)))</f>
        <v/>
      </c>
      <c r="Z129" s="182">
        <f>T129</f>
        <v/>
      </c>
    </row>
    <row r="130">
      <c r="A130" s="92" t="inlineStr">
        <is>
          <t>4,15</t>
        </is>
      </c>
      <c r="B130" s="19" t="inlineStr">
        <is>
          <t>Воздуховод гофрированный, Ø100</t>
        </is>
      </c>
      <c r="C130" s="17" t="inlineStr">
        <is>
          <t>мп</t>
        </is>
      </c>
      <c r="D130" s="17" t="n"/>
      <c r="E130" s="17" t="n"/>
      <c r="F130" s="17" t="n"/>
      <c r="G130" s="17" t="n"/>
      <c r="H130" s="9">
        <f>J130</f>
        <v/>
      </c>
      <c r="I130" s="34" t="n"/>
      <c r="J130" s="112" t="n">
        <v>2</v>
      </c>
      <c r="K130" s="128" t="n">
        <v>760</v>
      </c>
      <c r="L130" s="94">
        <f>K130*J130</f>
        <v/>
      </c>
      <c r="M130" s="124" t="n">
        <v>760</v>
      </c>
      <c r="N130" s="119" t="inlineStr">
        <is>
          <t>по договору</t>
        </is>
      </c>
      <c r="P130" s="186">
        <f>M130*J130</f>
        <v/>
      </c>
      <c r="Q130" s="186">
        <f>P130-L130</f>
        <v/>
      </c>
      <c r="S130" s="184" t="n">
        <v>985</v>
      </c>
      <c r="T130" s="184">
        <f>S130*J130</f>
        <v/>
      </c>
      <c r="U130" s="184">
        <f>T130-Y130</f>
        <v/>
      </c>
      <c r="V130" s="185" t="inlineStr">
        <is>
          <t>Компромисс</t>
        </is>
      </c>
      <c r="W130" s="185" t="n"/>
      <c r="Y130" s="182">
        <f>IF(X130="ок",N(L130),IF(ISNUMBER(M130),M130*J130,N(L130)))</f>
        <v/>
      </c>
      <c r="Z130" s="182">
        <f>T130</f>
        <v/>
      </c>
    </row>
    <row r="131">
      <c r="A131" s="92" t="inlineStr">
        <is>
          <t>4,16</t>
        </is>
      </c>
      <c r="B131" s="19" t="inlineStr">
        <is>
          <t>Воздуховод гофрированный, Ø125</t>
        </is>
      </c>
      <c r="C131" s="17" t="inlineStr">
        <is>
          <t>мп</t>
        </is>
      </c>
      <c r="D131" s="17" t="n"/>
      <c r="E131" s="17" t="n"/>
      <c r="F131" s="17" t="n"/>
      <c r="G131" s="17" t="n"/>
      <c r="H131" s="9">
        <f>J131</f>
        <v/>
      </c>
      <c r="I131" s="34" t="n"/>
      <c r="J131" s="112" t="n">
        <v>2</v>
      </c>
      <c r="K131" s="128" t="n">
        <v>760</v>
      </c>
      <c r="L131" s="94">
        <f>K131*J131</f>
        <v/>
      </c>
      <c r="M131" s="124" t="n">
        <v>760</v>
      </c>
      <c r="N131" s="119" t="inlineStr">
        <is>
          <t>по договору</t>
        </is>
      </c>
      <c r="P131" s="186">
        <f>M131*J131</f>
        <v/>
      </c>
      <c r="Q131" s="186">
        <f>P131-L131</f>
        <v/>
      </c>
      <c r="S131" s="184" t="n">
        <v>985</v>
      </c>
      <c r="T131" s="184">
        <f>S131*J131</f>
        <v/>
      </c>
      <c r="U131" s="184">
        <f>T131-Y131</f>
        <v/>
      </c>
      <c r="V131" s="185" t="inlineStr">
        <is>
          <t>Компромисс</t>
        </is>
      </c>
      <c r="W131" s="185" t="n"/>
      <c r="Y131" s="182">
        <f>IF(X131="ок",N(L131),IF(ISNUMBER(M131),M131*J131,N(L131)))</f>
        <v/>
      </c>
      <c r="Z131" s="182">
        <f>T131</f>
        <v/>
      </c>
    </row>
    <row r="132">
      <c r="A132" s="92" t="inlineStr">
        <is>
          <t>4,17</t>
        </is>
      </c>
      <c r="B132" s="19" t="inlineStr">
        <is>
          <t>Воздуховод гофрированный, Ø160</t>
        </is>
      </c>
      <c r="C132" s="17" t="inlineStr">
        <is>
          <t>мп</t>
        </is>
      </c>
      <c r="D132" s="17" t="n"/>
      <c r="E132" s="17" t="n"/>
      <c r="F132" s="17" t="n"/>
      <c r="G132" s="17" t="n"/>
      <c r="H132" s="9">
        <f>J132</f>
        <v/>
      </c>
      <c r="I132" s="34" t="n"/>
      <c r="J132" s="112" t="n">
        <v>6</v>
      </c>
      <c r="K132" s="128" t="n">
        <v>760</v>
      </c>
      <c r="L132" s="94">
        <f>K132*J132</f>
        <v/>
      </c>
      <c r="M132" s="124" t="n">
        <v>760</v>
      </c>
      <c r="N132" s="119" t="inlineStr">
        <is>
          <t>по договору</t>
        </is>
      </c>
      <c r="P132" s="186">
        <f>M132*J132</f>
        <v/>
      </c>
      <c r="Q132" s="186">
        <f>P132-L132</f>
        <v/>
      </c>
      <c r="S132" s="184" t="n">
        <v>985</v>
      </c>
      <c r="T132" s="184">
        <f>S132*J132</f>
        <v/>
      </c>
      <c r="U132" s="184">
        <f>T132-Y132</f>
        <v/>
      </c>
      <c r="V132" s="185" t="inlineStr">
        <is>
          <t>Компромисс</t>
        </is>
      </c>
      <c r="W132" s="185" t="n"/>
      <c r="Y132" s="182">
        <f>IF(X132="ок",N(L132),IF(ISNUMBER(M132),M132*J132,N(L132)))</f>
        <v/>
      </c>
      <c r="Z132" s="182">
        <f>T132</f>
        <v/>
      </c>
    </row>
    <row r="133">
      <c r="A133" s="92" t="inlineStr">
        <is>
          <t>4,18</t>
        </is>
      </c>
      <c r="B133" s="19" t="inlineStr">
        <is>
          <t>Воздуховод гофрированный, Ø200</t>
        </is>
      </c>
      <c r="C133" s="17" t="inlineStr">
        <is>
          <t>мп</t>
        </is>
      </c>
      <c r="D133" s="17" t="n"/>
      <c r="E133" s="17" t="n"/>
      <c r="F133" s="17" t="n"/>
      <c r="G133" s="17" t="n"/>
      <c r="H133" s="9">
        <f>J133</f>
        <v/>
      </c>
      <c r="I133" s="34" t="n"/>
      <c r="J133" s="112" t="n">
        <v>6</v>
      </c>
      <c r="K133" s="128" t="n">
        <v>760</v>
      </c>
      <c r="L133" s="94">
        <f>K133*J133</f>
        <v/>
      </c>
      <c r="M133" s="124" t="n">
        <v>760</v>
      </c>
      <c r="N133" s="119" t="inlineStr">
        <is>
          <t>по договору</t>
        </is>
      </c>
      <c r="P133" s="186">
        <f>M133*J133</f>
        <v/>
      </c>
      <c r="Q133" s="186">
        <f>P133-L133</f>
        <v/>
      </c>
      <c r="S133" s="184" t="n">
        <v>985</v>
      </c>
      <c r="T133" s="184">
        <f>S133*J133</f>
        <v/>
      </c>
      <c r="U133" s="184">
        <f>T133-Y133</f>
        <v/>
      </c>
      <c r="V133" s="185" t="inlineStr">
        <is>
          <t>Компромисс</t>
        </is>
      </c>
      <c r="W133" s="185" t="n"/>
      <c r="Y133" s="182">
        <f>IF(X133="ок",N(L133),IF(ISNUMBER(M133),M133*J133,N(L133)))</f>
        <v/>
      </c>
      <c r="Z133" s="182">
        <f>T133</f>
        <v/>
      </c>
    </row>
    <row r="134">
      <c r="A134" s="92" t="inlineStr">
        <is>
          <t>4,19</t>
        </is>
      </c>
      <c r="B134" s="19" t="inlineStr">
        <is>
          <t>Воздуховод гофрированный изолированный, Ø100</t>
        </is>
      </c>
      <c r="C134" s="17" t="inlineStr">
        <is>
          <t>мп</t>
        </is>
      </c>
      <c r="D134" s="17" t="n"/>
      <c r="E134" s="17" t="n"/>
      <c r="F134" s="17" t="n"/>
      <c r="G134" s="17" t="n"/>
      <c r="H134" s="9">
        <f>J134</f>
        <v/>
      </c>
      <c r="I134" s="34" t="n"/>
      <c r="J134" s="112" t="n">
        <v>1</v>
      </c>
      <c r="K134" s="128" t="n">
        <v>760</v>
      </c>
      <c r="L134" s="94">
        <f>K134*J134</f>
        <v/>
      </c>
      <c r="M134" s="124" t="n">
        <v>760</v>
      </c>
      <c r="N134" s="119" t="inlineStr">
        <is>
          <t>по договору</t>
        </is>
      </c>
      <c r="P134" s="186">
        <f>M134*J134</f>
        <v/>
      </c>
      <c r="Q134" s="186">
        <f>P134-L134</f>
        <v/>
      </c>
      <c r="S134" s="184" t="n">
        <v>985</v>
      </c>
      <c r="T134" s="184">
        <f>S134*J134</f>
        <v/>
      </c>
      <c r="U134" s="184">
        <f>T134-Y134</f>
        <v/>
      </c>
      <c r="V134" s="185" t="inlineStr">
        <is>
          <t>Компромисс</t>
        </is>
      </c>
      <c r="W134" s="185" t="n"/>
      <c r="Y134" s="182">
        <f>IF(X134="ок",N(L134),IF(ISNUMBER(M134),M134*J134,N(L134)))</f>
        <v/>
      </c>
      <c r="Z134" s="182">
        <f>T134</f>
        <v/>
      </c>
    </row>
    <row r="135">
      <c r="A135" s="92" t="inlineStr">
        <is>
          <t>4,20</t>
        </is>
      </c>
      <c r="B135" s="19" t="inlineStr">
        <is>
          <t>Воздуховод гофрированный изолированный, Ø125</t>
        </is>
      </c>
      <c r="C135" s="17" t="inlineStr">
        <is>
          <t>мп</t>
        </is>
      </c>
      <c r="D135" s="17" t="n"/>
      <c r="E135" s="17" t="n"/>
      <c r="F135" s="17" t="n"/>
      <c r="G135" s="17" t="n"/>
      <c r="H135" s="9">
        <f>J135</f>
        <v/>
      </c>
      <c r="I135" s="34" t="n"/>
      <c r="J135" s="112" t="n">
        <v>1</v>
      </c>
      <c r="K135" s="128" t="n">
        <v>760</v>
      </c>
      <c r="L135" s="94">
        <f>K135*J135</f>
        <v/>
      </c>
      <c r="M135" s="124" t="n">
        <v>760</v>
      </c>
      <c r="N135" s="119" t="inlineStr">
        <is>
          <t>по договору</t>
        </is>
      </c>
      <c r="P135" s="186">
        <f>M135*J135</f>
        <v/>
      </c>
      <c r="Q135" s="186">
        <f>P135-L135</f>
        <v/>
      </c>
      <c r="S135" s="184" t="n">
        <v>985</v>
      </c>
      <c r="T135" s="184">
        <f>S135*J135</f>
        <v/>
      </c>
      <c r="U135" s="184">
        <f>T135-Y135</f>
        <v/>
      </c>
      <c r="V135" s="185" t="inlineStr">
        <is>
          <t>Компромисс</t>
        </is>
      </c>
      <c r="W135" s="185" t="n"/>
      <c r="Y135" s="182">
        <f>IF(X135="ок",N(L135),IF(ISNUMBER(M135),M135*J135,N(L135)))</f>
        <v/>
      </c>
      <c r="Z135" s="182">
        <f>T135</f>
        <v/>
      </c>
    </row>
    <row r="136">
      <c r="A136" s="92" t="inlineStr">
        <is>
          <t>4,21</t>
        </is>
      </c>
      <c r="B136" s="19" t="inlineStr">
        <is>
          <t>Воздуховод гофрированный изолированный, Ø160</t>
        </is>
      </c>
      <c r="C136" s="17" t="inlineStr">
        <is>
          <t>мп</t>
        </is>
      </c>
      <c r="D136" s="17" t="n"/>
      <c r="E136" s="17" t="n"/>
      <c r="F136" s="17" t="n"/>
      <c r="G136" s="17" t="n"/>
      <c r="H136" s="9">
        <f>J136</f>
        <v/>
      </c>
      <c r="I136" s="34" t="n"/>
      <c r="J136" s="112" t="n">
        <v>6</v>
      </c>
      <c r="K136" s="128" t="n">
        <v>760</v>
      </c>
      <c r="L136" s="94">
        <f>K136*J136</f>
        <v/>
      </c>
      <c r="M136" s="124" t="n">
        <v>760</v>
      </c>
      <c r="N136" s="119" t="inlineStr">
        <is>
          <t>по договору</t>
        </is>
      </c>
      <c r="P136" s="186">
        <f>M136*J136</f>
        <v/>
      </c>
      <c r="Q136" s="186">
        <f>P136-L136</f>
        <v/>
      </c>
      <c r="S136" s="184" t="n">
        <v>985</v>
      </c>
      <c r="T136" s="184">
        <f>S136*J136</f>
        <v/>
      </c>
      <c r="U136" s="184">
        <f>T136-Y136</f>
        <v/>
      </c>
      <c r="V136" s="185" t="inlineStr">
        <is>
          <t>Компромисс</t>
        </is>
      </c>
      <c r="W136" s="185" t="n"/>
      <c r="Y136" s="182">
        <f>IF(X136="ок",N(L136),IF(ISNUMBER(M136),M136*J136,N(L136)))</f>
        <v/>
      </c>
      <c r="Z136" s="182">
        <f>T136</f>
        <v/>
      </c>
    </row>
    <row r="137">
      <c r="A137" s="92" t="inlineStr">
        <is>
          <t>4,22</t>
        </is>
      </c>
      <c r="B137" s="19" t="inlineStr">
        <is>
          <t>Воздуховод гофрированный изолированный, Ø200</t>
        </is>
      </c>
      <c r="C137" s="17" t="inlineStr">
        <is>
          <t>мп</t>
        </is>
      </c>
      <c r="D137" s="17" t="n"/>
      <c r="E137" s="17" t="n"/>
      <c r="F137" s="17" t="n"/>
      <c r="G137" s="17" t="n"/>
      <c r="H137" s="9">
        <f>J137</f>
        <v/>
      </c>
      <c r="I137" s="34" t="n"/>
      <c r="J137" s="112" t="n">
        <v>6</v>
      </c>
      <c r="K137" s="128" t="n">
        <v>760</v>
      </c>
      <c r="L137" s="94">
        <f>K137*J137</f>
        <v/>
      </c>
      <c r="M137" s="124" t="n">
        <v>760</v>
      </c>
      <c r="N137" s="119" t="inlineStr">
        <is>
          <t>по договору</t>
        </is>
      </c>
      <c r="P137" s="186">
        <f>M137*J137</f>
        <v/>
      </c>
      <c r="Q137" s="186">
        <f>P137-L137</f>
        <v/>
      </c>
      <c r="S137" s="184" t="n">
        <v>985</v>
      </c>
      <c r="T137" s="184">
        <f>S137*J137</f>
        <v/>
      </c>
      <c r="U137" s="184">
        <f>T137-Y137</f>
        <v/>
      </c>
      <c r="V137" s="185" t="inlineStr">
        <is>
          <t>Компромисс</t>
        </is>
      </c>
      <c r="W137" s="185" t="n"/>
      <c r="Y137" s="182">
        <f>IF(X137="ок",N(L137),IF(ISNUMBER(M137),M137*J137,N(L137)))</f>
        <v/>
      </c>
      <c r="Z137" s="182">
        <f>T137</f>
        <v/>
      </c>
    </row>
    <row r="138" ht="30" customHeight="1" s="155">
      <c r="A138" s="92" t="inlineStr">
        <is>
          <t>4,23</t>
        </is>
      </c>
      <c r="B138" s="19" t="inlineStr">
        <is>
          <t>Воздуховод из оцинкованной стали толщиной 0,5мм, класса «В», Ø100</t>
        </is>
      </c>
      <c r="C138" s="17" t="inlineStr">
        <is>
          <t>мп</t>
        </is>
      </c>
      <c r="D138" s="17" t="n"/>
      <c r="E138" s="17" t="n"/>
      <c r="F138" s="17" t="n"/>
      <c r="G138" s="17" t="n"/>
      <c r="H138" s="9">
        <f>J138</f>
        <v/>
      </c>
      <c r="I138" s="34" t="n"/>
      <c r="J138" s="112" t="n">
        <v>19</v>
      </c>
      <c r="K138" s="128" t="n">
        <v>950</v>
      </c>
      <c r="L138" s="94">
        <f>K138*J138</f>
        <v/>
      </c>
      <c r="M138" s="124" t="n">
        <v>950</v>
      </c>
      <c r="N138" s="119" t="inlineStr">
        <is>
          <t>по договору</t>
        </is>
      </c>
      <c r="P138" s="186">
        <f>M138*J138</f>
        <v/>
      </c>
      <c r="Q138" s="186">
        <f>P138-L138</f>
        <v/>
      </c>
      <c r="S138" s="184" t="n">
        <v>1230</v>
      </c>
      <c r="T138" s="184">
        <f>S138*J138</f>
        <v/>
      </c>
      <c r="U138" s="184">
        <f>T138-Y138</f>
        <v/>
      </c>
      <c r="V138" s="185" t="inlineStr">
        <is>
          <t>Компромисс</t>
        </is>
      </c>
      <c r="W138" s="185" t="n"/>
      <c r="Y138" s="182">
        <f>IF(X138="ок",N(L138),IF(ISNUMBER(M138),M138*J138,N(L138)))</f>
        <v/>
      </c>
      <c r="Z138" s="182">
        <f>T138</f>
        <v/>
      </c>
    </row>
    <row r="139" ht="30" customHeight="1" s="155">
      <c r="A139" s="92" t="inlineStr">
        <is>
          <t>4,24</t>
        </is>
      </c>
      <c r="B139" s="19" t="inlineStr">
        <is>
          <t>Воздуховод из оцинкованной стали толщиной 0,5мм, класса «В», Ø125</t>
        </is>
      </c>
      <c r="C139" s="17" t="inlineStr">
        <is>
          <t>мп</t>
        </is>
      </c>
      <c r="D139" s="17" t="n"/>
      <c r="E139" s="17" t="n"/>
      <c r="F139" s="17" t="n"/>
      <c r="G139" s="17" t="n"/>
      <c r="H139" s="9">
        <f>J139</f>
        <v/>
      </c>
      <c r="I139" s="34" t="n"/>
      <c r="J139" s="112" t="n">
        <v>7</v>
      </c>
      <c r="K139" s="128" t="n">
        <v>689.79</v>
      </c>
      <c r="L139" s="94">
        <f>K139*J139</f>
        <v/>
      </c>
      <c r="M139" s="124" t="n">
        <v>689.79</v>
      </c>
      <c r="N139" s="119" t="inlineStr">
        <is>
          <t>по договору</t>
        </is>
      </c>
      <c r="P139" s="186">
        <f>M139*J139</f>
        <v/>
      </c>
      <c r="Q139" s="186">
        <f>P139-L139</f>
        <v/>
      </c>
      <c r="S139" s="184" t="n">
        <v>895</v>
      </c>
      <c r="T139" s="184">
        <f>S139*J139</f>
        <v/>
      </c>
      <c r="U139" s="184">
        <f>T139-Y139</f>
        <v/>
      </c>
      <c r="V139" s="185" t="inlineStr">
        <is>
          <t>Компромисс</t>
        </is>
      </c>
      <c r="W139" s="185" t="n"/>
      <c r="Y139" s="182">
        <f>IF(X139="ок",N(L139),IF(ISNUMBER(M139),M139*J139,N(L139)))</f>
        <v/>
      </c>
      <c r="Z139" s="182">
        <f>T139</f>
        <v/>
      </c>
    </row>
    <row r="140" ht="30" customHeight="1" s="155">
      <c r="A140" s="92" t="inlineStr">
        <is>
          <t>4,25</t>
        </is>
      </c>
      <c r="B140" s="19" t="inlineStr">
        <is>
          <t>Воздуховод из оцинкованной стали толщиной 0,5мм, класса «В», Ø160</t>
        </is>
      </c>
      <c r="C140" s="17" t="inlineStr">
        <is>
          <t>мп</t>
        </is>
      </c>
      <c r="D140" s="17" t="n"/>
      <c r="E140" s="17" t="n"/>
      <c r="F140" s="17" t="n"/>
      <c r="G140" s="17" t="n"/>
      <c r="H140" s="9">
        <f>J140</f>
        <v/>
      </c>
      <c r="I140" s="34" t="n"/>
      <c r="J140" s="112" t="n">
        <v>40</v>
      </c>
      <c r="K140" s="128" t="n">
        <v>862.23</v>
      </c>
      <c r="L140" s="94">
        <f>K140*J140</f>
        <v/>
      </c>
      <c r="M140" s="124" t="n">
        <v>862.23</v>
      </c>
      <c r="N140" s="119" t="inlineStr">
        <is>
          <t>по договору</t>
        </is>
      </c>
      <c r="P140" s="186">
        <f>M140*J140</f>
        <v/>
      </c>
      <c r="Q140" s="186">
        <f>P140-L140</f>
        <v/>
      </c>
      <c r="S140" s="184" t="n">
        <v>1120</v>
      </c>
      <c r="T140" s="184">
        <f>S140*J140</f>
        <v/>
      </c>
      <c r="U140" s="184">
        <f>T140-Y140</f>
        <v/>
      </c>
      <c r="V140" s="185" t="inlineStr">
        <is>
          <t>Компромисс</t>
        </is>
      </c>
      <c r="W140" s="185" t="n"/>
      <c r="Y140" s="182">
        <f>IF(X140="ок",N(L140),IF(ISNUMBER(M140),M140*J140,N(L140)))</f>
        <v/>
      </c>
      <c r="Z140" s="182">
        <f>T140</f>
        <v/>
      </c>
    </row>
    <row r="141" ht="30" customHeight="1" s="155">
      <c r="A141" s="92" t="inlineStr">
        <is>
          <t>4,26</t>
        </is>
      </c>
      <c r="B141" s="19" t="inlineStr">
        <is>
          <t>Воздуховод из оцинкованной стали толщиной 0,5мм, класса «В», Ø200</t>
        </is>
      </c>
      <c r="C141" s="17" t="inlineStr">
        <is>
          <t>мп</t>
        </is>
      </c>
      <c r="D141" s="17" t="n"/>
      <c r="E141" s="17" t="n"/>
      <c r="F141" s="17" t="n"/>
      <c r="G141" s="17" t="n"/>
      <c r="H141" s="9">
        <f>J141</f>
        <v/>
      </c>
      <c r="I141" s="34" t="n"/>
      <c r="J141" s="112" t="n">
        <v>15</v>
      </c>
      <c r="K141" s="128" t="n">
        <v>1077.79</v>
      </c>
      <c r="L141" s="94">
        <f>K141*J141</f>
        <v/>
      </c>
      <c r="M141" s="124" t="n">
        <v>1077.79</v>
      </c>
      <c r="N141" s="119" t="inlineStr">
        <is>
          <t>по договору</t>
        </is>
      </c>
      <c r="P141" s="186">
        <f>M141*J141</f>
        <v/>
      </c>
      <c r="Q141" s="186">
        <f>P141-L141</f>
        <v/>
      </c>
      <c r="S141" s="184" t="n">
        <v>1360.8</v>
      </c>
      <c r="T141" s="184">
        <f>S141*J141</f>
        <v/>
      </c>
      <c r="U141" s="184">
        <f>T141-Y141</f>
        <v/>
      </c>
      <c r="V141" s="185" t="inlineStr">
        <is>
          <t>Компромисс</t>
        </is>
      </c>
      <c r="W141" s="185" t="n"/>
      <c r="Y141" s="182">
        <f>IF(X141="ок",N(L141),IF(ISNUMBER(M141),M141*J141,N(L141)))</f>
        <v/>
      </c>
      <c r="Z141" s="182">
        <f>T141</f>
        <v/>
      </c>
    </row>
    <row r="142" ht="30" customHeight="1" s="155">
      <c r="A142" s="92" t="inlineStr">
        <is>
          <t>4,27</t>
        </is>
      </c>
      <c r="B142" s="19" t="inlineStr">
        <is>
          <t>Воздуховод из оцинкованной стали толщиной 0,7мм, класса «В», 300x200</t>
        </is>
      </c>
      <c r="C142" s="17" t="inlineStr">
        <is>
          <t>мп</t>
        </is>
      </c>
      <c r="D142" s="17" t="n"/>
      <c r="E142" s="17" t="n"/>
      <c r="F142" s="17" t="n"/>
      <c r="G142" s="17" t="n"/>
      <c r="H142" s="9">
        <f>J142</f>
        <v/>
      </c>
      <c r="I142" s="34" t="n"/>
      <c r="J142" s="112" t="n">
        <v>10</v>
      </c>
      <c r="K142" s="38" t="n">
        <v>1620</v>
      </c>
      <c r="L142" s="94">
        <f>K142*J142</f>
        <v/>
      </c>
      <c r="S142" s="182" t="n"/>
      <c r="T142" s="182" t="n"/>
      <c r="U142" s="182" t="n"/>
      <c r="V142" s="183" t="n"/>
      <c r="W142" s="183" t="n"/>
      <c r="Y142" s="182">
        <f>IF(X142="ок",N(L142),IF(ISNUMBER(M142),M142*J142,N(L142)))</f>
        <v/>
      </c>
      <c r="Z142" s="182">
        <f>Y142</f>
        <v/>
      </c>
    </row>
    <row r="143" ht="30" customHeight="1" s="155">
      <c r="A143" s="92" t="inlineStr">
        <is>
          <t>4,28</t>
        </is>
      </c>
      <c r="B143" s="19" t="inlineStr">
        <is>
          <t>Воздуховод из оцинкованной стали толщиной 0,7мм, класса «В», 400x200</t>
        </is>
      </c>
      <c r="C143" s="17" t="inlineStr">
        <is>
          <t>мп</t>
        </is>
      </c>
      <c r="D143" s="17" t="n"/>
      <c r="E143" s="17" t="n"/>
      <c r="F143" s="17" t="n"/>
      <c r="G143" s="17" t="n"/>
      <c r="H143" s="9">
        <f>J143</f>
        <v/>
      </c>
      <c r="I143" s="34" t="n"/>
      <c r="J143" s="112" t="n">
        <v>3</v>
      </c>
      <c r="K143" s="38" t="n">
        <v>1944</v>
      </c>
      <c r="L143" s="94">
        <f>K143*J143</f>
        <v/>
      </c>
      <c r="S143" s="182" t="n"/>
      <c r="T143" s="182" t="n"/>
      <c r="U143" s="182" t="n"/>
      <c r="V143" s="183" t="n"/>
      <c r="W143" s="183" t="n"/>
      <c r="Y143" s="182">
        <f>IF(X143="ок",N(L143),IF(ISNUMBER(M143),M143*J143,N(L143)))</f>
        <v/>
      </c>
      <c r="Z143" s="182">
        <f>Y143</f>
        <v/>
      </c>
    </row>
    <row r="144" ht="30" customHeight="1" s="155">
      <c r="A144" s="92" t="inlineStr">
        <is>
          <t>4,29</t>
        </is>
      </c>
      <c r="B144" s="19" t="inlineStr">
        <is>
          <t>Воздуховод из оцинкованной стали толщиной 0,7мм, класса «В», 500x200</t>
        </is>
      </c>
      <c r="C144" s="17" t="inlineStr">
        <is>
          <t>мп</t>
        </is>
      </c>
      <c r="D144" s="17" t="n"/>
      <c r="E144" s="17" t="n"/>
      <c r="F144" s="17" t="n"/>
      <c r="G144" s="17" t="n"/>
      <c r="H144" s="9">
        <f>J144</f>
        <v/>
      </c>
      <c r="I144" s="34" t="n"/>
      <c r="J144" s="112" t="n">
        <v>14</v>
      </c>
      <c r="K144" s="38" t="n">
        <v>1944</v>
      </c>
      <c r="L144" s="94">
        <f>K144*J144</f>
        <v/>
      </c>
      <c r="S144" s="182" t="n"/>
      <c r="T144" s="182" t="n"/>
      <c r="U144" s="182" t="n"/>
      <c r="V144" s="183" t="n"/>
      <c r="W144" s="183" t="n"/>
      <c r="Y144" s="182">
        <f>IF(X144="ок",N(L144),IF(ISNUMBER(M144),M144*J144,N(L144)))</f>
        <v/>
      </c>
      <c r="Z144" s="182">
        <f>Y144</f>
        <v/>
      </c>
    </row>
    <row r="145" ht="30" customHeight="1" s="155">
      <c r="A145" s="92" t="inlineStr">
        <is>
          <t>4,30</t>
        </is>
      </c>
      <c r="B145" s="19" t="inlineStr">
        <is>
          <t>Воздуховод из оцинкованной стали толщиной 0,7мм, класса «В», 500x250</t>
        </is>
      </c>
      <c r="C145" s="17" t="inlineStr">
        <is>
          <t>мп</t>
        </is>
      </c>
      <c r="D145" s="17" t="n"/>
      <c r="E145" s="17" t="n"/>
      <c r="F145" s="17" t="n"/>
      <c r="G145" s="17" t="n"/>
      <c r="H145" s="9">
        <f>J145</f>
        <v/>
      </c>
      <c r="I145" s="34" t="n"/>
      <c r="J145" s="112" t="n">
        <v>10</v>
      </c>
      <c r="K145" s="38" t="n">
        <v>1944</v>
      </c>
      <c r="L145" s="94">
        <f>K145*J145</f>
        <v/>
      </c>
      <c r="S145" s="182" t="n"/>
      <c r="T145" s="182" t="n"/>
      <c r="U145" s="182" t="n"/>
      <c r="V145" s="183" t="n"/>
      <c r="W145" s="183" t="n"/>
      <c r="Y145" s="182">
        <f>IF(X145="ок",N(L145),IF(ISNUMBER(M145),M145*J145,N(L145)))</f>
        <v/>
      </c>
      <c r="Z145" s="182">
        <f>Y145</f>
        <v/>
      </c>
    </row>
    <row r="146" ht="30" customHeight="1" s="155">
      <c r="A146" s="92" t="inlineStr">
        <is>
          <t>4,31</t>
        </is>
      </c>
      <c r="B146" s="19" t="inlineStr">
        <is>
          <t>Воздуховод из оцинкованной стали толщиной 0,7мм, класса «В», 500x300</t>
        </is>
      </c>
      <c r="C146" s="17" t="inlineStr">
        <is>
          <t>мп</t>
        </is>
      </c>
      <c r="D146" s="17" t="n"/>
      <c r="E146" s="17" t="n"/>
      <c r="F146" s="17" t="n"/>
      <c r="G146" s="17" t="n"/>
      <c r="H146" s="9">
        <f>J146</f>
        <v/>
      </c>
      <c r="I146" s="34" t="n"/>
      <c r="J146" s="112" t="n">
        <v>16</v>
      </c>
      <c r="K146" s="38" t="n">
        <v>2592</v>
      </c>
      <c r="L146" s="94">
        <f>K146*J146</f>
        <v/>
      </c>
      <c r="S146" s="182" t="n"/>
      <c r="T146" s="182" t="n"/>
      <c r="U146" s="182" t="n"/>
      <c r="V146" s="183" t="n"/>
      <c r="W146" s="183" t="n"/>
      <c r="Y146" s="182">
        <f>IF(X146="ок",N(L146),IF(ISNUMBER(M146),M146*J146,N(L146)))</f>
        <v/>
      </c>
      <c r="Z146" s="182">
        <f>Y146</f>
        <v/>
      </c>
    </row>
    <row r="147" ht="30" customHeight="1" s="155">
      <c r="A147" s="92" t="inlineStr">
        <is>
          <t>4,32</t>
        </is>
      </c>
      <c r="B147" s="19" t="inlineStr">
        <is>
          <t>Воздуховод из оцинкованной стали толщиной 0,7мм, класса «В», 600x200</t>
        </is>
      </c>
      <c r="C147" s="17" t="inlineStr">
        <is>
          <t>мп</t>
        </is>
      </c>
      <c r="D147" s="17" t="n"/>
      <c r="E147" s="17" t="n"/>
      <c r="F147" s="17" t="n"/>
      <c r="G147" s="17" t="n"/>
      <c r="H147" s="9">
        <f>J147</f>
        <v/>
      </c>
      <c r="I147" s="34" t="n"/>
      <c r="J147" s="112" t="n">
        <v>11</v>
      </c>
      <c r="K147" s="38" t="n">
        <v>2592</v>
      </c>
      <c r="L147" s="94">
        <f>K147*J147</f>
        <v/>
      </c>
      <c r="S147" s="182" t="n"/>
      <c r="T147" s="182" t="n"/>
      <c r="U147" s="182" t="n"/>
      <c r="V147" s="183" t="n"/>
      <c r="W147" s="183" t="n"/>
      <c r="Y147" s="182">
        <f>IF(X147="ок",N(L147),IF(ISNUMBER(M147),M147*J147,N(L147)))</f>
        <v/>
      </c>
      <c r="Z147" s="182">
        <f>Y147</f>
        <v/>
      </c>
    </row>
    <row r="148" ht="30" customHeight="1" s="155">
      <c r="A148" s="92" t="inlineStr">
        <is>
          <t>4,33</t>
        </is>
      </c>
      <c r="B148" s="19" t="inlineStr">
        <is>
          <t>Воздуховод из оцинкованной стали толщиной 0,7мм, класса «В», 600x250</t>
        </is>
      </c>
      <c r="C148" s="17" t="inlineStr">
        <is>
          <t>мп</t>
        </is>
      </c>
      <c r="D148" s="17" t="n"/>
      <c r="E148" s="17" t="n"/>
      <c r="F148" s="17" t="n"/>
      <c r="G148" s="17" t="n"/>
      <c r="H148" s="9">
        <f>J148</f>
        <v/>
      </c>
      <c r="I148" s="34" t="n"/>
      <c r="J148" s="112" t="n">
        <v>2</v>
      </c>
      <c r="K148" s="38" t="n">
        <v>2754</v>
      </c>
      <c r="L148" s="94">
        <f>K148*J148</f>
        <v/>
      </c>
      <c r="S148" s="182" t="n"/>
      <c r="T148" s="182" t="n"/>
      <c r="U148" s="182" t="n"/>
      <c r="V148" s="183" t="n"/>
      <c r="W148" s="183" t="n"/>
      <c r="Y148" s="182">
        <f>IF(X148="ок",N(L148),IF(ISNUMBER(M148),M148*J148,N(L148)))</f>
        <v/>
      </c>
      <c r="Z148" s="182">
        <f>Y148</f>
        <v/>
      </c>
    </row>
    <row r="149" ht="30" customHeight="1" s="155">
      <c r="A149" s="92" t="inlineStr">
        <is>
          <t>4,34</t>
        </is>
      </c>
      <c r="B149" s="19" t="inlineStr">
        <is>
          <t>Воздуховод из оцинкованной стали толщиной 0,7мм, класса «В», 700x250</t>
        </is>
      </c>
      <c r="C149" s="17" t="inlineStr">
        <is>
          <t>мп</t>
        </is>
      </c>
      <c r="D149" s="17" t="n"/>
      <c r="E149" s="17" t="n"/>
      <c r="F149" s="17" t="n"/>
      <c r="G149" s="17" t="n"/>
      <c r="H149" s="9">
        <f>J149</f>
        <v/>
      </c>
      <c r="I149" s="34" t="n"/>
      <c r="J149" s="112" t="n">
        <v>18</v>
      </c>
      <c r="K149" s="128" t="n">
        <v>3230</v>
      </c>
      <c r="L149" s="94">
        <f>K149*J149</f>
        <v/>
      </c>
      <c r="M149" s="124" t="n">
        <v>3230</v>
      </c>
      <c r="P149" s="186">
        <f>M149*J149</f>
        <v/>
      </c>
      <c r="Q149" s="186">
        <f>P149-L149</f>
        <v/>
      </c>
      <c r="S149" s="184" t="n">
        <v>3726</v>
      </c>
      <c r="T149" s="184">
        <f>S149*J149</f>
        <v/>
      </c>
      <c r="U149" s="184">
        <f>T149-Y149</f>
        <v/>
      </c>
      <c r="V149" s="185" t="inlineStr">
        <is>
          <t>Компромисс</t>
        </is>
      </c>
      <c r="W149" s="185" t="n"/>
      <c r="Y149" s="182">
        <f>IF(X149="ок",N(L149),IF(ISNUMBER(M149),M149*J149,N(L149)))</f>
        <v/>
      </c>
      <c r="Z149" s="182">
        <f>T149</f>
        <v/>
      </c>
    </row>
    <row r="150" ht="30" customHeight="1" s="155">
      <c r="A150" s="92" t="inlineStr">
        <is>
          <t>4,35</t>
        </is>
      </c>
      <c r="B150" s="19" t="inlineStr">
        <is>
          <t>Отвод 150 из оцинкованной стали толщиной 0,5мм, класса «В», Ø160</t>
        </is>
      </c>
      <c r="C150" s="17" t="inlineStr">
        <is>
          <t>шт.</t>
        </is>
      </c>
      <c r="D150" s="17" t="n"/>
      <c r="E150" s="17" t="n"/>
      <c r="F150" s="17" t="n"/>
      <c r="G150" s="17" t="n"/>
      <c r="H150" s="9">
        <f>J150</f>
        <v/>
      </c>
      <c r="I150" s="34" t="n"/>
      <c r="J150" s="112" t="n">
        <v>4</v>
      </c>
      <c r="K150" s="128" t="n">
        <v>855</v>
      </c>
      <c r="L150" s="94">
        <f>K150*J150</f>
        <v/>
      </c>
      <c r="M150" s="124" t="n">
        <v>855</v>
      </c>
      <c r="N150" s="119" t="inlineStr">
        <is>
          <t>по договру</t>
        </is>
      </c>
      <c r="P150" s="186">
        <f>M150*J150</f>
        <v/>
      </c>
      <c r="Q150" s="186">
        <f>P150-L150</f>
        <v/>
      </c>
      <c r="S150" s="184" t="n">
        <v>1020</v>
      </c>
      <c r="T150" s="184">
        <f>S150*J150</f>
        <v/>
      </c>
      <c r="U150" s="184">
        <f>T150-Y150</f>
        <v/>
      </c>
      <c r="V150" s="185" t="inlineStr">
        <is>
          <t>Компромисс</t>
        </is>
      </c>
      <c r="W150" s="185" t="n"/>
      <c r="Y150" s="182">
        <f>IF(X150="ок",N(L150),IF(ISNUMBER(M150),M150*J150,N(L150)))</f>
        <v/>
      </c>
      <c r="Z150" s="182">
        <f>T150</f>
        <v/>
      </c>
    </row>
    <row r="151" ht="30" customHeight="1" s="155">
      <c r="A151" s="92" t="inlineStr">
        <is>
          <t>4,36</t>
        </is>
      </c>
      <c r="B151" s="19" t="inlineStr">
        <is>
          <t>Отвод 300 из оцинкованной стали толщиной 0,5мм, класса «В», Ø200</t>
        </is>
      </c>
      <c r="C151" s="17" t="inlineStr">
        <is>
          <t>шт.</t>
        </is>
      </c>
      <c r="D151" s="17" t="n"/>
      <c r="E151" s="17" t="n"/>
      <c r="F151" s="17" t="n"/>
      <c r="G151" s="17" t="n"/>
      <c r="H151" s="9">
        <f>J151</f>
        <v/>
      </c>
      <c r="I151" s="34" t="n"/>
      <c r="J151" s="112" t="n">
        <v>2</v>
      </c>
      <c r="K151" s="128" t="n">
        <v>855</v>
      </c>
      <c r="L151" s="94">
        <f>K151*J151</f>
        <v/>
      </c>
      <c r="M151" s="124" t="n">
        <v>855</v>
      </c>
      <c r="N151" s="119" t="inlineStr">
        <is>
          <t>по договру</t>
        </is>
      </c>
      <c r="P151" s="186">
        <f>M151*J151</f>
        <v/>
      </c>
      <c r="Q151" s="186">
        <f>P151-L151</f>
        <v/>
      </c>
      <c r="S151" s="184" t="n">
        <v>1020</v>
      </c>
      <c r="T151" s="184">
        <f>S151*J151</f>
        <v/>
      </c>
      <c r="U151" s="184">
        <f>T151-Y151</f>
        <v/>
      </c>
      <c r="V151" s="185" t="inlineStr">
        <is>
          <t>Компромисс</t>
        </is>
      </c>
      <c r="W151" s="185" t="n"/>
      <c r="Y151" s="182">
        <f>IF(X151="ок",N(L151),IF(ISNUMBER(M151),M151*J151,N(L151)))</f>
        <v/>
      </c>
      <c r="Z151" s="182">
        <f>T151</f>
        <v/>
      </c>
    </row>
    <row r="152" ht="30" customHeight="1" s="155">
      <c r="A152" s="92" t="inlineStr">
        <is>
          <t>4,37</t>
        </is>
      </c>
      <c r="B152" s="19" t="inlineStr">
        <is>
          <t>Отвод 300 из оцинкованной стали толщиной 0,7мм, класса «В», 200x300</t>
        </is>
      </c>
      <c r="C152" s="17" t="inlineStr">
        <is>
          <t>шт.</t>
        </is>
      </c>
      <c r="D152" s="17" t="n"/>
      <c r="E152" s="17" t="n"/>
      <c r="F152" s="17" t="n"/>
      <c r="G152" s="17" t="n"/>
      <c r="H152" s="9">
        <f>J152</f>
        <v/>
      </c>
      <c r="I152" s="34" t="n"/>
      <c r="J152" s="112" t="n">
        <v>4</v>
      </c>
      <c r="K152" s="128" t="n">
        <v>880</v>
      </c>
      <c r="L152" s="94">
        <f>K152*J152</f>
        <v/>
      </c>
      <c r="M152" s="124" t="n">
        <v>880</v>
      </c>
      <c r="N152" s="170" t="inlineStr">
        <is>
          <t>исходя из м2 изделия</t>
        </is>
      </c>
      <c r="P152" s="186">
        <f>M152*J152</f>
        <v/>
      </c>
      <c r="Q152" s="186">
        <f>P152-L152</f>
        <v/>
      </c>
      <c r="S152" s="184" t="n">
        <v>1140</v>
      </c>
      <c r="T152" s="184">
        <f>S152*J152</f>
        <v/>
      </c>
      <c r="U152" s="184">
        <f>T152-Y152</f>
        <v/>
      </c>
      <c r="V152" s="185" t="inlineStr">
        <is>
          <t>Компромисс</t>
        </is>
      </c>
      <c r="W152" s="185" t="n"/>
      <c r="Y152" s="182">
        <f>IF(X152="ок",N(L152),IF(ISNUMBER(M152),M152*J152,N(L152)))</f>
        <v/>
      </c>
      <c r="Z152" s="182">
        <f>T152</f>
        <v/>
      </c>
    </row>
    <row r="153" ht="30" customHeight="1" s="155">
      <c r="A153" s="92" t="inlineStr">
        <is>
          <t>4,38</t>
        </is>
      </c>
      <c r="B153" s="19" t="inlineStr">
        <is>
          <t>Отвод 300 из оцинкованной стали толщиной 0,7мм, класса «В», 250x700</t>
        </is>
      </c>
      <c r="C153" s="17" t="inlineStr">
        <is>
          <t>шт.</t>
        </is>
      </c>
      <c r="D153" s="17" t="n"/>
      <c r="E153" s="17" t="n"/>
      <c r="F153" s="17" t="n"/>
      <c r="G153" s="17" t="n"/>
      <c r="H153" s="9">
        <f>J153</f>
        <v/>
      </c>
      <c r="I153" s="34" t="n"/>
      <c r="J153" s="112" t="n">
        <v>2</v>
      </c>
      <c r="K153" s="128" t="n">
        <v>1700</v>
      </c>
      <c r="L153" s="94">
        <f>K153*J153</f>
        <v/>
      </c>
      <c r="M153" s="124" t="n">
        <v>1700</v>
      </c>
      <c r="P153" s="186">
        <f>M153*J153</f>
        <v/>
      </c>
      <c r="Q153" s="186">
        <f>P153-L153</f>
        <v/>
      </c>
      <c r="S153" s="184" t="n">
        <v>2210</v>
      </c>
      <c r="T153" s="184">
        <f>S153*J153</f>
        <v/>
      </c>
      <c r="U153" s="184">
        <f>T153-Y153</f>
        <v/>
      </c>
      <c r="V153" s="185" t="inlineStr">
        <is>
          <t>Компромисс</t>
        </is>
      </c>
      <c r="W153" s="185" t="n"/>
      <c r="Y153" s="182">
        <f>IF(X153="ок",N(L153),IF(ISNUMBER(M153),M153*J153,N(L153)))</f>
        <v/>
      </c>
      <c r="Z153" s="182">
        <f>T153</f>
        <v/>
      </c>
    </row>
    <row r="154" ht="30" customHeight="1" s="155">
      <c r="A154" s="92" t="inlineStr">
        <is>
          <t>4,39</t>
        </is>
      </c>
      <c r="B154" s="19" t="inlineStr">
        <is>
          <t>Отвод 300 из оцинкованной стали толщиной 0,7мм, класса «В», 300x500</t>
        </is>
      </c>
      <c r="C154" s="17" t="inlineStr">
        <is>
          <t>шт.</t>
        </is>
      </c>
      <c r="D154" s="17" t="n"/>
      <c r="E154" s="17" t="n"/>
      <c r="F154" s="17" t="n"/>
      <c r="G154" s="17" t="n"/>
      <c r="H154" s="9">
        <f>J154</f>
        <v/>
      </c>
      <c r="I154" s="34" t="n"/>
      <c r="J154" s="112" t="n">
        <v>2</v>
      </c>
      <c r="K154" s="128" t="n">
        <v>1020</v>
      </c>
      <c r="L154" s="94">
        <f>K154*J154</f>
        <v/>
      </c>
      <c r="M154" s="124" t="n">
        <v>1020</v>
      </c>
      <c r="P154" s="186">
        <f>M154*J154</f>
        <v/>
      </c>
      <c r="Q154" s="186">
        <f>P154-L154</f>
        <v/>
      </c>
      <c r="S154" s="184" t="n">
        <v>1320</v>
      </c>
      <c r="T154" s="184">
        <f>S154*J154</f>
        <v/>
      </c>
      <c r="U154" s="184">
        <f>T154-Y154</f>
        <v/>
      </c>
      <c r="V154" s="185" t="inlineStr">
        <is>
          <t>Компромисс</t>
        </is>
      </c>
      <c r="W154" s="185" t="n"/>
      <c r="Y154" s="182">
        <f>IF(X154="ок",N(L154),IF(ISNUMBER(M154),M154*J154,N(L154)))</f>
        <v/>
      </c>
      <c r="Z154" s="182">
        <f>T154</f>
        <v/>
      </c>
    </row>
    <row r="155" ht="30" customHeight="1" s="155">
      <c r="A155" s="92" t="inlineStr">
        <is>
          <t>4,40</t>
        </is>
      </c>
      <c r="B155" s="19" t="inlineStr">
        <is>
          <t>Отвод 300 из оцинкованной стали толщиной 0,7мм, класса «В», 600x200</t>
        </is>
      </c>
      <c r="C155" s="17" t="inlineStr">
        <is>
          <t>шт.</t>
        </is>
      </c>
      <c r="D155" s="17" t="n"/>
      <c r="E155" s="17" t="n"/>
      <c r="F155" s="17" t="n"/>
      <c r="G155" s="17" t="n"/>
      <c r="H155" s="9">
        <f>J155</f>
        <v/>
      </c>
      <c r="I155" s="34" t="n"/>
      <c r="J155" s="112" t="n">
        <v>1</v>
      </c>
      <c r="K155" s="128" t="n">
        <v>1360</v>
      </c>
      <c r="L155" s="94">
        <f>K155*J155</f>
        <v/>
      </c>
      <c r="M155" s="124" t="n">
        <v>1360</v>
      </c>
      <c r="P155" s="186">
        <f>M155*J155</f>
        <v/>
      </c>
      <c r="Q155" s="186">
        <f>P155-L155</f>
        <v/>
      </c>
      <c r="S155" s="184" t="n">
        <v>1760</v>
      </c>
      <c r="T155" s="184">
        <f>S155*J155</f>
        <v/>
      </c>
      <c r="U155" s="184">
        <f>T155-Y155</f>
        <v/>
      </c>
      <c r="V155" s="185" t="inlineStr">
        <is>
          <t>Компромисс</t>
        </is>
      </c>
      <c r="W155" s="185" t="n"/>
      <c r="Y155" s="182">
        <f>IF(X155="ок",N(L155),IF(ISNUMBER(M155),M155*J155,N(L155)))</f>
        <v/>
      </c>
      <c r="Z155" s="182">
        <f>T155</f>
        <v/>
      </c>
    </row>
    <row r="156" ht="30" customHeight="1" s="155">
      <c r="A156" s="92" t="inlineStr">
        <is>
          <t>4,41</t>
        </is>
      </c>
      <c r="B156" s="19" t="inlineStr">
        <is>
          <t>Отвод 450 из оцинкованной стали толщиной 0,5мм, класса «В», Ø160</t>
        </is>
      </c>
      <c r="C156" s="17" t="inlineStr">
        <is>
          <t>шт.</t>
        </is>
      </c>
      <c r="D156" s="17" t="n"/>
      <c r="E156" s="17" t="n"/>
      <c r="F156" s="17" t="n"/>
      <c r="G156" s="17" t="n"/>
      <c r="H156" s="9">
        <f>J156</f>
        <v/>
      </c>
      <c r="I156" s="34" t="n"/>
      <c r="J156" s="112" t="n">
        <v>9</v>
      </c>
      <c r="K156" s="128" t="n">
        <v>855</v>
      </c>
      <c r="L156" s="94">
        <f>K156*J156</f>
        <v/>
      </c>
      <c r="M156" s="124" t="n">
        <v>855</v>
      </c>
      <c r="N156" s="119" t="inlineStr">
        <is>
          <t>по договру</t>
        </is>
      </c>
      <c r="P156" s="186">
        <f>M156*J156</f>
        <v/>
      </c>
      <c r="Q156" s="186">
        <f>P156-L156</f>
        <v/>
      </c>
      <c r="S156" s="184" t="n">
        <v>1020</v>
      </c>
      <c r="T156" s="184">
        <f>S156*J156</f>
        <v/>
      </c>
      <c r="U156" s="184">
        <f>T156-Y156</f>
        <v/>
      </c>
      <c r="V156" s="185" t="inlineStr">
        <is>
          <t>Компромисс</t>
        </is>
      </c>
      <c r="W156" s="185" t="n"/>
      <c r="Y156" s="182">
        <f>IF(X156="ок",N(L156),IF(ISNUMBER(M156),M156*J156,N(L156)))</f>
        <v/>
      </c>
      <c r="Z156" s="182">
        <f>T156</f>
        <v/>
      </c>
    </row>
    <row r="157" ht="30" customHeight="1" s="155">
      <c r="A157" s="92" t="inlineStr">
        <is>
          <t>4,42</t>
        </is>
      </c>
      <c r="B157" s="19" t="inlineStr">
        <is>
          <t>Отвод 450 из оцинкованной стали толщиной 0,7мм, класса «В», 300x200</t>
        </is>
      </c>
      <c r="C157" s="17" t="inlineStr">
        <is>
          <t>шт.</t>
        </is>
      </c>
      <c r="D157" s="17" t="n"/>
      <c r="E157" s="17" t="n"/>
      <c r="F157" s="17" t="n"/>
      <c r="G157" s="17" t="n"/>
      <c r="H157" s="9">
        <f>J157</f>
        <v/>
      </c>
      <c r="I157" s="34" t="n"/>
      <c r="J157" s="112" t="n">
        <v>3</v>
      </c>
      <c r="K157" s="128" t="n">
        <v>680</v>
      </c>
      <c r="L157" s="94">
        <f>K157*J157</f>
        <v/>
      </c>
      <c r="M157" s="124" t="n">
        <v>680</v>
      </c>
      <c r="N157" s="119" t="n"/>
      <c r="P157" s="186">
        <f>M157*J157</f>
        <v/>
      </c>
      <c r="Q157" s="186">
        <f>P157-L157</f>
        <v/>
      </c>
      <c r="S157" s="184" t="n">
        <v>880</v>
      </c>
      <c r="T157" s="184">
        <f>S157*J157</f>
        <v/>
      </c>
      <c r="U157" s="184">
        <f>T157-Y157</f>
        <v/>
      </c>
      <c r="V157" s="185" t="inlineStr">
        <is>
          <t>Компромисс</t>
        </is>
      </c>
      <c r="W157" s="185" t="n"/>
      <c r="Y157" s="182">
        <f>IF(X157="ок",N(L157),IF(ISNUMBER(M157),M157*J157,N(L157)))</f>
        <v/>
      </c>
      <c r="Z157" s="182">
        <f>T157</f>
        <v/>
      </c>
    </row>
    <row r="158" ht="30" customHeight="1" s="155">
      <c r="A158" s="92" t="inlineStr">
        <is>
          <t>4,43</t>
        </is>
      </c>
      <c r="B158" s="19" t="inlineStr">
        <is>
          <t>Отвод 450 из оцинкованной стали толщиной 0,7мм, класса «В», 500x200</t>
        </is>
      </c>
      <c r="C158" s="17" t="inlineStr">
        <is>
          <t>шт.</t>
        </is>
      </c>
      <c r="D158" s="17" t="n"/>
      <c r="E158" s="17" t="n"/>
      <c r="F158" s="17" t="n"/>
      <c r="G158" s="17" t="n"/>
      <c r="H158" s="9">
        <f>J158</f>
        <v/>
      </c>
      <c r="I158" s="34" t="n"/>
      <c r="J158" s="112" t="n">
        <v>4</v>
      </c>
      <c r="K158" s="128" t="n">
        <v>1700</v>
      </c>
      <c r="L158" s="94">
        <f>K158*J158</f>
        <v/>
      </c>
      <c r="M158" s="124" t="n">
        <v>1700</v>
      </c>
      <c r="P158" s="186">
        <f>M158*J158</f>
        <v/>
      </c>
      <c r="Q158" s="186">
        <f>P158-L158</f>
        <v/>
      </c>
      <c r="S158" s="184" t="n">
        <v>1944</v>
      </c>
      <c r="T158" s="184">
        <f>S158*J158</f>
        <v/>
      </c>
      <c r="U158" s="184">
        <f>T158-Y158</f>
        <v/>
      </c>
      <c r="V158" s="185" t="inlineStr">
        <is>
          <t>Компромисс</t>
        </is>
      </c>
      <c r="W158" s="185" t="n"/>
      <c r="Y158" s="182">
        <f>IF(X158="ок",N(L158),IF(ISNUMBER(M158),M158*J158,N(L158)))</f>
        <v/>
      </c>
      <c r="Z158" s="182">
        <f>T158</f>
        <v/>
      </c>
    </row>
    <row r="159" ht="30" customHeight="1" s="155">
      <c r="A159" s="92" t="inlineStr">
        <is>
          <t>4,44</t>
        </is>
      </c>
      <c r="B159" s="19" t="inlineStr">
        <is>
          <t>Отвод 600 из оцинкованной стали толщиной 0,7мм, класса «В», 600x200</t>
        </is>
      </c>
      <c r="C159" s="17" t="inlineStr">
        <is>
          <t>шт.</t>
        </is>
      </c>
      <c r="D159" s="17" t="n"/>
      <c r="E159" s="17" t="n"/>
      <c r="F159" s="17" t="n"/>
      <c r="G159" s="17" t="n"/>
      <c r="H159" s="9">
        <f>J159</f>
        <v/>
      </c>
      <c r="I159" s="34" t="n"/>
      <c r="J159" s="112" t="n">
        <v>1</v>
      </c>
      <c r="K159" s="128" t="n">
        <v>2040</v>
      </c>
      <c r="L159" s="94">
        <f>K159*J159</f>
        <v/>
      </c>
      <c r="M159" s="124" t="n">
        <v>2040</v>
      </c>
      <c r="P159" s="186">
        <f>M159*J159</f>
        <v/>
      </c>
      <c r="Q159" s="186">
        <f>P159-L159</f>
        <v/>
      </c>
      <c r="S159" s="182" t="n"/>
      <c r="T159" s="182" t="n"/>
      <c r="U159" s="182" t="n"/>
      <c r="V159" s="183" t="n"/>
      <c r="W159" s="183" t="n"/>
      <c r="Y159" s="182">
        <f>IF(X159="ок",N(L159),IF(ISNUMBER(M159),M159*J159,N(L159)))</f>
        <v/>
      </c>
      <c r="Z159" s="182">
        <f>Y159</f>
        <v/>
      </c>
    </row>
    <row r="160" ht="30" customHeight="1" s="155">
      <c r="A160" s="92" t="inlineStr">
        <is>
          <t>4,45</t>
        </is>
      </c>
      <c r="B160" s="19" t="inlineStr">
        <is>
          <t>Отвод 900 из оцинкованной стали толщиной 0,5мм, класса «В», Ø100</t>
        </is>
      </c>
      <c r="C160" s="17" t="inlineStr">
        <is>
          <t>шт.</t>
        </is>
      </c>
      <c r="D160" s="17" t="n"/>
      <c r="E160" s="17" t="n"/>
      <c r="F160" s="17" t="n"/>
      <c r="G160" s="17" t="n"/>
      <c r="H160" s="9">
        <f>J160</f>
        <v/>
      </c>
      <c r="I160" s="34" t="n"/>
      <c r="J160" s="112" t="n">
        <v>10</v>
      </c>
      <c r="K160" s="128" t="n">
        <v>855</v>
      </c>
      <c r="L160" s="94">
        <f>K160*J160</f>
        <v/>
      </c>
      <c r="M160" s="124" t="n">
        <v>855</v>
      </c>
      <c r="N160" s="119" t="inlineStr">
        <is>
          <t>по договру</t>
        </is>
      </c>
      <c r="P160" s="186">
        <f>M160*J160</f>
        <v/>
      </c>
      <c r="Q160" s="186">
        <f>P160-L160</f>
        <v/>
      </c>
      <c r="S160" s="184" t="n">
        <v>1020</v>
      </c>
      <c r="T160" s="184">
        <f>S160*J160</f>
        <v/>
      </c>
      <c r="U160" s="184">
        <f>T160-Y160</f>
        <v/>
      </c>
      <c r="V160" s="185" t="inlineStr">
        <is>
          <t>Компромисс</t>
        </is>
      </c>
      <c r="W160" s="185" t="n"/>
      <c r="Y160" s="182">
        <f>IF(X160="ок",N(L160),IF(ISNUMBER(M160),M160*J160,N(L160)))</f>
        <v/>
      </c>
      <c r="Z160" s="182">
        <f>T160</f>
        <v/>
      </c>
    </row>
    <row r="161" ht="30" customHeight="1" s="155">
      <c r="A161" s="92" t="inlineStr">
        <is>
          <t>4,46</t>
        </is>
      </c>
      <c r="B161" s="19" t="inlineStr">
        <is>
          <t>Отвод 900 из оцинкованной стали толщиной 0,5мм, класса «В», Ø125</t>
        </is>
      </c>
      <c r="C161" s="17" t="inlineStr">
        <is>
          <t>шт.</t>
        </is>
      </c>
      <c r="D161" s="17" t="n"/>
      <c r="E161" s="17" t="n"/>
      <c r="F161" s="17" t="n"/>
      <c r="G161" s="17" t="n"/>
      <c r="H161" s="9">
        <f>J161</f>
        <v/>
      </c>
      <c r="I161" s="34" t="n"/>
      <c r="J161" s="112" t="n">
        <v>3</v>
      </c>
      <c r="K161" s="128" t="n">
        <v>855</v>
      </c>
      <c r="L161" s="94">
        <f>K161*J161</f>
        <v/>
      </c>
      <c r="M161" s="124" t="n">
        <v>855</v>
      </c>
      <c r="N161" s="119" t="inlineStr">
        <is>
          <t>по договру</t>
        </is>
      </c>
      <c r="P161" s="186">
        <f>M161*J161</f>
        <v/>
      </c>
      <c r="Q161" s="186">
        <f>P161-L161</f>
        <v/>
      </c>
      <c r="S161" s="184" t="n">
        <v>1020</v>
      </c>
      <c r="T161" s="184">
        <f>S161*J161</f>
        <v/>
      </c>
      <c r="U161" s="184">
        <f>T161-Y161</f>
        <v/>
      </c>
      <c r="V161" s="185" t="inlineStr">
        <is>
          <t>Компромисс</t>
        </is>
      </c>
      <c r="W161" s="185" t="n"/>
      <c r="Y161" s="182">
        <f>IF(X161="ок",N(L161),IF(ISNUMBER(M161),M161*J161,N(L161)))</f>
        <v/>
      </c>
      <c r="Z161" s="182">
        <f>T161</f>
        <v/>
      </c>
    </row>
    <row r="162" ht="30" customHeight="1" s="155">
      <c r="A162" s="92" t="inlineStr">
        <is>
          <t>4,47</t>
        </is>
      </c>
      <c r="B162" s="19" t="inlineStr">
        <is>
          <t>Отвод 900 из оцинкованной стали толщиной 0,5мм, класса «В», Ø160</t>
        </is>
      </c>
      <c r="C162" s="17" t="inlineStr">
        <is>
          <t>шт.</t>
        </is>
      </c>
      <c r="D162" s="17" t="n"/>
      <c r="E162" s="17" t="n"/>
      <c r="F162" s="17" t="n"/>
      <c r="G162" s="17" t="n"/>
      <c r="H162" s="9">
        <f>J162</f>
        <v/>
      </c>
      <c r="I162" s="34" t="n"/>
      <c r="J162" s="112" t="n">
        <v>10</v>
      </c>
      <c r="K162" s="128" t="n">
        <v>855</v>
      </c>
      <c r="L162" s="94">
        <f>K162*J162</f>
        <v/>
      </c>
      <c r="M162" s="124" t="n">
        <v>855</v>
      </c>
      <c r="N162" s="119" t="inlineStr">
        <is>
          <t>по договру</t>
        </is>
      </c>
      <c r="P162" s="186">
        <f>M162*J162</f>
        <v/>
      </c>
      <c r="Q162" s="186">
        <f>P162-L162</f>
        <v/>
      </c>
      <c r="S162" s="184" t="n">
        <v>1020</v>
      </c>
      <c r="T162" s="184">
        <f>S162*J162</f>
        <v/>
      </c>
      <c r="U162" s="184">
        <f>T162-Y162</f>
        <v/>
      </c>
      <c r="V162" s="185" t="inlineStr">
        <is>
          <t>Компромисс</t>
        </is>
      </c>
      <c r="W162" s="185" t="n"/>
      <c r="Y162" s="182">
        <f>IF(X162="ок",N(L162),IF(ISNUMBER(M162),M162*J162,N(L162)))</f>
        <v/>
      </c>
      <c r="Z162" s="182">
        <f>T162</f>
        <v/>
      </c>
    </row>
    <row r="163" ht="30" customHeight="1" s="155">
      <c r="A163" s="92" t="inlineStr">
        <is>
          <t>4,48</t>
        </is>
      </c>
      <c r="B163" s="19" t="inlineStr">
        <is>
          <t>Отвод 900 из оцинкованной стали толщиной 0,5мм, класса «В», Ø200</t>
        </is>
      </c>
      <c r="C163" s="17" t="inlineStr">
        <is>
          <t>шт.</t>
        </is>
      </c>
      <c r="D163" s="17" t="n"/>
      <c r="E163" s="17" t="n"/>
      <c r="F163" s="17" t="n"/>
      <c r="G163" s="17" t="n"/>
      <c r="H163" s="9">
        <f>J163</f>
        <v/>
      </c>
      <c r="I163" s="34" t="n"/>
      <c r="J163" s="112" t="n">
        <v>6</v>
      </c>
      <c r="K163" s="128" t="n">
        <v>855</v>
      </c>
      <c r="L163" s="94">
        <f>K163*J163</f>
        <v/>
      </c>
      <c r="M163" s="124" t="n">
        <v>855</v>
      </c>
      <c r="N163" s="119" t="inlineStr">
        <is>
          <t>по договру</t>
        </is>
      </c>
      <c r="P163" s="186">
        <f>M163*J163</f>
        <v/>
      </c>
      <c r="Q163" s="186">
        <f>P163-L163</f>
        <v/>
      </c>
      <c r="S163" s="184" t="n">
        <v>1020</v>
      </c>
      <c r="T163" s="184">
        <f>S163*J163</f>
        <v/>
      </c>
      <c r="U163" s="184">
        <f>T163-Y163</f>
        <v/>
      </c>
      <c r="V163" s="185" t="inlineStr">
        <is>
          <t>Компромисс</t>
        </is>
      </c>
      <c r="W163" s="185" t="n"/>
      <c r="Y163" s="182">
        <f>IF(X163="ок",N(L163),IF(ISNUMBER(M163),M163*J163,N(L163)))</f>
        <v/>
      </c>
      <c r="Z163" s="182">
        <f>T163</f>
        <v/>
      </c>
    </row>
    <row r="164" ht="30" customHeight="1" s="155">
      <c r="A164" s="92" t="inlineStr">
        <is>
          <t>4,49</t>
        </is>
      </c>
      <c r="B164" s="19" t="inlineStr">
        <is>
          <t>Отвод 900 из оцинкованной стали толщиной 0,7мм, класса «В», 300x200</t>
        </is>
      </c>
      <c r="C164" s="17" t="inlineStr">
        <is>
          <t>шт.</t>
        </is>
      </c>
      <c r="D164" s="17" t="n"/>
      <c r="E164" s="17" t="n"/>
      <c r="F164" s="17" t="n"/>
      <c r="G164" s="17" t="n"/>
      <c r="H164" s="9">
        <f>J164</f>
        <v/>
      </c>
      <c r="I164" s="34" t="n"/>
      <c r="J164" s="112" t="n">
        <v>1</v>
      </c>
      <c r="K164" s="128" t="n">
        <v>850</v>
      </c>
      <c r="L164" s="94">
        <f>K164*J164</f>
        <v/>
      </c>
      <c r="M164" s="124" t="n">
        <v>850</v>
      </c>
      <c r="P164" s="186">
        <f>M164*J164</f>
        <v/>
      </c>
      <c r="Q164" s="186">
        <f>P164-L164</f>
        <v/>
      </c>
      <c r="S164" s="184" t="n">
        <v>1100</v>
      </c>
      <c r="T164" s="184">
        <f>S164*J164</f>
        <v/>
      </c>
      <c r="U164" s="184">
        <f>T164-Y164</f>
        <v/>
      </c>
      <c r="V164" s="185" t="inlineStr">
        <is>
          <t>Компромисс</t>
        </is>
      </c>
      <c r="W164" s="185" t="n"/>
      <c r="Y164" s="182">
        <f>IF(X164="ок",N(L164),IF(ISNUMBER(M164),M164*J164,N(L164)))</f>
        <v/>
      </c>
      <c r="Z164" s="182">
        <f>T164</f>
        <v/>
      </c>
    </row>
    <row r="165" ht="30" customHeight="1" s="155">
      <c r="A165" s="92" t="inlineStr">
        <is>
          <t>4,50</t>
        </is>
      </c>
      <c r="B165" s="19" t="inlineStr">
        <is>
          <t>Отвод 900 из оцинкованной стали толщиной 0,7мм, класса «В», 400x200</t>
        </is>
      </c>
      <c r="C165" s="17" t="inlineStr">
        <is>
          <t>шт.</t>
        </is>
      </c>
      <c r="D165" s="17" t="n"/>
      <c r="E165" s="17" t="n"/>
      <c r="F165" s="17" t="n"/>
      <c r="G165" s="17" t="n"/>
      <c r="H165" s="9">
        <f>J165</f>
        <v/>
      </c>
      <c r="I165" s="34" t="n"/>
      <c r="J165" s="112" t="n">
        <v>1</v>
      </c>
      <c r="K165" s="128" t="n">
        <v>1190</v>
      </c>
      <c r="L165" s="94">
        <f>K165*J165</f>
        <v/>
      </c>
      <c r="M165" s="124" t="n">
        <v>1190</v>
      </c>
      <c r="P165" s="186">
        <f>M165*J165</f>
        <v/>
      </c>
      <c r="Q165" s="186">
        <f>P165-L165</f>
        <v/>
      </c>
      <c r="S165" s="184" t="n">
        <v>1540</v>
      </c>
      <c r="T165" s="184">
        <f>S165*J165</f>
        <v/>
      </c>
      <c r="U165" s="184">
        <f>T165-Y165</f>
        <v/>
      </c>
      <c r="V165" s="185" t="inlineStr">
        <is>
          <t>Компромисс</t>
        </is>
      </c>
      <c r="W165" s="185" t="n"/>
      <c r="Y165" s="182">
        <f>IF(X165="ок",N(L165),IF(ISNUMBER(M165),M165*J165,N(L165)))</f>
        <v/>
      </c>
      <c r="Z165" s="182">
        <f>T165</f>
        <v/>
      </c>
    </row>
    <row r="166" ht="30" customHeight="1" s="155">
      <c r="A166" s="92" t="inlineStr">
        <is>
          <t>4,51</t>
        </is>
      </c>
      <c r="B166" s="19" t="inlineStr">
        <is>
          <t>Отвод 900 из оцинкованной стали толщиной 0,7мм, класса «В», 500x250</t>
        </is>
      </c>
      <c r="C166" s="17" t="inlineStr">
        <is>
          <t>шт.</t>
        </is>
      </c>
      <c r="D166" s="17" t="n"/>
      <c r="E166" s="17" t="n"/>
      <c r="F166" s="17" t="n"/>
      <c r="G166" s="17" t="n"/>
      <c r="H166" s="9">
        <f>J166</f>
        <v/>
      </c>
      <c r="I166" s="34" t="n"/>
      <c r="J166" s="112" t="n">
        <v>1</v>
      </c>
      <c r="K166" s="128" t="n">
        <v>1700</v>
      </c>
      <c r="L166" s="94">
        <f>K166*J166</f>
        <v/>
      </c>
      <c r="M166" s="124" t="n">
        <v>1700</v>
      </c>
      <c r="P166" s="186">
        <f>M166*J166</f>
        <v/>
      </c>
      <c r="Q166" s="186">
        <f>P166-L166</f>
        <v/>
      </c>
      <c r="S166" s="184" t="n">
        <v>2210</v>
      </c>
      <c r="T166" s="184">
        <f>S166*J166</f>
        <v/>
      </c>
      <c r="U166" s="184">
        <f>T166-Y166</f>
        <v/>
      </c>
      <c r="V166" s="185" t="inlineStr">
        <is>
          <t>Компромисс</t>
        </is>
      </c>
      <c r="W166" s="185" t="n"/>
      <c r="Y166" s="182">
        <f>IF(X166="ок",N(L166),IF(ISNUMBER(M166),M166*J166,N(L166)))</f>
        <v/>
      </c>
      <c r="Z166" s="182">
        <f>T166</f>
        <v/>
      </c>
    </row>
    <row r="167" ht="30" customHeight="1" s="155">
      <c r="A167" s="92" t="inlineStr">
        <is>
          <t>4,52</t>
        </is>
      </c>
      <c r="B167" s="19" t="inlineStr">
        <is>
          <t>Отвод 900 из оцинкованной стали толщиной 0,7мм, класса «В», 500x300</t>
        </is>
      </c>
      <c r="C167" s="17" t="inlineStr">
        <is>
          <t>шт.</t>
        </is>
      </c>
      <c r="D167" s="17" t="n"/>
      <c r="E167" s="17" t="n"/>
      <c r="F167" s="17" t="n"/>
      <c r="G167" s="17" t="n"/>
      <c r="H167" s="9">
        <f>J167</f>
        <v/>
      </c>
      <c r="I167" s="34" t="n"/>
      <c r="J167" s="112" t="n">
        <v>3</v>
      </c>
      <c r="K167" s="128" t="n">
        <v>1870</v>
      </c>
      <c r="L167" s="94">
        <f>K167*J167</f>
        <v/>
      </c>
      <c r="M167" s="124" t="n">
        <v>1870</v>
      </c>
      <c r="P167" s="186">
        <f>M167*J167</f>
        <v/>
      </c>
      <c r="Q167" s="186">
        <f>P167-L167</f>
        <v/>
      </c>
      <c r="S167" s="184" t="n">
        <v>2268</v>
      </c>
      <c r="T167" s="184">
        <f>S167*J167</f>
        <v/>
      </c>
      <c r="U167" s="184">
        <f>T167-Y167</f>
        <v/>
      </c>
      <c r="V167" s="185" t="inlineStr">
        <is>
          <t>Компромисс</t>
        </is>
      </c>
      <c r="W167" s="185" t="n"/>
      <c r="Y167" s="182">
        <f>IF(X167="ок",N(L167),IF(ISNUMBER(M167),M167*J167,N(L167)))</f>
        <v/>
      </c>
      <c r="Z167" s="182">
        <f>T167</f>
        <v/>
      </c>
    </row>
    <row r="168" ht="30" customHeight="1" s="155">
      <c r="A168" s="92" t="inlineStr">
        <is>
          <t>4,53</t>
        </is>
      </c>
      <c r="B168" s="19" t="inlineStr">
        <is>
          <t>Отвод 900 из оцинкованной стали толщиной 0,7мм, класса «В», 600x200</t>
        </is>
      </c>
      <c r="C168" s="17" t="inlineStr">
        <is>
          <t>шт.</t>
        </is>
      </c>
      <c r="D168" s="17" t="n"/>
      <c r="E168" s="17" t="n"/>
      <c r="F168" s="17" t="n"/>
      <c r="G168" s="17" t="n"/>
      <c r="H168" s="9">
        <f>J168</f>
        <v/>
      </c>
      <c r="I168" s="34" t="n"/>
      <c r="J168" s="112" t="n">
        <v>1</v>
      </c>
      <c r="K168" s="128" t="n">
        <v>2040</v>
      </c>
      <c r="L168" s="94">
        <f>K168*J168</f>
        <v/>
      </c>
      <c r="M168" s="124" t="n">
        <v>2040</v>
      </c>
      <c r="P168" s="186">
        <f>M168*J168</f>
        <v/>
      </c>
      <c r="Q168" s="186">
        <f>P168-L168</f>
        <v/>
      </c>
      <c r="S168" s="184" t="n">
        <v>2268</v>
      </c>
      <c r="T168" s="184">
        <f>S168*J168</f>
        <v/>
      </c>
      <c r="U168" s="184">
        <f>T168-Y168</f>
        <v/>
      </c>
      <c r="V168" s="185" t="inlineStr">
        <is>
          <t>Компромисс</t>
        </is>
      </c>
      <c r="W168" s="185" t="n"/>
      <c r="Y168" s="182">
        <f>IF(X168="ок",N(L168),IF(ISNUMBER(M168),M168*J168,N(L168)))</f>
        <v/>
      </c>
      <c r="Z168" s="182">
        <f>T168</f>
        <v/>
      </c>
    </row>
    <row r="169" ht="30" customHeight="1" s="155">
      <c r="A169" s="92" t="inlineStr">
        <is>
          <t>4,54</t>
        </is>
      </c>
      <c r="B169" s="19" t="inlineStr">
        <is>
          <t>Отвод 900 из оцинкованной стали толщиной 0,7мм, класса «В», 600x250</t>
        </is>
      </c>
      <c r="C169" s="17" t="inlineStr">
        <is>
          <t>шт.</t>
        </is>
      </c>
      <c r="D169" s="17" t="n"/>
      <c r="E169" s="17" t="n"/>
      <c r="F169" s="17" t="n"/>
      <c r="G169" s="17" t="n"/>
      <c r="H169" s="9">
        <f>J169</f>
        <v/>
      </c>
      <c r="I169" s="34" t="n"/>
      <c r="J169" s="112" t="n">
        <v>1</v>
      </c>
      <c r="K169" s="128" t="n">
        <v>2210</v>
      </c>
      <c r="L169" s="94">
        <f>K169*J169</f>
        <v/>
      </c>
      <c r="M169" s="124" t="n">
        <v>2210</v>
      </c>
      <c r="P169" s="186">
        <f>M169*J169</f>
        <v/>
      </c>
      <c r="Q169" s="186">
        <f>P169-L169</f>
        <v/>
      </c>
      <c r="S169" s="184" t="n">
        <v>2268</v>
      </c>
      <c r="T169" s="184">
        <f>S169*J169</f>
        <v/>
      </c>
      <c r="U169" s="184">
        <f>T169-Y169</f>
        <v/>
      </c>
      <c r="V169" s="185" t="inlineStr">
        <is>
          <t>Компромисс</t>
        </is>
      </c>
      <c r="W169" s="185" t="n"/>
      <c r="Y169" s="182">
        <f>IF(X169="ок",N(L169),IF(ISNUMBER(M169),M169*J169,N(L169)))</f>
        <v/>
      </c>
      <c r="Z169" s="182">
        <f>T169</f>
        <v/>
      </c>
    </row>
    <row r="170" ht="30" customHeight="1" s="155">
      <c r="A170" s="92" t="inlineStr">
        <is>
          <t>4,55</t>
        </is>
      </c>
      <c r="B170" s="19" t="inlineStr">
        <is>
          <t>Отвод 900 из оцинкованной стали толщиной 0,7мм, класса «В», 700x250</t>
        </is>
      </c>
      <c r="C170" s="17" t="inlineStr">
        <is>
          <t>шт.</t>
        </is>
      </c>
      <c r="D170" s="17" t="n"/>
      <c r="E170" s="17" t="n"/>
      <c r="F170" s="17" t="n"/>
      <c r="G170" s="17" t="n"/>
      <c r="H170" s="9">
        <f>J170</f>
        <v/>
      </c>
      <c r="I170" s="34" t="n"/>
      <c r="J170" s="112" t="n">
        <v>4</v>
      </c>
      <c r="K170" s="128" t="n">
        <v>2720</v>
      </c>
      <c r="L170" s="94">
        <f>K170*J170</f>
        <v/>
      </c>
      <c r="M170" s="124" t="n">
        <v>2720</v>
      </c>
      <c r="P170" s="186">
        <f>M170*J170</f>
        <v/>
      </c>
      <c r="Q170" s="186">
        <f>P170-L170</f>
        <v/>
      </c>
      <c r="S170" s="182" t="n"/>
      <c r="T170" s="182" t="n"/>
      <c r="U170" s="182" t="n"/>
      <c r="V170" s="183" t="n"/>
      <c r="W170" s="183" t="n"/>
      <c r="Y170" s="182">
        <f>IF(X170="ок",N(L170),IF(ISNUMBER(M170),M170*J170,N(L170)))</f>
        <v/>
      </c>
      <c r="Z170" s="182">
        <f>Y170</f>
        <v/>
      </c>
    </row>
    <row r="171" ht="38.25" customHeight="1" s="155">
      <c r="A171" s="92" t="inlineStr">
        <is>
          <t>4,56</t>
        </is>
      </c>
      <c r="B171" s="19" t="inlineStr">
        <is>
          <t>Врезка плоская из оцинкованной стали толщиной 0,5мм, класса «В», Ø100</t>
        </is>
      </c>
      <c r="C171" s="17" t="inlineStr">
        <is>
          <t>шт.</t>
        </is>
      </c>
      <c r="D171" s="17" t="n"/>
      <c r="E171" s="17" t="n"/>
      <c r="F171" s="17" t="n"/>
      <c r="G171" s="17" t="n"/>
      <c r="H171" s="9">
        <f>J171</f>
        <v/>
      </c>
      <c r="I171" s="34" t="n"/>
      <c r="J171" s="112" t="n">
        <v>2</v>
      </c>
      <c r="K171" s="128" t="n">
        <v>855</v>
      </c>
      <c r="L171" s="94">
        <f>K171*J171</f>
        <v/>
      </c>
      <c r="M171" s="124" t="n">
        <v>370</v>
      </c>
      <c r="P171" s="186">
        <f>M171*J171</f>
        <v/>
      </c>
      <c r="Q171" s="186">
        <f>P171-L171</f>
        <v/>
      </c>
      <c r="S171" s="187" t="n">
        <v>855</v>
      </c>
      <c r="T171" s="187">
        <f>S171*J171</f>
        <v/>
      </c>
      <c r="U171" s="187">
        <f>T171-Y171</f>
        <v/>
      </c>
      <c r="V171" s="188" t="inlineStr">
        <is>
          <t>Согласно (ок)</t>
        </is>
      </c>
      <c r="W171" s="188" t="n"/>
      <c r="X171" s="127" t="inlineStr">
        <is>
          <t>ок</t>
        </is>
      </c>
      <c r="Y171" s="182">
        <f>IF(X171="ок",N(L171),IF(ISNUMBER(M171),M171*J171,N(L171)))</f>
        <v/>
      </c>
      <c r="Z171" s="182">
        <f>T171</f>
        <v/>
      </c>
    </row>
    <row r="172" ht="38.25" customHeight="1" s="155">
      <c r="A172" s="92" t="inlineStr">
        <is>
          <t>4,57</t>
        </is>
      </c>
      <c r="B172" s="19" t="inlineStr">
        <is>
          <t>Врезка плоская из оцинкованной стали толщиной 0,5мм, класса «В», Ø160</t>
        </is>
      </c>
      <c r="C172" s="17" t="inlineStr">
        <is>
          <t>шт.</t>
        </is>
      </c>
      <c r="D172" s="17" t="n"/>
      <c r="E172" s="17" t="n"/>
      <c r="F172" s="17" t="n"/>
      <c r="G172" s="17" t="n"/>
      <c r="H172" s="9">
        <f>J172</f>
        <v/>
      </c>
      <c r="I172" s="34" t="n"/>
      <c r="J172" s="112" t="n">
        <v>14</v>
      </c>
      <c r="K172" s="128" t="n">
        <v>855</v>
      </c>
      <c r="L172" s="94">
        <f>K172*J172</f>
        <v/>
      </c>
      <c r="M172" s="124" t="n">
        <v>370</v>
      </c>
      <c r="P172" s="186">
        <f>M172*J172</f>
        <v/>
      </c>
      <c r="Q172" s="186">
        <f>P172-L172</f>
        <v/>
      </c>
      <c r="S172" s="187" t="n">
        <v>855</v>
      </c>
      <c r="T172" s="187">
        <f>S172*J172</f>
        <v/>
      </c>
      <c r="U172" s="187">
        <f>T172-Y172</f>
        <v/>
      </c>
      <c r="V172" s="188" t="inlineStr">
        <is>
          <t>Согласно (ок)</t>
        </is>
      </c>
      <c r="W172" s="188" t="n"/>
      <c r="X172" s="127" t="inlineStr">
        <is>
          <t>ок</t>
        </is>
      </c>
      <c r="Y172" s="182">
        <f>IF(X172="ок",N(L172),IF(ISNUMBER(M172),M172*J172,N(L172)))</f>
        <v/>
      </c>
      <c r="Z172" s="182">
        <f>T172</f>
        <v/>
      </c>
    </row>
    <row r="173" ht="38.25" customHeight="1" s="155">
      <c r="A173" s="92" t="inlineStr">
        <is>
          <t>4,58</t>
        </is>
      </c>
      <c r="B173" s="19" t="inlineStr">
        <is>
          <t>Врезка плоская из оцинкованной стали толщиной 0,5мм, класса «В», Ø200</t>
        </is>
      </c>
      <c r="C173" s="17" t="inlineStr">
        <is>
          <t>шт.</t>
        </is>
      </c>
      <c r="D173" s="17" t="n"/>
      <c r="E173" s="17" t="n"/>
      <c r="F173" s="17" t="n"/>
      <c r="G173" s="17" t="n"/>
      <c r="H173" s="9">
        <f>J173</f>
        <v/>
      </c>
      <c r="I173" s="34" t="n"/>
      <c r="J173" s="112" t="n">
        <v>12</v>
      </c>
      <c r="K173" s="128" t="n">
        <v>855</v>
      </c>
      <c r="L173" s="94">
        <f>K173*J173</f>
        <v/>
      </c>
      <c r="M173" s="124" t="n">
        <v>370</v>
      </c>
      <c r="P173" s="186">
        <f>M173*J173</f>
        <v/>
      </c>
      <c r="Q173" s="186">
        <f>P173-L173</f>
        <v/>
      </c>
      <c r="S173" s="187" t="n">
        <v>855</v>
      </c>
      <c r="T173" s="187">
        <f>S173*J173</f>
        <v/>
      </c>
      <c r="U173" s="187">
        <f>T173-Y173</f>
        <v/>
      </c>
      <c r="V173" s="188" t="inlineStr">
        <is>
          <t>Согласно (ок)</t>
        </is>
      </c>
      <c r="W173" s="188" t="n"/>
      <c r="X173" s="127" t="inlineStr">
        <is>
          <t>ок</t>
        </is>
      </c>
      <c r="Y173" s="182">
        <f>IF(X173="ок",N(L173),IF(ISNUMBER(M173),M173*J173,N(L173)))</f>
        <v/>
      </c>
      <c r="Z173" s="182">
        <f>T173</f>
        <v/>
      </c>
    </row>
    <row r="174" ht="27.6" customHeight="1" s="155">
      <c r="A174" s="92" t="inlineStr">
        <is>
          <t>4,59</t>
        </is>
      </c>
      <c r="B174" s="19" t="inlineStr">
        <is>
          <t>Врезка-седло из оцинкованной стали толщиной 0,5мм, класса «В», Ø160/Ø100</t>
        </is>
      </c>
      <c r="C174" s="17" t="inlineStr">
        <is>
          <t>шт.</t>
        </is>
      </c>
      <c r="D174" s="17" t="n"/>
      <c r="E174" s="17" t="n"/>
      <c r="F174" s="17" t="n"/>
      <c r="G174" s="17" t="n"/>
      <c r="H174" s="9">
        <f>J174</f>
        <v/>
      </c>
      <c r="I174" s="34" t="n"/>
      <c r="J174" s="112" t="n">
        <v>1</v>
      </c>
      <c r="K174" s="128" t="n">
        <v>855</v>
      </c>
      <c r="L174" s="94">
        <f>K174*J174</f>
        <v/>
      </c>
      <c r="M174" s="124" t="n">
        <v>370</v>
      </c>
      <c r="P174" s="186">
        <f>M174*J174</f>
        <v/>
      </c>
      <c r="Q174" s="186">
        <f>P174-L174</f>
        <v/>
      </c>
      <c r="S174" s="187" t="n">
        <v>855</v>
      </c>
      <c r="T174" s="187">
        <f>S174*J174</f>
        <v/>
      </c>
      <c r="U174" s="187">
        <f>T174-Y174</f>
        <v/>
      </c>
      <c r="V174" s="188" t="inlineStr">
        <is>
          <t>Согласно (ок)</t>
        </is>
      </c>
      <c r="W174" s="188" t="n"/>
      <c r="X174" s="127" t="inlineStr">
        <is>
          <t>ок</t>
        </is>
      </c>
      <c r="Y174" s="182">
        <f>IF(X174="ок",N(L174),IF(ISNUMBER(M174),M174*J174,N(L174)))</f>
        <v/>
      </c>
      <c r="Z174" s="182">
        <f>T174</f>
        <v/>
      </c>
    </row>
    <row r="175" ht="27.6" customHeight="1" s="155">
      <c r="A175" s="92" t="inlineStr">
        <is>
          <t>4,60</t>
        </is>
      </c>
      <c r="B175" s="19" t="inlineStr">
        <is>
          <t>Врезка-седло из оцинкованной стали толщиной 0,5мм, класса «В», Ø160/Ø125</t>
        </is>
      </c>
      <c r="C175" s="17" t="inlineStr">
        <is>
          <t>шт.</t>
        </is>
      </c>
      <c r="D175" s="17" t="n"/>
      <c r="E175" s="17" t="n"/>
      <c r="F175" s="17" t="n"/>
      <c r="G175" s="17" t="n"/>
      <c r="H175" s="9">
        <f>J175</f>
        <v/>
      </c>
      <c r="I175" s="34" t="n"/>
      <c r="J175" s="112" t="n">
        <v>1</v>
      </c>
      <c r="K175" s="128" t="n">
        <v>855</v>
      </c>
      <c r="L175" s="94">
        <f>K175*J175</f>
        <v/>
      </c>
      <c r="M175" s="124" t="n">
        <v>370</v>
      </c>
      <c r="P175" s="186">
        <f>M175*J175</f>
        <v/>
      </c>
      <c r="Q175" s="186">
        <f>P175-L175</f>
        <v/>
      </c>
      <c r="S175" s="187" t="n">
        <v>855</v>
      </c>
      <c r="T175" s="187">
        <f>S175*J175</f>
        <v/>
      </c>
      <c r="U175" s="187">
        <f>T175-Y175</f>
        <v/>
      </c>
      <c r="V175" s="188" t="inlineStr">
        <is>
          <t>Согласно (ок)</t>
        </is>
      </c>
      <c r="W175" s="188" t="n"/>
      <c r="X175" s="127" t="inlineStr">
        <is>
          <t>ок</t>
        </is>
      </c>
      <c r="Y175" s="182">
        <f>IF(X175="ок",N(L175),IF(ISNUMBER(M175),M175*J175,N(L175)))</f>
        <v/>
      </c>
      <c r="Z175" s="182">
        <f>T175</f>
        <v/>
      </c>
    </row>
    <row r="176" ht="27.6" customHeight="1" s="155">
      <c r="A176" s="92" t="inlineStr">
        <is>
          <t>4,61</t>
        </is>
      </c>
      <c r="B176" s="19" t="inlineStr">
        <is>
          <t>Врезка-седло из оцинкованной стали толщиной 0,5мм, класса «В», Ø200/Ø160</t>
        </is>
      </c>
      <c r="C176" s="17" t="inlineStr">
        <is>
          <t>шт.</t>
        </is>
      </c>
      <c r="D176" s="17" t="n"/>
      <c r="E176" s="17" t="n"/>
      <c r="F176" s="17" t="n"/>
      <c r="G176" s="17" t="n"/>
      <c r="H176" s="9">
        <f>J176</f>
        <v/>
      </c>
      <c r="I176" s="34" t="n"/>
      <c r="J176" s="112" t="n">
        <v>3</v>
      </c>
      <c r="K176" s="128" t="n">
        <v>855</v>
      </c>
      <c r="L176" s="94">
        <f>K176*J176</f>
        <v/>
      </c>
      <c r="M176" s="124" t="n">
        <v>370</v>
      </c>
      <c r="P176" s="186">
        <f>M176*J176</f>
        <v/>
      </c>
      <c r="Q176" s="186">
        <f>P176-L176</f>
        <v/>
      </c>
      <c r="S176" s="187" t="n">
        <v>855</v>
      </c>
      <c r="T176" s="187">
        <f>S176*J176</f>
        <v/>
      </c>
      <c r="U176" s="187">
        <f>T176-Y176</f>
        <v/>
      </c>
      <c r="V176" s="188" t="inlineStr">
        <is>
          <t>Согласно (ок)</t>
        </is>
      </c>
      <c r="W176" s="188" t="n"/>
      <c r="X176" s="127" t="inlineStr">
        <is>
          <t>ок</t>
        </is>
      </c>
      <c r="Y176" s="182">
        <f>IF(X176="ок",N(L176),IF(ISNUMBER(M176),M176*J176,N(L176)))</f>
        <v/>
      </c>
      <c r="Z176" s="182">
        <f>T176</f>
        <v/>
      </c>
    </row>
    <row r="177" ht="27.6" customHeight="1" s="155">
      <c r="A177" s="92" t="inlineStr">
        <is>
          <t>4,62</t>
        </is>
      </c>
      <c r="B177" s="19" t="inlineStr">
        <is>
          <t>Тройник из оцинкованной стали толщиной 0,5мм, класса «В», Ø125/Ø125/Ø125</t>
        </is>
      </c>
      <c r="C177" s="17" t="inlineStr">
        <is>
          <t>шт.</t>
        </is>
      </c>
      <c r="D177" s="17" t="n"/>
      <c r="E177" s="17" t="n"/>
      <c r="F177" s="17" t="n"/>
      <c r="G177" s="17" t="n"/>
      <c r="H177" s="9">
        <f>J177</f>
        <v/>
      </c>
      <c r="I177" s="34" t="n"/>
      <c r="J177" s="112" t="n">
        <v>1</v>
      </c>
      <c r="K177" s="128" t="n">
        <v>855</v>
      </c>
      <c r="L177" s="94">
        <f>K177*J177</f>
        <v/>
      </c>
      <c r="M177" s="124" t="n">
        <v>370</v>
      </c>
      <c r="P177" s="186">
        <f>M177*J177</f>
        <v/>
      </c>
      <c r="Q177" s="186">
        <f>P177-L177</f>
        <v/>
      </c>
      <c r="S177" s="187" t="n">
        <v>855</v>
      </c>
      <c r="T177" s="187">
        <f>S177*J177</f>
        <v/>
      </c>
      <c r="U177" s="187">
        <f>T177-Y177</f>
        <v/>
      </c>
      <c r="V177" s="188" t="inlineStr">
        <is>
          <t>Согласно (ок)</t>
        </is>
      </c>
      <c r="W177" s="188" t="n"/>
      <c r="X177" s="127" t="inlineStr">
        <is>
          <t>ок</t>
        </is>
      </c>
      <c r="Y177" s="182">
        <f>IF(X177="ок",N(L177),IF(ISNUMBER(M177),M177*J177,N(L177)))</f>
        <v/>
      </c>
      <c r="Z177" s="182">
        <f>T177</f>
        <v/>
      </c>
    </row>
    <row r="178" ht="38.25" customHeight="1" s="155">
      <c r="A178" s="92" t="inlineStr">
        <is>
          <t>4,63</t>
        </is>
      </c>
      <c r="B178" s="19" t="inlineStr">
        <is>
          <t>Переход из оцинкованной стали толщиной 0,5мм, класса «В», Ø125/Ø100</t>
        </is>
      </c>
      <c r="C178" s="17" t="inlineStr">
        <is>
          <t>шт.</t>
        </is>
      </c>
      <c r="D178" s="17" t="n"/>
      <c r="E178" s="17" t="n"/>
      <c r="F178" s="17" t="n"/>
      <c r="G178" s="17" t="n"/>
      <c r="H178" s="9">
        <f>J178</f>
        <v/>
      </c>
      <c r="I178" s="34" t="n"/>
      <c r="J178" s="112" t="n">
        <v>2</v>
      </c>
      <c r="K178" s="128" t="n">
        <v>855</v>
      </c>
      <c r="L178" s="94">
        <f>K178*J178</f>
        <v/>
      </c>
      <c r="M178" s="124" t="n">
        <v>370</v>
      </c>
      <c r="P178" s="186">
        <f>M178*J178</f>
        <v/>
      </c>
      <c r="Q178" s="186">
        <f>P178-L178</f>
        <v/>
      </c>
      <c r="S178" s="187" t="n">
        <v>855</v>
      </c>
      <c r="T178" s="187">
        <f>S178*J178</f>
        <v/>
      </c>
      <c r="U178" s="187">
        <f>T178-Y178</f>
        <v/>
      </c>
      <c r="V178" s="188" t="inlineStr">
        <is>
          <t>Согласно (ок)</t>
        </is>
      </c>
      <c r="W178" s="188" t="n"/>
      <c r="X178" s="127" t="inlineStr">
        <is>
          <t>ок</t>
        </is>
      </c>
      <c r="Y178" s="182">
        <f>IF(X178="ок",N(L178),IF(ISNUMBER(M178),M178*J178,N(L178)))</f>
        <v/>
      </c>
      <c r="Z178" s="182">
        <f>T178</f>
        <v/>
      </c>
    </row>
    <row r="179" ht="38.25" customHeight="1" s="155">
      <c r="A179" s="92" t="inlineStr">
        <is>
          <t>4,64</t>
        </is>
      </c>
      <c r="B179" s="19" t="inlineStr">
        <is>
          <t>Переход из оцинкованной стали толщиной 0,5мм, класса «В», Ø160/Ø100</t>
        </is>
      </c>
      <c r="C179" s="17" t="inlineStr">
        <is>
          <t>шт.</t>
        </is>
      </c>
      <c r="D179" s="17" t="n"/>
      <c r="E179" s="17" t="n"/>
      <c r="F179" s="17" t="n"/>
      <c r="G179" s="17" t="n"/>
      <c r="H179" s="9">
        <f>J179</f>
        <v/>
      </c>
      <c r="I179" s="34" t="n"/>
      <c r="J179" s="112" t="n">
        <v>1</v>
      </c>
      <c r="K179" s="128" t="n">
        <v>855</v>
      </c>
      <c r="L179" s="94">
        <f>K179*J179</f>
        <v/>
      </c>
      <c r="M179" s="124" t="n">
        <v>370</v>
      </c>
      <c r="P179" s="186">
        <f>M179*J179</f>
        <v/>
      </c>
      <c r="Q179" s="186">
        <f>P179-L179</f>
        <v/>
      </c>
      <c r="S179" s="187" t="n">
        <v>855</v>
      </c>
      <c r="T179" s="187">
        <f>S179*J179</f>
        <v/>
      </c>
      <c r="U179" s="187">
        <f>T179-Y179</f>
        <v/>
      </c>
      <c r="V179" s="188" t="inlineStr">
        <is>
          <t>Согласно (ок)</t>
        </is>
      </c>
      <c r="W179" s="188" t="n"/>
      <c r="X179" s="127" t="inlineStr">
        <is>
          <t>ок</t>
        </is>
      </c>
      <c r="Y179" s="182">
        <f>IF(X179="ок",N(L179),IF(ISNUMBER(M179),M179*J179,N(L179)))</f>
        <v/>
      </c>
      <c r="Z179" s="182">
        <f>T179</f>
        <v/>
      </c>
    </row>
    <row r="180" ht="38.25" customHeight="1" s="155">
      <c r="A180" s="92" t="inlineStr">
        <is>
          <t>4,65</t>
        </is>
      </c>
      <c r="B180" s="19" t="inlineStr">
        <is>
          <t>Переход из оцинкованной стали толщиной 0,5мм, класса «В», Ø160/Ø125</t>
        </is>
      </c>
      <c r="C180" s="17" t="inlineStr">
        <is>
          <t>шт.</t>
        </is>
      </c>
      <c r="D180" s="17" t="n"/>
      <c r="E180" s="17" t="n"/>
      <c r="F180" s="17" t="n"/>
      <c r="G180" s="17" t="n"/>
      <c r="H180" s="9">
        <f>J180</f>
        <v/>
      </c>
      <c r="I180" s="34" t="n"/>
      <c r="J180" s="112" t="n">
        <v>1</v>
      </c>
      <c r="K180" s="128" t="n">
        <v>855</v>
      </c>
      <c r="L180" s="94">
        <f>K180*J180</f>
        <v/>
      </c>
      <c r="M180" s="124" t="n">
        <v>440</v>
      </c>
      <c r="P180" s="186">
        <f>M180*J180</f>
        <v/>
      </c>
      <c r="Q180" s="186">
        <f>P180-L180</f>
        <v/>
      </c>
      <c r="S180" s="187" t="n">
        <v>855</v>
      </c>
      <c r="T180" s="187">
        <f>S180*J180</f>
        <v/>
      </c>
      <c r="U180" s="187">
        <f>T180-Y180</f>
        <v/>
      </c>
      <c r="V180" s="188" t="inlineStr">
        <is>
          <t>Согласно (ок)</t>
        </is>
      </c>
      <c r="W180" s="188" t="n"/>
      <c r="X180" s="127" t="inlineStr">
        <is>
          <t>ок</t>
        </is>
      </c>
      <c r="Y180" s="182">
        <f>IF(X180="ок",N(L180),IF(ISNUMBER(M180),M180*J180,N(L180)))</f>
        <v/>
      </c>
      <c r="Z180" s="182">
        <f>T180</f>
        <v/>
      </c>
    </row>
    <row r="181" ht="38.25" customHeight="1" s="155">
      <c r="A181" s="92" t="inlineStr">
        <is>
          <t>4,66</t>
        </is>
      </c>
      <c r="B181" s="19" t="inlineStr">
        <is>
          <t>Переход из оцинкованной стали толщиной 0,5мм, класса «В», Ø200/Ø160</t>
        </is>
      </c>
      <c r="C181" s="17" t="inlineStr">
        <is>
          <t>шт.</t>
        </is>
      </c>
      <c r="D181" s="17" t="n"/>
      <c r="E181" s="17" t="n"/>
      <c r="F181" s="17" t="n"/>
      <c r="G181" s="17" t="n"/>
      <c r="H181" s="9">
        <f>J181</f>
        <v/>
      </c>
      <c r="I181" s="34" t="n"/>
      <c r="J181" s="112" t="n">
        <v>1</v>
      </c>
      <c r="K181" s="128" t="n">
        <v>855</v>
      </c>
      <c r="L181" s="94">
        <f>K181*J181</f>
        <v/>
      </c>
      <c r="M181" s="124" t="n">
        <v>440</v>
      </c>
      <c r="P181" s="186">
        <f>M181*J181</f>
        <v/>
      </c>
      <c r="Q181" s="186">
        <f>P181-L181</f>
        <v/>
      </c>
      <c r="S181" s="187" t="n">
        <v>855</v>
      </c>
      <c r="T181" s="187">
        <f>S181*J181</f>
        <v/>
      </c>
      <c r="U181" s="187">
        <f>T181-Y181</f>
        <v/>
      </c>
      <c r="V181" s="188" t="inlineStr">
        <is>
          <t>Согласно (ок)</t>
        </is>
      </c>
      <c r="W181" s="188" t="n"/>
      <c r="X181" s="127" t="inlineStr">
        <is>
          <t>ок</t>
        </is>
      </c>
      <c r="Y181" s="182">
        <f>IF(X181="ок",N(L181),IF(ISNUMBER(M181),M181*J181,N(L181)))</f>
        <v/>
      </c>
      <c r="Z181" s="182">
        <f>T181</f>
        <v/>
      </c>
    </row>
    <row r="182" ht="30" customHeight="1" s="155">
      <c r="A182" s="92" t="inlineStr">
        <is>
          <t>4,67</t>
        </is>
      </c>
      <c r="B182" s="19" t="inlineStr">
        <is>
          <t>Переход из оцинкованной стали толщиной 0,7мм, класса «В», 300x200/Ø160</t>
        </is>
      </c>
      <c r="C182" s="17" t="inlineStr">
        <is>
          <t>шт.</t>
        </is>
      </c>
      <c r="D182" s="17" t="n"/>
      <c r="E182" s="17" t="n"/>
      <c r="F182" s="17" t="n"/>
      <c r="G182" s="17" t="n"/>
      <c r="H182" s="9">
        <f>J182</f>
        <v/>
      </c>
      <c r="I182" s="34" t="n"/>
      <c r="J182" s="112" t="n">
        <v>1</v>
      </c>
      <c r="K182" s="128" t="n">
        <v>680</v>
      </c>
      <c r="L182" s="94">
        <f>K182*J182</f>
        <v/>
      </c>
      <c r="M182" s="124" t="n">
        <v>680</v>
      </c>
      <c r="P182" s="186">
        <f>M182*J182</f>
        <v/>
      </c>
      <c r="Q182" s="186">
        <f>P182-L182</f>
        <v/>
      </c>
      <c r="S182" s="184" t="n">
        <v>880</v>
      </c>
      <c r="T182" s="184">
        <f>S182*J182</f>
        <v/>
      </c>
      <c r="U182" s="184">
        <f>T182-Y182</f>
        <v/>
      </c>
      <c r="V182" s="185" t="inlineStr">
        <is>
          <t>Компромисс</t>
        </is>
      </c>
      <c r="W182" s="185" t="n"/>
      <c r="Y182" s="182">
        <f>IF(X182="ок",N(L182),IF(ISNUMBER(M182),M182*J182,N(L182)))</f>
        <v/>
      </c>
      <c r="Z182" s="182">
        <f>T182</f>
        <v/>
      </c>
    </row>
    <row r="183" ht="30" customHeight="1" s="155">
      <c r="A183" s="92" t="inlineStr">
        <is>
          <t>4,68</t>
        </is>
      </c>
      <c r="B183" s="19" t="inlineStr">
        <is>
          <t>Переход из оцинкованной стали толщиной 0,7мм, класса «В», 400x200/Ø200</t>
        </is>
      </c>
      <c r="C183" s="17" t="inlineStr">
        <is>
          <t>шт.</t>
        </is>
      </c>
      <c r="D183" s="17" t="n"/>
      <c r="E183" s="17" t="n"/>
      <c r="F183" s="17" t="n"/>
      <c r="G183" s="17" t="n"/>
      <c r="H183" s="9">
        <f>J183</f>
        <v/>
      </c>
      <c r="I183" s="34" t="n"/>
      <c r="J183" s="112" t="n">
        <v>1</v>
      </c>
      <c r="K183" s="128" t="n">
        <v>680</v>
      </c>
      <c r="L183" s="94">
        <f>K183*J183</f>
        <v/>
      </c>
      <c r="M183" s="124" t="n">
        <v>680</v>
      </c>
      <c r="P183" s="186">
        <f>M183*J183</f>
        <v/>
      </c>
      <c r="Q183" s="186">
        <f>P183-L183</f>
        <v/>
      </c>
      <c r="S183" s="184" t="n">
        <v>880</v>
      </c>
      <c r="T183" s="184">
        <f>S183*J183</f>
        <v/>
      </c>
      <c r="U183" s="184">
        <f>T183-Y183</f>
        <v/>
      </c>
      <c r="V183" s="185" t="inlineStr">
        <is>
          <t>Компромисс</t>
        </is>
      </c>
      <c r="W183" s="185" t="n"/>
      <c r="Y183" s="182">
        <f>IF(X183="ок",N(L183),IF(ISNUMBER(M183),M183*J183,N(L183)))</f>
        <v/>
      </c>
      <c r="Z183" s="182">
        <f>T183</f>
        <v/>
      </c>
    </row>
    <row r="184" ht="27.6" customHeight="1" s="155">
      <c r="A184" s="92" t="inlineStr">
        <is>
          <t>4,69</t>
        </is>
      </c>
      <c r="B184" s="19" t="inlineStr">
        <is>
          <t>Переход из оцинкованной стали толщиной 0,7мм, класса «В», 500x200/300x200</t>
        </is>
      </c>
      <c r="C184" s="17" t="inlineStr">
        <is>
          <t>шт.</t>
        </is>
      </c>
      <c r="D184" s="17" t="n"/>
      <c r="E184" s="17" t="n"/>
      <c r="F184" s="17" t="n"/>
      <c r="G184" s="17" t="n"/>
      <c r="H184" s="9">
        <f>J184</f>
        <v/>
      </c>
      <c r="I184" s="34" t="n"/>
      <c r="J184" s="112" t="n">
        <v>1</v>
      </c>
      <c r="K184" s="128" t="n">
        <v>850</v>
      </c>
      <c r="L184" s="94">
        <f>K184*J184</f>
        <v/>
      </c>
      <c r="M184" s="124" t="n">
        <v>850</v>
      </c>
      <c r="P184" s="186">
        <f>M184*J184</f>
        <v/>
      </c>
      <c r="Q184" s="186">
        <f>P184-L184</f>
        <v/>
      </c>
      <c r="S184" s="184" t="n">
        <v>1100</v>
      </c>
      <c r="T184" s="184">
        <f>S184*J184</f>
        <v/>
      </c>
      <c r="U184" s="184">
        <f>T184-Y184</f>
        <v/>
      </c>
      <c r="V184" s="185" t="inlineStr">
        <is>
          <t>Компромисс</t>
        </is>
      </c>
      <c r="W184" s="185" t="n"/>
      <c r="Y184" s="182">
        <f>IF(X184="ок",N(L184),IF(ISNUMBER(M184),M184*J184,N(L184)))</f>
        <v/>
      </c>
      <c r="Z184" s="182">
        <f>T184</f>
        <v/>
      </c>
    </row>
    <row r="185" ht="27.6" customHeight="1" s="155">
      <c r="A185" s="92" t="inlineStr">
        <is>
          <t>4,70</t>
        </is>
      </c>
      <c r="B185" s="19" t="inlineStr">
        <is>
          <t>Переход из оцинкованной стали толщиной 0,7мм, класса «В», 500x200/400x200</t>
        </is>
      </c>
      <c r="C185" s="17" t="inlineStr">
        <is>
          <t>шт.</t>
        </is>
      </c>
      <c r="D185" s="17" t="n"/>
      <c r="E185" s="17" t="n"/>
      <c r="F185" s="17" t="n"/>
      <c r="G185" s="17" t="n"/>
      <c r="H185" s="9">
        <f>J185</f>
        <v/>
      </c>
      <c r="I185" s="34" t="n"/>
      <c r="J185" s="112" t="n">
        <v>1</v>
      </c>
      <c r="K185" s="128" t="n">
        <v>850</v>
      </c>
      <c r="L185" s="94">
        <f>K185*J185</f>
        <v/>
      </c>
      <c r="M185" s="124" t="n">
        <v>850</v>
      </c>
      <c r="P185" s="186">
        <f>M185*J185</f>
        <v/>
      </c>
      <c r="Q185" s="186">
        <f>P185-L185</f>
        <v/>
      </c>
      <c r="S185" s="184" t="n">
        <v>1100</v>
      </c>
      <c r="T185" s="184">
        <f>S185*J185</f>
        <v/>
      </c>
      <c r="U185" s="184">
        <f>T185-Y185</f>
        <v/>
      </c>
      <c r="V185" s="185" t="inlineStr">
        <is>
          <t>Компромисс</t>
        </is>
      </c>
      <c r="W185" s="185" t="n"/>
      <c r="Y185" s="182">
        <f>IF(X185="ок",N(L185),IF(ISNUMBER(M185),M185*J185,N(L185)))</f>
        <v/>
      </c>
      <c r="Z185" s="182">
        <f>T185</f>
        <v/>
      </c>
    </row>
    <row r="186" ht="27.6" customHeight="1" s="155">
      <c r="A186" s="92" t="inlineStr">
        <is>
          <t>4,71</t>
        </is>
      </c>
      <c r="B186" s="19" t="inlineStr">
        <is>
          <t>Переход из оцинкованной стали толщиной 0,7мм, класса «В», 500x250/500x200</t>
        </is>
      </c>
      <c r="C186" s="17" t="inlineStr">
        <is>
          <t>шт.</t>
        </is>
      </c>
      <c r="D186" s="17" t="n"/>
      <c r="E186" s="17" t="n"/>
      <c r="F186" s="17" t="n"/>
      <c r="G186" s="17" t="n"/>
      <c r="H186" s="9">
        <f>J186</f>
        <v/>
      </c>
      <c r="I186" s="34" t="n"/>
      <c r="J186" s="112" t="n">
        <v>1</v>
      </c>
      <c r="K186" s="128" t="n">
        <v>850</v>
      </c>
      <c r="L186" s="94">
        <f>K186*J186</f>
        <v/>
      </c>
      <c r="M186" s="124" t="n">
        <v>850</v>
      </c>
      <c r="P186" s="186">
        <f>M186*J186</f>
        <v/>
      </c>
      <c r="Q186" s="186">
        <f>P186-L186</f>
        <v/>
      </c>
      <c r="S186" s="184" t="n">
        <v>1100</v>
      </c>
      <c r="T186" s="184">
        <f>S186*J186</f>
        <v/>
      </c>
      <c r="U186" s="184">
        <f>T186-Y186</f>
        <v/>
      </c>
      <c r="V186" s="185" t="inlineStr">
        <is>
          <t>Компромисс</t>
        </is>
      </c>
      <c r="W186" s="185" t="n"/>
      <c r="Y186" s="182">
        <f>IF(X186="ок",N(L186),IF(ISNUMBER(M186),M186*J186,N(L186)))</f>
        <v/>
      </c>
      <c r="Z186" s="182">
        <f>T186</f>
        <v/>
      </c>
    </row>
    <row r="187" ht="27.6" customHeight="1" s="155">
      <c r="A187" s="92" t="inlineStr">
        <is>
          <t>4,72</t>
        </is>
      </c>
      <c r="B187" s="19" t="inlineStr">
        <is>
          <t>Переход из оцинкованной стали толщиной 0,7мм, класса «В», 500x300/500x200</t>
        </is>
      </c>
      <c r="C187" s="17" t="inlineStr">
        <is>
          <t>шт.</t>
        </is>
      </c>
      <c r="D187" s="17" t="n"/>
      <c r="E187" s="17" t="n"/>
      <c r="F187" s="17" t="n"/>
      <c r="G187" s="17" t="n"/>
      <c r="H187" s="9">
        <f>J187</f>
        <v/>
      </c>
      <c r="I187" s="34" t="n"/>
      <c r="J187" s="112" t="n">
        <v>1</v>
      </c>
      <c r="K187" s="128" t="n">
        <v>850</v>
      </c>
      <c r="L187" s="94">
        <f>K187*J187</f>
        <v/>
      </c>
      <c r="M187" s="124" t="n">
        <v>850</v>
      </c>
      <c r="P187" s="186">
        <f>M187*J187</f>
        <v/>
      </c>
      <c r="Q187" s="186">
        <f>P187-L187</f>
        <v/>
      </c>
      <c r="S187" s="184" t="n">
        <v>1100</v>
      </c>
      <c r="T187" s="184">
        <f>S187*J187</f>
        <v/>
      </c>
      <c r="U187" s="184">
        <f>T187-Y187</f>
        <v/>
      </c>
      <c r="V187" s="185" t="inlineStr">
        <is>
          <t>Компромисс</t>
        </is>
      </c>
      <c r="W187" s="185" t="n"/>
      <c r="Y187" s="182">
        <f>IF(X187="ок",N(L187),IF(ISNUMBER(M187),M187*J187,N(L187)))</f>
        <v/>
      </c>
      <c r="Z187" s="182">
        <f>T187</f>
        <v/>
      </c>
    </row>
    <row r="188" ht="27.6" customHeight="1" s="155">
      <c r="A188" s="92" t="inlineStr">
        <is>
          <t>4,73</t>
        </is>
      </c>
      <c r="B188" s="19" t="inlineStr">
        <is>
          <t>Переход из оцинкованной стали толщиной 0,7мм, класса «В», 600x200/500x200</t>
        </is>
      </c>
      <c r="C188" s="17" t="inlineStr">
        <is>
          <t>шт.</t>
        </is>
      </c>
      <c r="D188" s="17" t="n"/>
      <c r="E188" s="17" t="n"/>
      <c r="F188" s="17" t="n"/>
      <c r="G188" s="17" t="n"/>
      <c r="H188" s="9">
        <f>J188</f>
        <v/>
      </c>
      <c r="I188" s="34" t="n"/>
      <c r="J188" s="112" t="n">
        <v>1</v>
      </c>
      <c r="K188" s="128" t="n">
        <v>1020</v>
      </c>
      <c r="L188" s="94">
        <f>K188*J188</f>
        <v/>
      </c>
      <c r="M188" s="124" t="n">
        <v>1020</v>
      </c>
      <c r="P188" s="186">
        <f>M188*J188</f>
        <v/>
      </c>
      <c r="Q188" s="186">
        <f>P188-L188</f>
        <v/>
      </c>
      <c r="S188" s="184" t="n">
        <v>1320</v>
      </c>
      <c r="T188" s="184">
        <f>S188*J188</f>
        <v/>
      </c>
      <c r="U188" s="184">
        <f>T188-Y188</f>
        <v/>
      </c>
      <c r="V188" s="185" t="inlineStr">
        <is>
          <t>Компромисс</t>
        </is>
      </c>
      <c r="W188" s="185" t="n"/>
      <c r="Y188" s="182">
        <f>IF(X188="ок",N(L188),IF(ISNUMBER(M188),M188*J188,N(L188)))</f>
        <v/>
      </c>
      <c r="Z188" s="182">
        <f>T188</f>
        <v/>
      </c>
    </row>
    <row r="189" ht="27.6" customHeight="1" s="155">
      <c r="A189" s="92" t="inlineStr">
        <is>
          <t>4,74</t>
        </is>
      </c>
      <c r="B189" s="19" t="inlineStr">
        <is>
          <t>Переход из оцинкованной стали толщиной 0,7мм, класса «В», 600x250/500x300</t>
        </is>
      </c>
      <c r="C189" s="17" t="inlineStr">
        <is>
          <t>шт.</t>
        </is>
      </c>
      <c r="D189" s="17" t="n"/>
      <c r="E189" s="17" t="n"/>
      <c r="F189" s="17" t="n"/>
      <c r="G189" s="17" t="n"/>
      <c r="H189" s="9">
        <f>J189</f>
        <v/>
      </c>
      <c r="I189" s="34" t="n"/>
      <c r="J189" s="112" t="n">
        <v>2</v>
      </c>
      <c r="K189" s="128" t="n">
        <v>1020</v>
      </c>
      <c r="L189" s="94">
        <f>K189*J189</f>
        <v/>
      </c>
      <c r="M189" s="124" t="n">
        <v>1020</v>
      </c>
      <c r="P189" s="186">
        <f>M189*J189</f>
        <v/>
      </c>
      <c r="Q189" s="186">
        <f>P189-L189</f>
        <v/>
      </c>
      <c r="S189" s="184" t="n">
        <v>1320</v>
      </c>
      <c r="T189" s="184">
        <f>S189*J189</f>
        <v/>
      </c>
      <c r="U189" s="184">
        <f>T189-Y189</f>
        <v/>
      </c>
      <c r="V189" s="185" t="inlineStr">
        <is>
          <t>Компромисс</t>
        </is>
      </c>
      <c r="W189" s="185" t="n"/>
      <c r="Y189" s="182">
        <f>IF(X189="ок",N(L189),IF(ISNUMBER(M189),M189*J189,N(L189)))</f>
        <v/>
      </c>
      <c r="Z189" s="182">
        <f>T189</f>
        <v/>
      </c>
    </row>
    <row r="190" ht="27.6" customHeight="1" s="155">
      <c r="A190" s="92" t="inlineStr">
        <is>
          <t>4,75</t>
        </is>
      </c>
      <c r="B190" s="19" t="inlineStr">
        <is>
          <t>Переход из оцинкованной стали толщиной 0,7мм, класса «В», 700x250/600x200</t>
        </is>
      </c>
      <c r="C190" s="17" t="inlineStr">
        <is>
          <t>шт.</t>
        </is>
      </c>
      <c r="D190" s="17" t="n"/>
      <c r="E190" s="17" t="n"/>
      <c r="F190" s="17" t="n"/>
      <c r="G190" s="17" t="n"/>
      <c r="H190" s="9">
        <f>J190</f>
        <v/>
      </c>
      <c r="I190" s="34" t="n"/>
      <c r="J190" s="112" t="n">
        <v>1</v>
      </c>
      <c r="K190" s="128" t="n">
        <v>1020</v>
      </c>
      <c r="L190" s="94">
        <f>K190*J190</f>
        <v/>
      </c>
      <c r="M190" s="124" t="n">
        <v>1020</v>
      </c>
      <c r="P190" s="186">
        <f>M190*J190</f>
        <v/>
      </c>
      <c r="Q190" s="186">
        <f>P190-L190</f>
        <v/>
      </c>
      <c r="S190" s="184" t="n">
        <v>1320</v>
      </c>
      <c r="T190" s="184">
        <f>S190*J190</f>
        <v/>
      </c>
      <c r="U190" s="184">
        <f>T190-Y190</f>
        <v/>
      </c>
      <c r="V190" s="185" t="inlineStr">
        <is>
          <t>Компромисс</t>
        </is>
      </c>
      <c r="W190" s="185" t="n"/>
      <c r="Y190" s="182">
        <f>IF(X190="ок",N(L190),IF(ISNUMBER(M190),M190*J190,N(L190)))</f>
        <v/>
      </c>
      <c r="Z190" s="182">
        <f>T190</f>
        <v/>
      </c>
    </row>
    <row r="191" ht="30" customHeight="1" s="155">
      <c r="A191" s="92" t="inlineStr">
        <is>
          <t>4,76</t>
        </is>
      </c>
      <c r="B191" s="19" t="inlineStr">
        <is>
          <t>Ниппель из оцинкованной стали толщиной 0,5мм, класса «В», Ø100</t>
        </is>
      </c>
      <c r="C191" s="17" t="inlineStr">
        <is>
          <t>шт.</t>
        </is>
      </c>
      <c r="D191" s="17" t="n"/>
      <c r="E191" s="17" t="n"/>
      <c r="F191" s="17" t="n"/>
      <c r="G191" s="17" t="n"/>
      <c r="H191" s="9">
        <f>J191</f>
        <v/>
      </c>
      <c r="I191" s="34" t="n"/>
      <c r="J191" s="112" t="n">
        <v>4</v>
      </c>
      <c r="K191" s="128" t="n">
        <v>630</v>
      </c>
      <c r="L191" s="94">
        <f>K191*J191</f>
        <v/>
      </c>
      <c r="M191" s="124" t="n">
        <v>370</v>
      </c>
      <c r="P191" s="186">
        <f>M191*J191</f>
        <v/>
      </c>
      <c r="Q191" s="186">
        <f>P191-L191</f>
        <v/>
      </c>
      <c r="S191" s="187" t="n">
        <v>630</v>
      </c>
      <c r="T191" s="187">
        <f>S191*J191</f>
        <v/>
      </c>
      <c r="U191" s="187">
        <f>T191-Y191</f>
        <v/>
      </c>
      <c r="V191" s="188" t="inlineStr">
        <is>
          <t>Согласно (ок)</t>
        </is>
      </c>
      <c r="W191" s="188" t="n"/>
      <c r="X191" s="127" t="inlineStr">
        <is>
          <t>ок</t>
        </is>
      </c>
      <c r="Y191" s="182">
        <f>IF(X191="ок",N(L191),IF(ISNUMBER(M191),M191*J191,N(L191)))</f>
        <v/>
      </c>
      <c r="Z191" s="182">
        <f>T191</f>
        <v/>
      </c>
    </row>
    <row r="192" ht="30" customHeight="1" s="155">
      <c r="A192" s="92" t="inlineStr">
        <is>
          <t>4,77</t>
        </is>
      </c>
      <c r="B192" s="19" t="inlineStr">
        <is>
          <t>Ниппель из оцинкованной стали толщиной 0,5мм, класса «В», Ø125</t>
        </is>
      </c>
      <c r="C192" s="17" t="inlineStr">
        <is>
          <t>шт.</t>
        </is>
      </c>
      <c r="D192" s="17" t="n"/>
      <c r="E192" s="17" t="n"/>
      <c r="F192" s="17" t="n"/>
      <c r="G192" s="17" t="n"/>
      <c r="H192" s="9">
        <f>J192</f>
        <v/>
      </c>
      <c r="I192" s="34" t="n"/>
      <c r="J192" s="112" t="n">
        <v>3</v>
      </c>
      <c r="K192" s="128" t="n">
        <v>630</v>
      </c>
      <c r="L192" s="94">
        <f>K192*J192</f>
        <v/>
      </c>
      <c r="M192" s="124" t="n">
        <v>370</v>
      </c>
      <c r="P192" s="186">
        <f>M192*J192</f>
        <v/>
      </c>
      <c r="Q192" s="186">
        <f>P192-L192</f>
        <v/>
      </c>
      <c r="S192" s="187" t="n">
        <v>630</v>
      </c>
      <c r="T192" s="187">
        <f>S192*J192</f>
        <v/>
      </c>
      <c r="U192" s="187">
        <f>T192-Y192</f>
        <v/>
      </c>
      <c r="V192" s="188" t="inlineStr">
        <is>
          <t>Согласно (ок)</t>
        </is>
      </c>
      <c r="W192" s="188" t="n"/>
      <c r="X192" s="127" t="inlineStr">
        <is>
          <t>ок</t>
        </is>
      </c>
      <c r="Y192" s="182">
        <f>IF(X192="ок",N(L192),IF(ISNUMBER(M192),M192*J192,N(L192)))</f>
        <v/>
      </c>
      <c r="Z192" s="182">
        <f>T192</f>
        <v/>
      </c>
    </row>
    <row r="193" ht="30" customHeight="1" s="155">
      <c r="A193" s="92" t="inlineStr">
        <is>
          <t>4,78</t>
        </is>
      </c>
      <c r="B193" s="19" t="inlineStr">
        <is>
          <t>Ниппель из оцинкованной стали толщиной 0,5мм, класса «В», Ø160</t>
        </is>
      </c>
      <c r="C193" s="17" t="inlineStr">
        <is>
          <t>шт.</t>
        </is>
      </c>
      <c r="D193" s="17" t="n"/>
      <c r="E193" s="17" t="n"/>
      <c r="F193" s="17" t="n"/>
      <c r="G193" s="17" t="n"/>
      <c r="H193" s="9">
        <f>J193</f>
        <v/>
      </c>
      <c r="I193" s="34" t="n"/>
      <c r="J193" s="112" t="n">
        <v>17</v>
      </c>
      <c r="K193" s="128" t="n">
        <v>630</v>
      </c>
      <c r="L193" s="94">
        <f>K193*J193</f>
        <v/>
      </c>
      <c r="M193" s="124" t="n">
        <v>370</v>
      </c>
      <c r="P193" s="186">
        <f>M193*J193</f>
        <v/>
      </c>
      <c r="Q193" s="186">
        <f>P193-L193</f>
        <v/>
      </c>
      <c r="S193" s="187" t="n">
        <v>630</v>
      </c>
      <c r="T193" s="187">
        <f>S193*J193</f>
        <v/>
      </c>
      <c r="U193" s="187">
        <f>T193-Y193</f>
        <v/>
      </c>
      <c r="V193" s="188" t="inlineStr">
        <is>
          <t>Согласно (ок)</t>
        </is>
      </c>
      <c r="W193" s="188" t="n"/>
      <c r="X193" s="127" t="inlineStr">
        <is>
          <t>ок</t>
        </is>
      </c>
      <c r="Y193" s="182">
        <f>IF(X193="ок",N(L193),IF(ISNUMBER(M193),M193*J193,N(L193)))</f>
        <v/>
      </c>
      <c r="Z193" s="182">
        <f>T193</f>
        <v/>
      </c>
    </row>
    <row r="194" ht="30" customHeight="1" s="155">
      <c r="A194" s="92" t="inlineStr">
        <is>
          <t>4,79</t>
        </is>
      </c>
      <c r="B194" s="19" t="inlineStr">
        <is>
          <t>Ниппель из оцинкованной стали толщиной 0,5мм, класса «В», Ø200</t>
        </is>
      </c>
      <c r="C194" s="17" t="inlineStr">
        <is>
          <t>шт.</t>
        </is>
      </c>
      <c r="D194" s="17" t="n"/>
      <c r="E194" s="17" t="n"/>
      <c r="F194" s="17" t="n"/>
      <c r="G194" s="17" t="n"/>
      <c r="H194" s="9">
        <f>J194</f>
        <v/>
      </c>
      <c r="I194" s="34" t="n"/>
      <c r="J194" s="112" t="n">
        <v>12</v>
      </c>
      <c r="K194" s="128" t="n">
        <v>630</v>
      </c>
      <c r="L194" s="94">
        <f>K194*J194</f>
        <v/>
      </c>
      <c r="M194" s="124" t="n">
        <v>370</v>
      </c>
      <c r="P194" s="186">
        <f>M194*J194</f>
        <v/>
      </c>
      <c r="Q194" s="186">
        <f>P194-L194</f>
        <v/>
      </c>
      <c r="S194" s="187" t="n">
        <v>630</v>
      </c>
      <c r="T194" s="187">
        <f>S194*J194</f>
        <v/>
      </c>
      <c r="U194" s="187">
        <f>T194-Y194</f>
        <v/>
      </c>
      <c r="V194" s="188" t="inlineStr">
        <is>
          <t>Согласно (ок)</t>
        </is>
      </c>
      <c r="W194" s="188" t="n"/>
      <c r="X194" s="127" t="inlineStr">
        <is>
          <t>ок</t>
        </is>
      </c>
      <c r="Y194" s="182">
        <f>IF(X194="ок",N(L194),IF(ISNUMBER(M194),M194*J194,N(L194)))</f>
        <v/>
      </c>
      <c r="Z194" s="182">
        <f>T194</f>
        <v/>
      </c>
    </row>
    <row r="195" ht="76.5" customHeight="1" s="155">
      <c r="A195" s="92" t="inlineStr">
        <is>
          <t>4,80</t>
        </is>
      </c>
      <c r="B195" s="19" t="inlineStr">
        <is>
          <t>Изоляция круглого изделия от Ф100-ф250</t>
        </is>
      </c>
      <c r="C195" s="17" t="inlineStr">
        <is>
          <t>шт.</t>
        </is>
      </c>
      <c r="D195" s="17" t="n"/>
      <c r="E195" s="17" t="n"/>
      <c r="F195" s="17" t="n"/>
      <c r="G195" s="17" t="n"/>
      <c r="H195" s="9">
        <f>J195</f>
        <v/>
      </c>
      <c r="I195" s="34" t="n"/>
      <c r="J195" s="112" t="n">
        <v>30</v>
      </c>
      <c r="K195" s="128" t="n">
        <v>450</v>
      </c>
      <c r="L195" s="94">
        <f>K195*J195</f>
        <v/>
      </c>
      <c r="M195" s="124" t="n">
        <v>450</v>
      </c>
      <c r="N195" s="119" t="inlineStr">
        <is>
          <t>по договору</t>
        </is>
      </c>
      <c r="P195" s="186">
        <f>M195*J195</f>
        <v/>
      </c>
      <c r="Q195" s="186">
        <f>P195-L195</f>
        <v/>
      </c>
      <c r="S195" s="184" t="n">
        <v>585</v>
      </c>
      <c r="T195" s="184">
        <f>S195*J195</f>
        <v/>
      </c>
      <c r="U195" s="184">
        <f>T195-Y195</f>
        <v/>
      </c>
      <c r="V195" s="185" t="inlineStr">
        <is>
          <t>Компромисс</t>
        </is>
      </c>
      <c r="W195" s="185" t="n"/>
      <c r="Y195" s="182">
        <f>IF(X195="ок",N(L195),IF(ISNUMBER(M195),M195*J195,N(L195)))</f>
        <v/>
      </c>
      <c r="Z195" s="182">
        <f>T195</f>
        <v/>
      </c>
    </row>
    <row r="196" ht="76.5" customHeight="1" s="155">
      <c r="A196" s="92" t="inlineStr">
        <is>
          <t>4,81</t>
        </is>
      </c>
      <c r="B196" s="19" t="inlineStr">
        <is>
          <t xml:space="preserve">Изоляция прямоугольного изделия </t>
        </is>
      </c>
      <c r="C196" s="17" t="inlineStr">
        <is>
          <t>шт.</t>
        </is>
      </c>
      <c r="D196" s="17" t="n"/>
      <c r="E196" s="17" t="n"/>
      <c r="F196" s="17" t="n"/>
      <c r="G196" s="17" t="n"/>
      <c r="H196" s="9">
        <f>J196</f>
        <v/>
      </c>
      <c r="I196" s="34" t="n"/>
      <c r="J196" s="112" t="n">
        <v>80</v>
      </c>
      <c r="K196" s="128" t="n">
        <v>665</v>
      </c>
      <c r="L196" s="94">
        <f>K196*J196</f>
        <v/>
      </c>
      <c r="M196" s="124" t="n">
        <v>665</v>
      </c>
      <c r="N196" s="119" t="inlineStr">
        <is>
          <t>за м2 а не за штуку</t>
        </is>
      </c>
      <c r="P196" s="186">
        <f>M196*J196</f>
        <v/>
      </c>
      <c r="Q196" s="186">
        <f>P196-L196</f>
        <v/>
      </c>
      <c r="S196" s="184" t="n">
        <v>860</v>
      </c>
      <c r="T196" s="184">
        <f>S196*J196</f>
        <v/>
      </c>
      <c r="U196" s="184">
        <f>T196-Y196</f>
        <v/>
      </c>
      <c r="V196" s="185" t="inlineStr">
        <is>
          <t>Компромисс</t>
        </is>
      </c>
      <c r="W196" s="185" t="n"/>
      <c r="Y196" s="182">
        <f>IF(X196="ок",N(L196),IF(ISNUMBER(M196),M196*J196,N(L196)))</f>
        <v/>
      </c>
      <c r="Z196" s="182">
        <f>T196</f>
        <v/>
      </c>
    </row>
    <row r="197" ht="51" customHeight="1" s="155">
      <c r="A197" s="92" t="inlineStr">
        <is>
          <t>4,82</t>
        </is>
      </c>
      <c r="B197" s="19" t="inlineStr">
        <is>
          <t>Изоляция прямоугольных воздуховодов</t>
        </is>
      </c>
      <c r="C197" s="17" t="inlineStr">
        <is>
          <t>м2</t>
        </is>
      </c>
      <c r="D197" s="17" t="n"/>
      <c r="E197" s="17" t="n"/>
      <c r="F197" s="17" t="n"/>
      <c r="G197" s="17" t="n"/>
      <c r="H197" s="9">
        <f>J197</f>
        <v/>
      </c>
      <c r="I197" s="34" t="n"/>
      <c r="J197" s="112" t="n">
        <v>120</v>
      </c>
      <c r="K197" s="128" t="n">
        <v>665</v>
      </c>
      <c r="L197" s="94">
        <f>K197*J197</f>
        <v/>
      </c>
      <c r="M197" s="124" t="n">
        <v>665</v>
      </c>
      <c r="P197" s="186">
        <f>M197*J197</f>
        <v/>
      </c>
      <c r="Q197" s="186">
        <f>P197-L197</f>
        <v/>
      </c>
      <c r="S197" s="184" t="n">
        <v>860</v>
      </c>
      <c r="T197" s="184">
        <f>S197*J197</f>
        <v/>
      </c>
      <c r="U197" s="184">
        <f>T197-Y197</f>
        <v/>
      </c>
      <c r="V197" s="185" t="inlineStr">
        <is>
          <t>Компромисс</t>
        </is>
      </c>
      <c r="W197" s="185" t="n"/>
      <c r="Y197" s="182">
        <f>IF(X197="ок",N(L197),IF(ISNUMBER(M197),M197*J197,N(L197)))</f>
        <v/>
      </c>
      <c r="Z197" s="182">
        <f>T197</f>
        <v/>
      </c>
    </row>
    <row r="198" ht="51" customHeight="1" s="155">
      <c r="A198" s="92" t="inlineStr">
        <is>
          <t>4,83</t>
        </is>
      </c>
      <c r="B198" s="19" t="inlineStr">
        <is>
          <t>Изоляция круглых  воздуховодов</t>
        </is>
      </c>
      <c r="C198" s="17" t="inlineStr">
        <is>
          <t>мп</t>
        </is>
      </c>
      <c r="D198" s="17" t="n"/>
      <c r="E198" s="17" t="n"/>
      <c r="F198" s="17" t="n"/>
      <c r="G198" s="17" t="n"/>
      <c r="H198" s="9">
        <f>J198</f>
        <v/>
      </c>
      <c r="I198" s="34" t="n"/>
      <c r="J198" s="112" t="n">
        <v>81</v>
      </c>
      <c r="K198" s="128" t="n">
        <v>665</v>
      </c>
      <c r="L198" s="94">
        <f>K198*J198</f>
        <v/>
      </c>
      <c r="M198" s="124" t="n">
        <v>665</v>
      </c>
      <c r="N198" s="119" t="inlineStr">
        <is>
          <t>за м2</t>
        </is>
      </c>
      <c r="P198" s="186">
        <f>M198*J198</f>
        <v/>
      </c>
      <c r="Q198" s="186">
        <f>P198-L198</f>
        <v/>
      </c>
      <c r="S198" s="184" t="n">
        <v>860</v>
      </c>
      <c r="T198" s="184">
        <f>S198*J198</f>
        <v/>
      </c>
      <c r="U198" s="184">
        <f>T198-Y198</f>
        <v/>
      </c>
      <c r="V198" s="185" t="inlineStr">
        <is>
          <t>Компромисс</t>
        </is>
      </c>
      <c r="W198" s="185" t="n"/>
      <c r="Y198" s="182">
        <f>IF(X198="ок",N(L198),IF(ISNUMBER(M198),M198*J198,N(L198)))</f>
        <v/>
      </c>
      <c r="Z198" s="182">
        <f>T198</f>
        <v/>
      </c>
    </row>
    <row r="199">
      <c r="A199" s="92" t="inlineStr">
        <is>
          <t>4,84</t>
        </is>
      </c>
      <c r="B199" s="19" t="inlineStr">
        <is>
          <t>ПНР10этаж</t>
        </is>
      </c>
      <c r="C199" s="17" t="inlineStr">
        <is>
          <t>к-т</t>
        </is>
      </c>
      <c r="D199" s="17" t="n"/>
      <c r="E199" s="17" t="n"/>
      <c r="F199" s="17" t="n"/>
      <c r="G199" s="17" t="n"/>
      <c r="H199" s="9">
        <f>J199</f>
        <v/>
      </c>
      <c r="I199" s="34" t="n"/>
      <c r="J199" s="112" t="n">
        <v>1</v>
      </c>
      <c r="K199" s="128" t="n">
        <v>95000</v>
      </c>
      <c r="L199" s="94">
        <f>K199*J199</f>
        <v/>
      </c>
      <c r="M199" s="124" t="n">
        <v>95000</v>
      </c>
      <c r="N199" s="119" t="inlineStr">
        <is>
          <t>по тип.эт</t>
        </is>
      </c>
      <c r="P199" s="186">
        <f>M199*J199</f>
        <v/>
      </c>
      <c r="Q199" s="186">
        <f>P199-L199</f>
        <v/>
      </c>
      <c r="S199" s="184" t="n">
        <v>123500</v>
      </c>
      <c r="T199" s="184">
        <f>S199*J199</f>
        <v/>
      </c>
      <c r="U199" s="184">
        <f>T199-Y199</f>
        <v/>
      </c>
      <c r="V199" s="185" t="inlineStr">
        <is>
          <t>Компромисс</t>
        </is>
      </c>
      <c r="W199" s="185" t="n"/>
      <c r="Y199" s="182">
        <f>IF(X199="ок",N(L199),IF(ISNUMBER(M199),M199*J199,N(L199)))</f>
        <v/>
      </c>
      <c r="Z199" s="182">
        <f>T199</f>
        <v/>
      </c>
    </row>
    <row r="200" ht="14.45" customHeight="1" s="155">
      <c r="A200" s="95" t="n"/>
      <c r="B200" s="30" t="inlineStr">
        <is>
          <t>Дымоудаление</t>
        </is>
      </c>
      <c r="C200" s="26" t="n"/>
      <c r="D200" s="26" t="n"/>
      <c r="E200" s="26" t="n"/>
      <c r="F200" s="26" t="n"/>
      <c r="G200" s="26" t="n"/>
      <c r="H200" s="35" t="n"/>
      <c r="I200" s="35" t="n"/>
      <c r="J200" s="60" t="n"/>
      <c r="K200" s="39" t="n"/>
      <c r="L200" s="96">
        <f>L201+L202+L203+L204</f>
        <v/>
      </c>
      <c r="S200" s="180" t="n"/>
      <c r="T200" s="180" t="n"/>
      <c r="U200" s="180" t="n"/>
      <c r="V200" s="180" t="n"/>
      <c r="W200" s="180" t="n"/>
      <c r="Y200" s="180" t="n"/>
      <c r="Z200" s="180" t="n"/>
    </row>
    <row r="201" ht="38.25" customHeight="1" s="155">
      <c r="A201" s="92" t="inlineStr">
        <is>
          <t>4,85</t>
        </is>
      </c>
      <c r="B201" s="19" t="inlineStr">
        <is>
          <t>Воздуховод 800*500</t>
        </is>
      </c>
      <c r="C201" s="17" t="inlineStr">
        <is>
          <t>м2</t>
        </is>
      </c>
      <c r="D201" s="17" t="n"/>
      <c r="E201" s="17" t="n"/>
      <c r="F201" s="17" t="n"/>
      <c r="G201" s="17" t="n"/>
      <c r="H201" s="46">
        <f>J201</f>
        <v/>
      </c>
      <c r="I201" s="34" t="n"/>
      <c r="J201" s="112" t="n">
        <v>52</v>
      </c>
      <c r="K201" s="40" t="n"/>
      <c r="L201" s="97" t="n"/>
      <c r="M201" s="119" t="inlineStr">
        <is>
          <t>удалить (если будут данные позиции сделаем отдельный допник)</t>
        </is>
      </c>
      <c r="S201" s="189" t="n"/>
      <c r="T201" s="189" t="n"/>
      <c r="U201" s="189" t="n"/>
      <c r="V201" s="190" t="inlineStr">
        <is>
          <t>Отдельное КП</t>
        </is>
      </c>
      <c r="W201" s="190" t="inlineStr">
        <is>
          <t>Исключаем из этого КП, оформим отдельным КП.</t>
        </is>
      </c>
      <c r="X201" s="174" t="inlineStr">
        <is>
          <t>необходимость данных работ не подтверждена. Просил сделать отдельное КП, зачем включили в общее - непонятно</t>
        </is>
      </c>
      <c r="Y201" s="182">
        <f>IF(X201="ок",N(L201),IF(ISNUMBER(M201),M201*J201,N(L201)))</f>
        <v/>
      </c>
      <c r="Z201" s="182" t="n">
        <v>0</v>
      </c>
    </row>
    <row r="202" ht="38.25" customHeight="1" s="155">
      <c r="A202" s="92" t="inlineStr">
        <is>
          <t>4,86</t>
        </is>
      </c>
      <c r="B202" s="19" t="inlineStr">
        <is>
          <t>Изоляция М-БОР</t>
        </is>
      </c>
      <c r="C202" s="17" t="inlineStr">
        <is>
          <t>м2</t>
        </is>
      </c>
      <c r="D202" s="17" t="n"/>
      <c r="E202" s="17" t="n"/>
      <c r="F202" s="17" t="n"/>
      <c r="G202" s="17" t="n"/>
      <c r="H202" s="46">
        <f>J202</f>
        <v/>
      </c>
      <c r="I202" s="34" t="n"/>
      <c r="J202" s="112" t="n">
        <v>66</v>
      </c>
      <c r="K202" s="40" t="n"/>
      <c r="L202" s="97" t="n"/>
      <c r="M202" s="119" t="inlineStr">
        <is>
          <t>удалить (если будут данные позиции сделаем отдельный допник)</t>
        </is>
      </c>
      <c r="S202" s="189" t="n"/>
      <c r="T202" s="189" t="n"/>
      <c r="U202" s="189" t="n"/>
      <c r="V202" s="190" t="inlineStr">
        <is>
          <t>Отдельное КП</t>
        </is>
      </c>
      <c r="W202" s="190" t="inlineStr">
        <is>
          <t>Исключаем из этого КП, оформим отдельным КП.</t>
        </is>
      </c>
      <c r="X202" s="174" t="inlineStr">
        <is>
          <t>необходимость данных работ не подтверждена. Просил сделать отдельное КП, зачем включили в общее - непонятно</t>
        </is>
      </c>
      <c r="Y202" s="182">
        <f>IF(X202="ок",N(L202),IF(ISNUMBER(M202),M202*J202,N(L202)))</f>
        <v/>
      </c>
      <c r="Z202" s="182" t="n">
        <v>0</v>
      </c>
    </row>
    <row r="203" ht="38.25" customHeight="1" s="155">
      <c r="A203" s="92" t="inlineStr">
        <is>
          <t>4,87</t>
        </is>
      </c>
      <c r="B203" s="19" t="inlineStr">
        <is>
          <t>Отвод 90гр 800*500</t>
        </is>
      </c>
      <c r="C203" s="17" t="inlineStr">
        <is>
          <t>шт.</t>
        </is>
      </c>
      <c r="D203" s="17" t="n"/>
      <c r="E203" s="17" t="n"/>
      <c r="F203" s="17" t="n"/>
      <c r="G203" s="17" t="n"/>
      <c r="H203" s="46">
        <f>J203</f>
        <v/>
      </c>
      <c r="I203" s="34" t="n"/>
      <c r="J203" s="112" t="n">
        <v>1</v>
      </c>
      <c r="K203" s="41" t="n"/>
      <c r="L203" s="97" t="n"/>
      <c r="M203" s="119" t="inlineStr">
        <is>
          <t>удалить (если будут данные позиции сделаем отдельный допник)</t>
        </is>
      </c>
      <c r="S203" s="189" t="n"/>
      <c r="T203" s="189" t="n"/>
      <c r="U203" s="189" t="n"/>
      <c r="V203" s="190" t="inlineStr">
        <is>
          <t>Отдельное КП</t>
        </is>
      </c>
      <c r="W203" s="190" t="inlineStr">
        <is>
          <t>Исключаем из этого КП, оформим отдельным КП.</t>
        </is>
      </c>
      <c r="X203" s="174" t="inlineStr">
        <is>
          <t>необходимость данных работ не подтверждена. Просил сделать отдельное КП, зачем включили в общее - непонятно</t>
        </is>
      </c>
      <c r="Y203" s="182">
        <f>IF(X203="ок",N(L203),IF(ISNUMBER(M203),M203*J203,N(L203)))</f>
        <v/>
      </c>
      <c r="Z203" s="182" t="n">
        <v>0</v>
      </c>
    </row>
    <row r="204" ht="38.25" customHeight="1" s="155">
      <c r="A204" s="92" t="inlineStr">
        <is>
          <t>4,88</t>
        </is>
      </c>
      <c r="B204" s="19" t="inlineStr">
        <is>
          <t>Отвод 45гр 800*500</t>
        </is>
      </c>
      <c r="C204" s="17" t="inlineStr">
        <is>
          <t>шт.</t>
        </is>
      </c>
      <c r="D204" s="17" t="n"/>
      <c r="E204" s="17" t="n"/>
      <c r="F204" s="17" t="n"/>
      <c r="G204" s="17" t="n"/>
      <c r="H204" s="46">
        <f>J204</f>
        <v/>
      </c>
      <c r="I204" s="34" t="n"/>
      <c r="J204" s="112" t="n">
        <v>2</v>
      </c>
      <c r="K204" s="41" t="n"/>
      <c r="L204" s="97" t="n"/>
      <c r="M204" s="119" t="inlineStr">
        <is>
          <t>удалить (если будут данные позиции сделаем отдельный допник)</t>
        </is>
      </c>
      <c r="S204" s="189" t="n"/>
      <c r="T204" s="189" t="n"/>
      <c r="U204" s="189" t="n"/>
      <c r="V204" s="190" t="inlineStr">
        <is>
          <t>Отдельное КП</t>
        </is>
      </c>
      <c r="W204" s="190" t="inlineStr">
        <is>
          <t>Исключаем из этого КП, оформим отдельным КП.</t>
        </is>
      </c>
      <c r="X204" s="174" t="inlineStr">
        <is>
          <t>необходимость данных работ не подтверждена. Просил сделать отдельное КП, зачем включили в общее - непонятно</t>
        </is>
      </c>
      <c r="Y204" s="182">
        <f>IF(X204="ок",N(L204),IF(ISNUMBER(M204),M204*J204,N(L204)))</f>
        <v/>
      </c>
      <c r="Z204" s="182" t="n">
        <v>0</v>
      </c>
    </row>
    <row r="205" ht="14.45" customHeight="1" s="155">
      <c r="A205" s="98" t="inlineStr">
        <is>
          <t>5</t>
        </is>
      </c>
      <c r="B205" s="31" t="inlineStr">
        <is>
          <t>Холодоснабжение 10 этаж</t>
        </is>
      </c>
      <c r="C205" s="28" t="n"/>
      <c r="D205" s="28" t="n"/>
      <c r="E205" s="28" t="n"/>
      <c r="F205" s="28" t="n"/>
      <c r="G205" s="28" t="n"/>
      <c r="H205" s="32" t="n"/>
      <c r="I205" s="54" t="n"/>
      <c r="J205" s="61" t="n"/>
      <c r="K205" s="42" t="n">
        <v>0</v>
      </c>
      <c r="L205" s="99">
        <f>SUM(L206:L240)</f>
        <v/>
      </c>
      <c r="S205" s="180" t="n"/>
      <c r="T205" s="180" t="n"/>
      <c r="U205" s="180" t="n"/>
      <c r="V205" s="180" t="n"/>
      <c r="W205" s="180" t="n"/>
      <c r="Y205" s="180" t="n"/>
      <c r="Z205" s="180" t="n"/>
    </row>
    <row r="206" ht="76.5" customHeight="1" s="155">
      <c r="A206" s="100" t="inlineStr">
        <is>
          <t>5,1</t>
        </is>
      </c>
      <c r="B206" s="19" t="inlineStr">
        <is>
          <t>Фанкойл кассетный, 600x600 SK-32</t>
        </is>
      </c>
      <c r="C206" s="17" t="inlineStr">
        <is>
          <t>шт.</t>
        </is>
      </c>
      <c r="D206" s="17" t="n"/>
      <c r="E206" s="17" t="n"/>
      <c r="F206" s="17" t="n"/>
      <c r="G206" s="17" t="n"/>
      <c r="H206" s="46">
        <f>J206</f>
        <v/>
      </c>
      <c r="I206" s="34" t="n"/>
      <c r="J206" s="112" t="n">
        <v>10</v>
      </c>
      <c r="K206" s="131" t="n">
        <v>14000</v>
      </c>
      <c r="L206" s="94">
        <f>K206*J206</f>
        <v/>
      </c>
      <c r="M206" s="124" t="n">
        <v>14000</v>
      </c>
      <c r="N206" s="119" t="inlineStr">
        <is>
          <t>в чем разница в 2,5раза от балок?</t>
        </is>
      </c>
      <c r="P206" s="186">
        <f>M206*J206</f>
        <v/>
      </c>
      <c r="Q206" s="186">
        <f>P206-L206</f>
        <v/>
      </c>
      <c r="S206" s="184" t="n">
        <v>18200</v>
      </c>
      <c r="T206" s="184">
        <f>S206*J206</f>
        <v/>
      </c>
      <c r="U206" s="184">
        <f>T206-Y206</f>
        <v/>
      </c>
      <c r="V206" s="185" t="inlineStr">
        <is>
          <t>Компромисс</t>
        </is>
      </c>
      <c r="W206" s="185" t="n"/>
      <c r="X206" s="175" t="inlineStr">
        <is>
          <t>У вас в этой позиции только монтаж фанкойла - 4 шпильки и выравнивание по высоте, абсолютно идентичная работа как с балками на типовом. За высотные работы добавили 4000</t>
        </is>
      </c>
      <c r="Y206" s="182">
        <f>IF(X206="ок",N(L206),IF(ISNUMBER(M206),M206*J206,N(L206)))</f>
        <v/>
      </c>
      <c r="Z206" s="182">
        <f>T206</f>
        <v/>
      </c>
    </row>
    <row r="207" ht="30" customHeight="1" s="155">
      <c r="A207" s="100" t="inlineStr">
        <is>
          <t>5,2</t>
        </is>
      </c>
      <c r="B207" s="19" t="inlineStr">
        <is>
          <t>Шаровый кран полнопроходной с накидной гайкой, Ду15 BVR-FR</t>
        </is>
      </c>
      <c r="C207" s="17" t="inlineStr">
        <is>
          <t>шт.</t>
        </is>
      </c>
      <c r="D207" s="17" t="n"/>
      <c r="E207" s="17" t="n"/>
      <c r="F207" s="17" t="n"/>
      <c r="G207" s="17" t="n"/>
      <c r="H207" s="46">
        <f>J207</f>
        <v/>
      </c>
      <c r="I207" s="34" t="n"/>
      <c r="J207" s="112" t="n">
        <v>3</v>
      </c>
      <c r="K207" s="121" t="n">
        <v>1296</v>
      </c>
      <c r="L207" s="94">
        <f>K207*J207</f>
        <v/>
      </c>
      <c r="P207" s="186" t="n"/>
      <c r="Q207" s="186" t="n"/>
      <c r="S207" s="182" t="n"/>
      <c r="T207" s="182" t="n"/>
      <c r="U207" s="182" t="n"/>
      <c r="V207" s="183" t="n"/>
      <c r="W207" s="183" t="n"/>
      <c r="Y207" s="182">
        <f>IF(X207="ок",N(L207),IF(ISNUMBER(M207),M207*J207,N(L207)))</f>
        <v/>
      </c>
      <c r="Z207" s="182">
        <f>Y207</f>
        <v/>
      </c>
    </row>
    <row r="208">
      <c r="A208" s="100" t="inlineStr">
        <is>
          <t>5,3</t>
        </is>
      </c>
      <c r="B208" s="19" t="inlineStr">
        <is>
          <t>Воздухоотводчик автоматический, Ду15 Airvent-R</t>
        </is>
      </c>
      <c r="C208" s="17" t="inlineStr">
        <is>
          <t>шт.</t>
        </is>
      </c>
      <c r="D208" s="17" t="n"/>
      <c r="E208" s="17" t="n"/>
      <c r="F208" s="17" t="n"/>
      <c r="G208" s="17" t="n"/>
      <c r="H208" s="46">
        <f>J208</f>
        <v/>
      </c>
      <c r="I208" s="34" t="n"/>
      <c r="J208" s="112" t="n">
        <v>3</v>
      </c>
      <c r="K208" s="128" t="n">
        <v>500</v>
      </c>
      <c r="L208" s="94">
        <f>K208*J208</f>
        <v/>
      </c>
      <c r="M208" s="124" t="n">
        <v>500</v>
      </c>
      <c r="N208" s="119" t="inlineStr">
        <is>
          <t>по договру</t>
        </is>
      </c>
      <c r="P208" s="186">
        <f>M208*J208</f>
        <v/>
      </c>
      <c r="Q208" s="186">
        <f>P208-L208</f>
        <v/>
      </c>
      <c r="S208" s="184" t="n">
        <v>650</v>
      </c>
      <c r="T208" s="184">
        <f>S208*J208</f>
        <v/>
      </c>
      <c r="U208" s="184">
        <f>T208-Y208</f>
        <v/>
      </c>
      <c r="V208" s="185" t="inlineStr">
        <is>
          <t>Компромисс</t>
        </is>
      </c>
      <c r="W208" s="185" t="n"/>
      <c r="Y208" s="182">
        <f>IF(X208="ок",N(L208),IF(ISNUMBER(M208),M208*J208,N(L208)))</f>
        <v/>
      </c>
      <c r="Z208" s="182">
        <f>T208</f>
        <v/>
      </c>
    </row>
    <row r="209">
      <c r="A209" s="100" t="inlineStr">
        <is>
          <t>5,4</t>
        </is>
      </c>
      <c r="B209" s="19" t="inlineStr">
        <is>
          <t>Комбинированный балансировочный клапан, Ду20</t>
        </is>
      </c>
      <c r="C209" s="17" t="inlineStr">
        <is>
          <t>шт.</t>
        </is>
      </c>
      <c r="D209" s="17" t="n"/>
      <c r="E209" s="17" t="n"/>
      <c r="F209" s="17" t="n"/>
      <c r="G209" s="17" t="n"/>
      <c r="H209" s="46">
        <f>J209</f>
        <v/>
      </c>
      <c r="I209" s="34" t="n"/>
      <c r="J209" s="112" t="n">
        <v>31</v>
      </c>
      <c r="K209" s="121" t="n">
        <v>1944</v>
      </c>
      <c r="L209" s="94">
        <f>K209*J209</f>
        <v/>
      </c>
      <c r="S209" s="182" t="n"/>
      <c r="T209" s="182" t="n"/>
      <c r="U209" s="182" t="n"/>
      <c r="V209" s="183" t="n"/>
      <c r="W209" s="183" t="n"/>
      <c r="Y209" s="182">
        <f>IF(X209="ок",N(L209),IF(ISNUMBER(M209),M209*J209,N(L209)))</f>
        <v/>
      </c>
      <c r="Z209" s="182">
        <f>Y209</f>
        <v/>
      </c>
    </row>
    <row r="210" ht="30" customHeight="1" s="155">
      <c r="A210" s="100" t="inlineStr">
        <is>
          <t>5,5</t>
        </is>
      </c>
      <c r="B210" s="19" t="inlineStr">
        <is>
          <t>Комплект трехходовой клапан, запорные краны, медные патрубк</t>
        </is>
      </c>
      <c r="C210" s="17" t="inlineStr">
        <is>
          <t>шт.</t>
        </is>
      </c>
      <c r="D210" s="17" t="n"/>
      <c r="E210" s="17" t="n"/>
      <c r="F210" s="17" t="n"/>
      <c r="G210" s="17" t="n"/>
      <c r="H210" s="46">
        <f>J210</f>
        <v/>
      </c>
      <c r="I210" s="34" t="n"/>
      <c r="J210" s="112" t="n">
        <v>31</v>
      </c>
      <c r="K210" s="38" t="n">
        <v>1944</v>
      </c>
      <c r="L210" s="94">
        <f>K210*J210</f>
        <v/>
      </c>
      <c r="S210" s="182" t="n"/>
      <c r="T210" s="182" t="n"/>
      <c r="U210" s="182" t="n"/>
      <c r="V210" s="183" t="n"/>
      <c r="W210" s="183" t="n"/>
      <c r="Y210" s="182">
        <f>IF(X210="ок",N(L210),IF(ISNUMBER(M210),M210*J210,N(L210)))</f>
        <v/>
      </c>
      <c r="Z210" s="182">
        <f>Y210</f>
        <v/>
      </c>
    </row>
    <row r="211">
      <c r="A211" s="100" t="inlineStr">
        <is>
          <t>5,6</t>
        </is>
      </c>
      <c r="B211" s="19" t="inlineStr">
        <is>
          <t>Кран шаровый со спускным элементом, Ду20 BVR-DR</t>
        </is>
      </c>
      <c r="C211" s="17" t="inlineStr">
        <is>
          <t>шт.</t>
        </is>
      </c>
      <c r="D211" s="17" t="n"/>
      <c r="E211" s="17" t="n"/>
      <c r="F211" s="17" t="n"/>
      <c r="G211" s="17" t="n"/>
      <c r="H211" s="46">
        <f>J211</f>
        <v/>
      </c>
      <c r="I211" s="34" t="n"/>
      <c r="J211" s="112" t="n">
        <v>62</v>
      </c>
      <c r="K211" s="38" t="n">
        <v>1296</v>
      </c>
      <c r="L211" s="94">
        <f>K211*J211</f>
        <v/>
      </c>
      <c r="S211" s="182" t="n"/>
      <c r="T211" s="182" t="n"/>
      <c r="U211" s="182" t="n"/>
      <c r="V211" s="183" t="n"/>
      <c r="W211" s="183" t="n"/>
      <c r="Y211" s="182">
        <f>IF(X211="ок",N(L211),IF(ISNUMBER(M211),M211*J211,N(L211)))</f>
        <v/>
      </c>
      <c r="Z211" s="182">
        <f>Y211</f>
        <v/>
      </c>
    </row>
    <row r="212">
      <c r="A212" s="100" t="inlineStr">
        <is>
          <t>5,7</t>
        </is>
      </c>
      <c r="B212" s="19" t="inlineStr">
        <is>
          <t>Фильтр сетчатый с пробкой, Ду20 FVR-R</t>
        </is>
      </c>
      <c r="C212" s="17" t="inlineStr">
        <is>
          <t>шт.</t>
        </is>
      </c>
      <c r="D212" s="17" t="n"/>
      <c r="E212" s="17" t="n"/>
      <c r="F212" s="17" t="n"/>
      <c r="G212" s="17" t="n"/>
      <c r="H212" s="46">
        <f>J212</f>
        <v/>
      </c>
      <c r="I212" s="34" t="n"/>
      <c r="J212" s="112" t="n">
        <v>31</v>
      </c>
      <c r="K212" s="38" t="n">
        <v>1296</v>
      </c>
      <c r="L212" s="94">
        <f>K212*J212</f>
        <v/>
      </c>
      <c r="S212" s="182" t="n"/>
      <c r="T212" s="182" t="n"/>
      <c r="U212" s="182" t="n"/>
      <c r="V212" s="183" t="n"/>
      <c r="W212" s="183" t="n"/>
      <c r="Y212" s="182">
        <f>IF(X212="ок",N(L212),IF(ISNUMBER(M212),M212*J212,N(L212)))</f>
        <v/>
      </c>
      <c r="Z212" s="182">
        <f>Y212</f>
        <v/>
      </c>
    </row>
    <row r="213" ht="26.45" customHeight="1" s="155">
      <c r="A213" s="100" t="inlineStr">
        <is>
          <t>5,8</t>
        </is>
      </c>
      <c r="B213" s="19" t="inlineStr">
        <is>
          <t>Ниппель 3/4"</t>
        </is>
      </c>
      <c r="C213" s="17" t="inlineStr">
        <is>
          <t>шт.</t>
        </is>
      </c>
      <c r="D213" s="17" t="n"/>
      <c r="E213" s="17" t="n"/>
      <c r="F213" s="17" t="n"/>
      <c r="G213" s="17" t="n"/>
      <c r="H213" s="46">
        <f>J213</f>
        <v/>
      </c>
      <c r="I213" s="34" t="n"/>
      <c r="J213" s="112" t="n">
        <v>62</v>
      </c>
      <c r="K213" s="128" t="n">
        <v>700</v>
      </c>
      <c r="L213" s="94">
        <f>K213*J213</f>
        <v/>
      </c>
      <c r="M213" s="124" t="n">
        <v>700</v>
      </c>
      <c r="O213" s="125" t="inlineStr">
        <is>
          <t>Цена Согласована Марк</t>
        </is>
      </c>
      <c r="P213" s="186">
        <f>M213*J213</f>
        <v/>
      </c>
      <c r="Q213" s="186">
        <f>P213-L213</f>
        <v/>
      </c>
      <c r="S213" s="184" t="n">
        <v>910</v>
      </c>
      <c r="T213" s="184">
        <f>S213*J213</f>
        <v/>
      </c>
      <c r="U213" s="184">
        <f>T213-Y213</f>
        <v/>
      </c>
      <c r="V213" s="185" t="inlineStr">
        <is>
          <t>Компромисс</t>
        </is>
      </c>
      <c r="W213" s="185" t="n"/>
      <c r="Y213" s="182">
        <f>IF(X213="ок",N(L213),IF(ISNUMBER(M213),M213*J213,N(L213)))</f>
        <v/>
      </c>
      <c r="Z213" s="182">
        <f>T213</f>
        <v/>
      </c>
    </row>
    <row r="214" ht="26.45" customHeight="1" s="155">
      <c r="A214" s="100" t="inlineStr">
        <is>
          <t>5,9</t>
        </is>
      </c>
      <c r="B214" s="19" t="inlineStr">
        <is>
          <t>Муфта переходная 3/4"x 1/2"</t>
        </is>
      </c>
      <c r="C214" s="17" t="inlineStr">
        <is>
          <t>шт.</t>
        </is>
      </c>
      <c r="D214" s="17" t="n"/>
      <c r="E214" s="17" t="n"/>
      <c r="F214" s="17" t="n"/>
      <c r="G214" s="17" t="n"/>
      <c r="H214" s="46">
        <f>J214</f>
        <v/>
      </c>
      <c r="I214" s="34" t="n"/>
      <c r="J214" s="112" t="n">
        <v>62</v>
      </c>
      <c r="K214" s="128" t="n">
        <v>700</v>
      </c>
      <c r="L214" s="94">
        <f>K214*J214</f>
        <v/>
      </c>
      <c r="M214" s="124" t="n">
        <v>700</v>
      </c>
      <c r="O214" s="125" t="inlineStr">
        <is>
          <t>Цена Согласована Марк</t>
        </is>
      </c>
      <c r="P214" s="186">
        <f>M214*J214</f>
        <v/>
      </c>
      <c r="Q214" s="186">
        <f>P214-L214</f>
        <v/>
      </c>
      <c r="S214" s="184" t="n">
        <v>910</v>
      </c>
      <c r="T214" s="184">
        <f>S214*J214</f>
        <v/>
      </c>
      <c r="U214" s="184">
        <f>T214-Y214</f>
        <v/>
      </c>
      <c r="V214" s="185" t="inlineStr">
        <is>
          <t>Компромисс</t>
        </is>
      </c>
      <c r="W214" s="185" t="n"/>
      <c r="Y214" s="182">
        <f>IF(X214="ок",N(L214),IF(ISNUMBER(M214),M214*J214,N(L214)))</f>
        <v/>
      </c>
      <c r="Z214" s="182">
        <f>T214</f>
        <v/>
      </c>
    </row>
    <row r="215" ht="26.45" customHeight="1" s="155">
      <c r="A215" s="100" t="inlineStr">
        <is>
          <t>5,10</t>
        </is>
      </c>
      <c r="B215" s="19" t="inlineStr">
        <is>
          <t>Гибкая подводка 3/4" гайка/штуцер, длиной 500мм</t>
        </is>
      </c>
      <c r="C215" s="17" t="inlineStr">
        <is>
          <t>шт.</t>
        </is>
      </c>
      <c r="D215" s="17" t="n"/>
      <c r="E215" s="17" t="n"/>
      <c r="F215" s="17" t="n"/>
      <c r="G215" s="17" t="n"/>
      <c r="H215" s="46">
        <f>J215</f>
        <v/>
      </c>
      <c r="I215" s="34" t="n"/>
      <c r="J215" s="112" t="n">
        <v>62</v>
      </c>
      <c r="K215" s="128" t="n">
        <v>700</v>
      </c>
      <c r="L215" s="94">
        <f>K215*J215</f>
        <v/>
      </c>
      <c r="M215" s="124" t="n">
        <v>700</v>
      </c>
      <c r="O215" s="125" t="inlineStr">
        <is>
          <t>Цена Согласована Марк</t>
        </is>
      </c>
      <c r="P215" s="186">
        <f>M215*J215</f>
        <v/>
      </c>
      <c r="Q215" s="186">
        <f>P215-L215</f>
        <v/>
      </c>
      <c r="S215" s="184" t="n">
        <v>910</v>
      </c>
      <c r="T215" s="184">
        <f>S215*J215</f>
        <v/>
      </c>
      <c r="U215" s="184">
        <f>T215-Y215</f>
        <v/>
      </c>
      <c r="V215" s="185" t="inlineStr">
        <is>
          <t>Компромисс</t>
        </is>
      </c>
      <c r="W215" s="185" t="n"/>
      <c r="Y215" s="182">
        <f>IF(X215="ок",N(L215),IF(ISNUMBER(M215),M215*J215,N(L215)))</f>
        <v/>
      </c>
      <c r="Z215" s="182">
        <f>T215</f>
        <v/>
      </c>
    </row>
    <row r="216" ht="26.45" customHeight="1" s="155">
      <c r="A216" s="100" t="inlineStr">
        <is>
          <t>5,11</t>
        </is>
      </c>
      <c r="B216" s="19" t="inlineStr">
        <is>
          <t>Ниппель переходной 3/4"</t>
        </is>
      </c>
      <c r="C216" s="17" t="inlineStr">
        <is>
          <t>шт.</t>
        </is>
      </c>
      <c r="D216" s="17" t="n"/>
      <c r="E216" s="17" t="n"/>
      <c r="F216" s="17" t="n"/>
      <c r="G216" s="17" t="n"/>
      <c r="H216" s="46">
        <f>J216</f>
        <v/>
      </c>
      <c r="I216" s="34" t="n"/>
      <c r="J216" s="112" t="n">
        <v>62</v>
      </c>
      <c r="K216" s="128" t="n">
        <v>700</v>
      </c>
      <c r="L216" s="94">
        <f>K216*J216</f>
        <v/>
      </c>
      <c r="M216" s="124" t="n">
        <v>700</v>
      </c>
      <c r="O216" s="125" t="inlineStr">
        <is>
          <t>Цена Согласована Марк</t>
        </is>
      </c>
      <c r="P216" s="186">
        <f>M216*J216</f>
        <v/>
      </c>
      <c r="Q216" s="186">
        <f>P216-L216</f>
        <v/>
      </c>
      <c r="S216" s="184" t="n">
        <v>910</v>
      </c>
      <c r="T216" s="184">
        <f>S216*J216</f>
        <v/>
      </c>
      <c r="U216" s="184">
        <f>T216-Y216</f>
        <v/>
      </c>
      <c r="V216" s="185" t="inlineStr">
        <is>
          <t>Компромисс</t>
        </is>
      </c>
      <c r="W216" s="185" t="n"/>
      <c r="Y216" s="182">
        <f>IF(X216="ок",N(L216),IF(ISNUMBER(M216),M216*J216,N(L216)))</f>
        <v/>
      </c>
      <c r="Z216" s="182">
        <f>T216</f>
        <v/>
      </c>
    </row>
    <row r="217" ht="26.45" customHeight="1" s="155">
      <c r="A217" s="100" t="inlineStr">
        <is>
          <t>5,12</t>
        </is>
      </c>
      <c r="B217" s="19" t="inlineStr">
        <is>
          <t>Переходник 32-R 3/4</t>
        </is>
      </c>
      <c r="C217" s="17" t="inlineStr">
        <is>
          <t>шт.</t>
        </is>
      </c>
      <c r="D217" s="17" t="n"/>
      <c r="E217" s="17" t="n"/>
      <c r="F217" s="17" t="n"/>
      <c r="G217" s="17" t="n"/>
      <c r="H217" s="46">
        <f>J217</f>
        <v/>
      </c>
      <c r="I217" s="34" t="n"/>
      <c r="J217" s="112" t="n">
        <v>62</v>
      </c>
      <c r="K217" s="128" t="n">
        <v>700</v>
      </c>
      <c r="L217" s="94">
        <f>K217*J217</f>
        <v/>
      </c>
      <c r="M217" s="124" t="n">
        <v>700</v>
      </c>
      <c r="O217" s="125" t="inlineStr">
        <is>
          <t>Цена Согласована Марк</t>
        </is>
      </c>
      <c r="P217" s="186">
        <f>M217*J217</f>
        <v/>
      </c>
      <c r="Q217" s="186">
        <f>P217-L217</f>
        <v/>
      </c>
      <c r="S217" s="184" t="n">
        <v>910</v>
      </c>
      <c r="T217" s="184">
        <f>S217*J217</f>
        <v/>
      </c>
      <c r="U217" s="184">
        <f>T217-Y217</f>
        <v/>
      </c>
      <c r="V217" s="185" t="inlineStr">
        <is>
          <t>Компромисс</t>
        </is>
      </c>
      <c r="W217" s="185" t="n"/>
      <c r="Y217" s="182">
        <f>IF(X217="ок",N(L217),IF(ISNUMBER(M217),M217*J217,N(L217)))</f>
        <v/>
      </c>
      <c r="Z217" s="182">
        <f>T217</f>
        <v/>
      </c>
    </row>
    <row r="218" ht="26.45" customHeight="1" s="155">
      <c r="A218" s="100" t="inlineStr">
        <is>
          <t>5,13</t>
        </is>
      </c>
      <c r="B218" s="19" t="inlineStr">
        <is>
          <t>Монтажная гильза 32 LX</t>
        </is>
      </c>
      <c r="C218" s="17" t="inlineStr">
        <is>
          <t>шт.</t>
        </is>
      </c>
      <c r="D218" s="17" t="n"/>
      <c r="E218" s="17" t="n"/>
      <c r="F218" s="17" t="n"/>
      <c r="G218" s="17" t="n"/>
      <c r="H218" s="46">
        <f>J218</f>
        <v/>
      </c>
      <c r="I218" s="34" t="n"/>
      <c r="J218" s="112" t="n">
        <v>62</v>
      </c>
      <c r="K218" s="128" t="n">
        <v>700</v>
      </c>
      <c r="L218" s="94">
        <f>K218*J218</f>
        <v/>
      </c>
      <c r="M218" s="124" t="n">
        <v>700</v>
      </c>
      <c r="O218" s="125" t="inlineStr">
        <is>
          <t>Цена Согласована Марк</t>
        </is>
      </c>
      <c r="P218" s="186">
        <f>M218*J218</f>
        <v/>
      </c>
      <c r="Q218" s="186">
        <f>P218-L218</f>
        <v/>
      </c>
      <c r="S218" s="184" t="n">
        <v>910</v>
      </c>
      <c r="T218" s="184">
        <f>S218*J218</f>
        <v/>
      </c>
      <c r="U218" s="184">
        <f>T218-Y218</f>
        <v/>
      </c>
      <c r="V218" s="185" t="inlineStr">
        <is>
          <t>Компромисс</t>
        </is>
      </c>
      <c r="W218" s="185" t="n"/>
      <c r="Y218" s="182">
        <f>IF(X218="ок",N(L218),IF(ISNUMBER(M218),M218*J218,N(L218)))</f>
        <v/>
      </c>
      <c r="Z218" s="182">
        <f>T218</f>
        <v/>
      </c>
    </row>
    <row r="219" ht="26.45" customHeight="1" s="155">
      <c r="A219" s="100" t="inlineStr">
        <is>
          <t>5,14</t>
        </is>
      </c>
      <c r="B219" s="19" t="inlineStr">
        <is>
          <t>Муфта полипропиленовая 32 x 1/2"</t>
        </is>
      </c>
      <c r="C219" s="17" t="inlineStr">
        <is>
          <t>шт.</t>
        </is>
      </c>
      <c r="D219" s="17" t="n"/>
      <c r="E219" s="17" t="n"/>
      <c r="F219" s="17" t="n"/>
      <c r="G219" s="17" t="n"/>
      <c r="H219" s="46">
        <f>J219</f>
        <v/>
      </c>
      <c r="I219" s="34" t="n"/>
      <c r="J219" s="112" t="n">
        <v>10</v>
      </c>
      <c r="K219" s="128" t="n">
        <v>700</v>
      </c>
      <c r="L219" s="94">
        <f>K219*J219</f>
        <v/>
      </c>
      <c r="M219" s="124" t="n">
        <v>700</v>
      </c>
      <c r="O219" s="125" t="inlineStr">
        <is>
          <t>Цена Согласована Марк</t>
        </is>
      </c>
      <c r="P219" s="186">
        <f>M219*J219</f>
        <v/>
      </c>
      <c r="Q219" s="186">
        <f>P219-L219</f>
        <v/>
      </c>
      <c r="S219" s="184" t="n">
        <v>910</v>
      </c>
      <c r="T219" s="184">
        <f>S219*J219</f>
        <v/>
      </c>
      <c r="U219" s="184">
        <f>T219-Y219</f>
        <v/>
      </c>
      <c r="V219" s="185" t="inlineStr">
        <is>
          <t>Компромисс</t>
        </is>
      </c>
      <c r="W219" s="185" t="n"/>
      <c r="Y219" s="182">
        <f>IF(X219="ок",N(L219),IF(ISNUMBER(M219),M219*J219,N(L219)))</f>
        <v/>
      </c>
      <c r="Z219" s="182">
        <f>T219</f>
        <v/>
      </c>
    </row>
    <row r="220" ht="26.45" customHeight="1" s="155">
      <c r="A220" s="100" t="inlineStr">
        <is>
          <t>5,15</t>
        </is>
      </c>
      <c r="B220" s="19" t="inlineStr">
        <is>
          <t>Штуцер 1/2" x 14мм</t>
        </is>
      </c>
      <c r="C220" s="17" t="inlineStr">
        <is>
          <t>шт.</t>
        </is>
      </c>
      <c r="D220" s="17" t="n"/>
      <c r="E220" s="17" t="n"/>
      <c r="F220" s="17" t="n"/>
      <c r="G220" s="17" t="n"/>
      <c r="H220" s="46">
        <f>J220</f>
        <v/>
      </c>
      <c r="I220" s="34" t="n"/>
      <c r="J220" s="112" t="n">
        <v>10</v>
      </c>
      <c r="K220" s="128" t="n">
        <v>700</v>
      </c>
      <c r="L220" s="94">
        <f>K220*J220</f>
        <v/>
      </c>
      <c r="M220" s="124" t="n">
        <v>700</v>
      </c>
      <c r="O220" s="125" t="inlineStr">
        <is>
          <t>Цена Согласована Марк</t>
        </is>
      </c>
      <c r="P220" s="186">
        <f>M220*J220</f>
        <v/>
      </c>
      <c r="Q220" s="186">
        <f>P220-L220</f>
        <v/>
      </c>
      <c r="S220" s="184" t="n">
        <v>910</v>
      </c>
      <c r="T220" s="184">
        <f>S220*J220</f>
        <v/>
      </c>
      <c r="U220" s="184">
        <f>T220-Y220</f>
        <v/>
      </c>
      <c r="V220" s="185" t="inlineStr">
        <is>
          <t>Компромисс</t>
        </is>
      </c>
      <c r="W220" s="185" t="n"/>
      <c r="Y220" s="182">
        <f>IF(X220="ок",N(L220),IF(ISNUMBER(M220),M220*J220,N(L220)))</f>
        <v/>
      </c>
      <c r="Z220" s="182">
        <f>T220</f>
        <v/>
      </c>
    </row>
    <row r="221" ht="26.45" customHeight="1" s="155">
      <c r="A221" s="100" t="inlineStr">
        <is>
          <t>5,16</t>
        </is>
      </c>
      <c r="B221" s="19" t="inlineStr">
        <is>
          <t>Труба из сшитого полиэтилена PEX-a, Ø32х4,4</t>
        </is>
      </c>
      <c r="C221" s="17" t="inlineStr">
        <is>
          <t>мп</t>
        </is>
      </c>
      <c r="D221" s="17" t="n"/>
      <c r="E221" s="17" t="n"/>
      <c r="F221" s="17" t="n"/>
      <c r="G221" s="17" t="n"/>
      <c r="H221" s="46">
        <f>J221</f>
        <v/>
      </c>
      <c r="I221" s="34" t="n"/>
      <c r="J221" s="112" t="n">
        <v>90</v>
      </c>
      <c r="K221" s="128" t="n">
        <v>750</v>
      </c>
      <c r="L221" s="94">
        <f>K221*J221</f>
        <v/>
      </c>
      <c r="M221" s="124" t="n">
        <v>750</v>
      </c>
      <c r="N221" s="119" t="inlineStr">
        <is>
          <t>по договору</t>
        </is>
      </c>
      <c r="O221" s="125" t="inlineStr">
        <is>
          <t>Цена Согласована Марк</t>
        </is>
      </c>
      <c r="P221" s="186">
        <f>M221*J221</f>
        <v/>
      </c>
      <c r="Q221" s="186">
        <f>P221-L221</f>
        <v/>
      </c>
      <c r="S221" s="184" t="n">
        <v>975</v>
      </c>
      <c r="T221" s="184">
        <f>S221*J221</f>
        <v/>
      </c>
      <c r="U221" s="184">
        <f>T221-Y221</f>
        <v/>
      </c>
      <c r="V221" s="185" t="inlineStr">
        <is>
          <t>Компромисс</t>
        </is>
      </c>
      <c r="W221" s="185" t="n"/>
      <c r="Y221" s="182">
        <f>IF(X221="ок",N(L221),IF(ISNUMBER(M221),M221*J221,N(L221)))</f>
        <v/>
      </c>
      <c r="Z221" s="182">
        <f>T221</f>
        <v/>
      </c>
    </row>
    <row r="222" ht="26.45" customHeight="1" s="155">
      <c r="A222" s="100" t="inlineStr">
        <is>
          <t>5,17</t>
        </is>
      </c>
      <c r="B222" s="19" t="inlineStr">
        <is>
          <t>Труба из сшитого полиэтилена PEX-a, Ø40х5,5</t>
        </is>
      </c>
      <c r="C222" s="17" t="inlineStr">
        <is>
          <t>мп</t>
        </is>
      </c>
      <c r="D222" s="17" t="n"/>
      <c r="E222" s="17" t="n"/>
      <c r="F222" s="17" t="n"/>
      <c r="G222" s="17" t="n"/>
      <c r="H222" s="46">
        <f>J222</f>
        <v/>
      </c>
      <c r="I222" s="34" t="n"/>
      <c r="J222" s="112" t="n">
        <v>35</v>
      </c>
      <c r="K222" s="128" t="n">
        <v>900</v>
      </c>
      <c r="L222" s="94">
        <f>K222*J222</f>
        <v/>
      </c>
      <c r="M222" s="124" t="n">
        <v>900</v>
      </c>
      <c r="N222" s="119" t="inlineStr">
        <is>
          <t>по договору</t>
        </is>
      </c>
      <c r="O222" s="125" t="inlineStr">
        <is>
          <t>Цена Согласована Марк</t>
        </is>
      </c>
      <c r="P222" s="186">
        <f>M222*J222</f>
        <v/>
      </c>
      <c r="Q222" s="186">
        <f>P222-L222</f>
        <v/>
      </c>
      <c r="S222" s="184" t="n">
        <v>1170</v>
      </c>
      <c r="T222" s="184">
        <f>S222*J222</f>
        <v/>
      </c>
      <c r="U222" s="184">
        <f>T222-Y222</f>
        <v/>
      </c>
      <c r="V222" s="185" t="inlineStr">
        <is>
          <t>Компромисс</t>
        </is>
      </c>
      <c r="W222" s="185" t="n"/>
      <c r="Y222" s="182">
        <f>IF(X222="ок",N(L222),IF(ISNUMBER(M222),M222*J222,N(L222)))</f>
        <v/>
      </c>
      <c r="Z222" s="182">
        <f>T222</f>
        <v/>
      </c>
    </row>
    <row r="223" ht="26.45" customHeight="1" s="155">
      <c r="A223" s="100" t="inlineStr">
        <is>
          <t>5,18</t>
        </is>
      </c>
      <c r="B223" s="19" t="inlineStr">
        <is>
          <t>Труба из сшитого полиэтилена PEX-a, Ø50х6,9</t>
        </is>
      </c>
      <c r="C223" s="17" t="inlineStr">
        <is>
          <t>мп</t>
        </is>
      </c>
      <c r="D223" s="17" t="n"/>
      <c r="E223" s="17" t="n"/>
      <c r="F223" s="17" t="n"/>
      <c r="G223" s="17" t="n"/>
      <c r="H223" s="46">
        <f>J223</f>
        <v/>
      </c>
      <c r="I223" s="34" t="n"/>
      <c r="J223" s="112" t="n">
        <v>40</v>
      </c>
      <c r="K223" s="128" t="n">
        <v>950</v>
      </c>
      <c r="L223" s="94">
        <f>K223*J223</f>
        <v/>
      </c>
      <c r="M223" s="124" t="n">
        <v>950</v>
      </c>
      <c r="N223" s="119" t="inlineStr">
        <is>
          <t>по договору</t>
        </is>
      </c>
      <c r="O223" s="125" t="inlineStr">
        <is>
          <t>Цена Согласована Марк</t>
        </is>
      </c>
      <c r="P223" s="186">
        <f>M223*J223</f>
        <v/>
      </c>
      <c r="Q223" s="186">
        <f>P223-L223</f>
        <v/>
      </c>
      <c r="S223" s="184" t="n">
        <v>1230</v>
      </c>
      <c r="T223" s="184">
        <f>S223*J223</f>
        <v/>
      </c>
      <c r="U223" s="184">
        <f>T223-Y223</f>
        <v/>
      </c>
      <c r="V223" s="185" t="inlineStr">
        <is>
          <t>Компромисс</t>
        </is>
      </c>
      <c r="W223" s="185" t="n"/>
      <c r="Y223" s="182">
        <f>IF(X223="ок",N(L223),IF(ISNUMBER(M223),M223*J223,N(L223)))</f>
        <v/>
      </c>
      <c r="Z223" s="182">
        <f>T223</f>
        <v/>
      </c>
    </row>
    <row r="224" ht="26.45" customHeight="1" s="155">
      <c r="A224" s="100" t="inlineStr">
        <is>
          <t>5,19</t>
        </is>
      </c>
      <c r="B224" s="19" t="inlineStr">
        <is>
          <t>Трубки теплоизоляционные для трубы Ø32х4,4 толщиной 9мм</t>
        </is>
      </c>
      <c r="C224" s="17" t="inlineStr">
        <is>
          <t>мп</t>
        </is>
      </c>
      <c r="D224" s="17" t="n"/>
      <c r="E224" s="17" t="n"/>
      <c r="F224" s="17" t="n"/>
      <c r="G224" s="17" t="n"/>
      <c r="H224" s="46">
        <f>J224</f>
        <v/>
      </c>
      <c r="I224" s="34" t="n"/>
      <c r="J224" s="112" t="n">
        <v>90</v>
      </c>
      <c r="K224" s="128" t="n">
        <v>291.6</v>
      </c>
      <c r="L224" s="94">
        <f>K224*J224</f>
        <v/>
      </c>
      <c r="M224" s="124" t="n">
        <v>200</v>
      </c>
      <c r="N224" s="119" t="inlineStr">
        <is>
          <t>по договору</t>
        </is>
      </c>
      <c r="O224" s="125" t="inlineStr">
        <is>
          <t>Цена Согласована Марк</t>
        </is>
      </c>
      <c r="P224" s="186">
        <f>M224*J224</f>
        <v/>
      </c>
      <c r="Q224" s="186">
        <f>P224-L224</f>
        <v/>
      </c>
      <c r="S224" s="187" t="n">
        <v>291.6</v>
      </c>
      <c r="T224" s="187">
        <f>S224*J224</f>
        <v/>
      </c>
      <c r="U224" s="187">
        <f>T224-Y224</f>
        <v/>
      </c>
      <c r="V224" s="188" t="inlineStr">
        <is>
          <t>Согласно (ок)</t>
        </is>
      </c>
      <c r="W224" s="188" t="n"/>
      <c r="X224" s="127" t="inlineStr">
        <is>
          <t>ок</t>
        </is>
      </c>
      <c r="Y224" s="182">
        <f>IF(X224="ок",N(L224),IF(ISNUMBER(M224),M224*J224,N(L224)))</f>
        <v/>
      </c>
      <c r="Z224" s="182">
        <f>T224</f>
        <v/>
      </c>
    </row>
    <row r="225" ht="26.45" customHeight="1" s="155">
      <c r="A225" s="100" t="inlineStr">
        <is>
          <t>5,20</t>
        </is>
      </c>
      <c r="B225" s="19" t="inlineStr">
        <is>
          <t>Трубки теплоизоляционные для трубы Ø40х5,5 толщиной 9мм</t>
        </is>
      </c>
      <c r="C225" s="17" t="inlineStr">
        <is>
          <t>мп</t>
        </is>
      </c>
      <c r="D225" s="17" t="n"/>
      <c r="E225" s="17" t="n"/>
      <c r="F225" s="17" t="n"/>
      <c r="G225" s="17" t="n"/>
      <c r="H225" s="46">
        <f>J225</f>
        <v/>
      </c>
      <c r="I225" s="34" t="n"/>
      <c r="J225" s="112" t="n">
        <v>35</v>
      </c>
      <c r="K225" s="128" t="n">
        <v>291.6</v>
      </c>
      <c r="L225" s="94">
        <f>K225*J225</f>
        <v/>
      </c>
      <c r="M225" s="124" t="n">
        <v>260</v>
      </c>
      <c r="N225" s="119" t="inlineStr">
        <is>
          <t>по договору</t>
        </is>
      </c>
      <c r="O225" s="125" t="inlineStr">
        <is>
          <t>Цена Согласована Марк</t>
        </is>
      </c>
      <c r="P225" s="186">
        <f>M225*J225</f>
        <v/>
      </c>
      <c r="Q225" s="186">
        <f>P225-L225</f>
        <v/>
      </c>
      <c r="S225" s="187" t="n">
        <v>291.6</v>
      </c>
      <c r="T225" s="187">
        <f>S225*J225</f>
        <v/>
      </c>
      <c r="U225" s="187">
        <f>T225-Y225</f>
        <v/>
      </c>
      <c r="V225" s="188" t="inlineStr">
        <is>
          <t>Согласно (ок)</t>
        </is>
      </c>
      <c r="W225" s="188" t="n"/>
      <c r="X225" s="127" t="inlineStr">
        <is>
          <t>ок</t>
        </is>
      </c>
      <c r="Y225" s="182">
        <f>IF(X225="ок",N(L225),IF(ISNUMBER(M225),M225*J225,N(L225)))</f>
        <v/>
      </c>
      <c r="Z225" s="182">
        <f>T225</f>
        <v/>
      </c>
    </row>
    <row r="226" ht="26.45" customHeight="1" s="155">
      <c r="A226" s="100" t="inlineStr">
        <is>
          <t>5,21</t>
        </is>
      </c>
      <c r="B226" s="19" t="inlineStr">
        <is>
          <t>Трубки теплоизоляционные для трубы Ø50х6,9 толщиной 13мм</t>
        </is>
      </c>
      <c r="C226" s="17" t="inlineStr">
        <is>
          <t>мп</t>
        </is>
      </c>
      <c r="D226" s="17" t="n"/>
      <c r="E226" s="17" t="n"/>
      <c r="F226" s="17" t="n"/>
      <c r="G226" s="17" t="n"/>
      <c r="H226" s="46">
        <f>J226</f>
        <v/>
      </c>
      <c r="I226" s="34" t="n"/>
      <c r="J226" s="112" t="n">
        <v>40</v>
      </c>
      <c r="K226" s="128" t="n">
        <v>291.6</v>
      </c>
      <c r="L226" s="94">
        <f>K226*J226</f>
        <v/>
      </c>
      <c r="M226" s="124" t="n">
        <v>260</v>
      </c>
      <c r="N226" s="119" t="inlineStr">
        <is>
          <t>по договору</t>
        </is>
      </c>
      <c r="O226" s="125" t="inlineStr">
        <is>
          <t>Цена Согласована Марк</t>
        </is>
      </c>
      <c r="P226" s="186">
        <f>M226*J226</f>
        <v/>
      </c>
      <c r="Q226" s="186">
        <f>P226-L226</f>
        <v/>
      </c>
      <c r="S226" s="187" t="n">
        <v>291.6</v>
      </c>
      <c r="T226" s="187">
        <f>S226*J226</f>
        <v/>
      </c>
      <c r="U226" s="187">
        <f>T226-Y226</f>
        <v/>
      </c>
      <c r="V226" s="188" t="inlineStr">
        <is>
          <t>Согласно (ок)</t>
        </is>
      </c>
      <c r="W226" s="188" t="n"/>
      <c r="X226" s="127" t="inlineStr">
        <is>
          <t>ок</t>
        </is>
      </c>
      <c r="Y226" s="182">
        <f>IF(X226="ок",N(L226),IF(ISNUMBER(M226),M226*J226,N(L226)))</f>
        <v/>
      </c>
      <c r="Z226" s="182">
        <f>T226</f>
        <v/>
      </c>
    </row>
    <row r="227" ht="26.45" customHeight="1" s="155">
      <c r="A227" s="100" t="inlineStr">
        <is>
          <t>5,22</t>
        </is>
      </c>
      <c r="B227" s="19" t="inlineStr">
        <is>
          <t>Муфта полипропиленовая, 32</t>
        </is>
      </c>
      <c r="C227" s="17" t="inlineStr">
        <is>
          <t>шт.</t>
        </is>
      </c>
      <c r="D227" s="17" t="n"/>
      <c r="E227" s="17" t="n"/>
      <c r="F227" s="17" t="n"/>
      <c r="G227" s="17" t="n"/>
      <c r="H227" s="46">
        <f>J227</f>
        <v/>
      </c>
      <c r="I227" s="34" t="n"/>
      <c r="J227" s="112" t="n">
        <v>20</v>
      </c>
      <c r="K227" s="128" t="n">
        <v>520</v>
      </c>
      <c r="L227" s="94">
        <f>K227*J227</f>
        <v/>
      </c>
      <c r="M227" s="124" t="n">
        <v>520</v>
      </c>
      <c r="N227" s="119" t="n"/>
      <c r="O227" s="125" t="inlineStr">
        <is>
          <t>Цена Согласована Марк</t>
        </is>
      </c>
      <c r="P227" s="186">
        <f>M227*J227</f>
        <v/>
      </c>
      <c r="Q227" s="186">
        <f>P227-L227</f>
        <v/>
      </c>
      <c r="S227" s="184" t="n">
        <v>675</v>
      </c>
      <c r="T227" s="184">
        <f>S227*J227</f>
        <v/>
      </c>
      <c r="U227" s="184">
        <f>T227-Y227</f>
        <v/>
      </c>
      <c r="V227" s="185" t="inlineStr">
        <is>
          <t>Компромисс</t>
        </is>
      </c>
      <c r="W227" s="185" t="n"/>
      <c r="Y227" s="182">
        <f>IF(X227="ок",N(L227),IF(ISNUMBER(M227),M227*J227,N(L227)))</f>
        <v/>
      </c>
      <c r="Z227" s="182">
        <f>T227</f>
        <v/>
      </c>
    </row>
    <row r="228" ht="26.45" customHeight="1" s="155">
      <c r="A228" s="100" t="inlineStr">
        <is>
          <t>5,23</t>
        </is>
      </c>
      <c r="B228" s="19" t="inlineStr">
        <is>
          <t>Муфта полипропиленовая, 40</t>
        </is>
      </c>
      <c r="C228" s="17" t="inlineStr">
        <is>
          <t>шт.</t>
        </is>
      </c>
      <c r="D228" s="17" t="n"/>
      <c r="E228" s="17" t="n"/>
      <c r="F228" s="17" t="n"/>
      <c r="G228" s="17" t="n"/>
      <c r="H228" s="46">
        <f>J228</f>
        <v/>
      </c>
      <c r="I228" s="34" t="n"/>
      <c r="J228" s="112" t="n">
        <v>2</v>
      </c>
      <c r="K228" s="128" t="n">
        <v>520</v>
      </c>
      <c r="L228" s="94">
        <f>K228*J228</f>
        <v/>
      </c>
      <c r="M228" s="124" t="n">
        <v>520</v>
      </c>
      <c r="N228" s="119" t="n"/>
      <c r="O228" s="125" t="inlineStr">
        <is>
          <t>Цена Согласована Марк</t>
        </is>
      </c>
      <c r="P228" s="186">
        <f>M228*J228</f>
        <v/>
      </c>
      <c r="Q228" s="186">
        <f>P228-L228</f>
        <v/>
      </c>
      <c r="S228" s="184" t="n">
        <v>675</v>
      </c>
      <c r="T228" s="184">
        <f>S228*J228</f>
        <v/>
      </c>
      <c r="U228" s="184">
        <f>T228-Y228</f>
        <v/>
      </c>
      <c r="V228" s="185" t="inlineStr">
        <is>
          <t>Компромисс</t>
        </is>
      </c>
      <c r="W228" s="185" t="n"/>
      <c r="Y228" s="182">
        <f>IF(X228="ок",N(L228),IF(ISNUMBER(M228),M228*J228,N(L228)))</f>
        <v/>
      </c>
      <c r="Z228" s="182">
        <f>T228</f>
        <v/>
      </c>
    </row>
    <row r="229" ht="26.45" customHeight="1" s="155">
      <c r="A229" s="100" t="inlineStr">
        <is>
          <t>5,24</t>
        </is>
      </c>
      <c r="B229" s="19" t="inlineStr">
        <is>
          <t>Муфта переходная полипропиленовая, 40/32</t>
        </is>
      </c>
      <c r="C229" s="17" t="inlineStr">
        <is>
          <t>шт.</t>
        </is>
      </c>
      <c r="D229" s="17" t="n"/>
      <c r="E229" s="17" t="n"/>
      <c r="F229" s="17" t="n"/>
      <c r="G229" s="17" t="n"/>
      <c r="H229" s="46">
        <f>J229</f>
        <v/>
      </c>
      <c r="I229" s="34" t="n"/>
      <c r="J229" s="112" t="n">
        <v>3</v>
      </c>
      <c r="K229" s="128" t="n">
        <v>520</v>
      </c>
      <c r="L229" s="94">
        <f>K229*J229</f>
        <v/>
      </c>
      <c r="M229" s="124" t="n">
        <v>520</v>
      </c>
      <c r="N229" s="119" t="n"/>
      <c r="O229" s="125" t="inlineStr">
        <is>
          <t>Цена Согласована Марк</t>
        </is>
      </c>
      <c r="P229" s="186">
        <f>M229*J229</f>
        <v/>
      </c>
      <c r="Q229" s="186">
        <f>P229-L229</f>
        <v/>
      </c>
      <c r="S229" s="184" t="n">
        <v>675</v>
      </c>
      <c r="T229" s="184">
        <f>S229*J229</f>
        <v/>
      </c>
      <c r="U229" s="184">
        <f>T229-Y229</f>
        <v/>
      </c>
      <c r="V229" s="185" t="inlineStr">
        <is>
          <t>Компромисс</t>
        </is>
      </c>
      <c r="W229" s="185" t="n"/>
      <c r="Y229" s="182">
        <f>IF(X229="ок",N(L229),IF(ISNUMBER(M229),M229*J229,N(L229)))</f>
        <v/>
      </c>
      <c r="Z229" s="182">
        <f>T229</f>
        <v/>
      </c>
    </row>
    <row r="230" ht="26.45" customHeight="1" s="155">
      <c r="A230" s="100" t="inlineStr">
        <is>
          <t>5,25</t>
        </is>
      </c>
      <c r="B230" s="19" t="inlineStr">
        <is>
          <t>Угольник 450 полипропиленовый, 32</t>
        </is>
      </c>
      <c r="C230" s="17" t="inlineStr">
        <is>
          <t>шт.</t>
        </is>
      </c>
      <c r="D230" s="17" t="n"/>
      <c r="E230" s="17" t="n"/>
      <c r="F230" s="17" t="n"/>
      <c r="G230" s="17" t="n"/>
      <c r="H230" s="46">
        <f>J230</f>
        <v/>
      </c>
      <c r="I230" s="34" t="n"/>
      <c r="J230" s="112" t="n">
        <v>15</v>
      </c>
      <c r="K230" s="128" t="n">
        <v>520</v>
      </c>
      <c r="L230" s="94">
        <f>K230*J230</f>
        <v/>
      </c>
      <c r="M230" s="124" t="n">
        <v>520</v>
      </c>
      <c r="N230" s="119" t="n"/>
      <c r="O230" s="125" t="inlineStr">
        <is>
          <t>Цена Согласована Марк</t>
        </is>
      </c>
      <c r="P230" s="186">
        <f>M230*J230</f>
        <v/>
      </c>
      <c r="Q230" s="186">
        <f>P230-L230</f>
        <v/>
      </c>
      <c r="S230" s="184" t="n">
        <v>675</v>
      </c>
      <c r="T230" s="184">
        <f>S230*J230</f>
        <v/>
      </c>
      <c r="U230" s="184">
        <f>T230-Y230</f>
        <v/>
      </c>
      <c r="V230" s="185" t="inlineStr">
        <is>
          <t>Компромисс</t>
        </is>
      </c>
      <c r="W230" s="185" t="n"/>
      <c r="Y230" s="182">
        <f>IF(X230="ок",N(L230),IF(ISNUMBER(M230),M230*J230,N(L230)))</f>
        <v/>
      </c>
      <c r="Z230" s="182">
        <f>T230</f>
        <v/>
      </c>
    </row>
    <row r="231" ht="26.45" customHeight="1" s="155">
      <c r="A231" s="100" t="inlineStr">
        <is>
          <t>5,26</t>
        </is>
      </c>
      <c r="B231" s="19" t="inlineStr">
        <is>
          <t>Угольник 450 полипропиленовый, 40</t>
        </is>
      </c>
      <c r="C231" s="17" t="inlineStr">
        <is>
          <t>шт.</t>
        </is>
      </c>
      <c r="D231" s="17" t="n"/>
      <c r="E231" s="17" t="n"/>
      <c r="F231" s="17" t="n"/>
      <c r="G231" s="17" t="n"/>
      <c r="H231" s="46">
        <f>J231</f>
        <v/>
      </c>
      <c r="I231" s="34" t="n"/>
      <c r="J231" s="112" t="n">
        <v>2</v>
      </c>
      <c r="K231" s="128" t="n">
        <v>520</v>
      </c>
      <c r="L231" s="94">
        <f>K231*J231</f>
        <v/>
      </c>
      <c r="M231" s="124" t="n">
        <v>520</v>
      </c>
      <c r="N231" s="119" t="n"/>
      <c r="O231" s="125" t="inlineStr">
        <is>
          <t>Цена Согласована Марк</t>
        </is>
      </c>
      <c r="P231" s="186">
        <f>M231*J231</f>
        <v/>
      </c>
      <c r="Q231" s="186">
        <f>P231-L231</f>
        <v/>
      </c>
      <c r="S231" s="184" t="n">
        <v>675</v>
      </c>
      <c r="T231" s="184">
        <f>S231*J231</f>
        <v/>
      </c>
      <c r="U231" s="184">
        <f>T231-Y231</f>
        <v/>
      </c>
      <c r="V231" s="185" t="inlineStr">
        <is>
          <t>Компромисс</t>
        </is>
      </c>
      <c r="W231" s="185" t="n"/>
      <c r="Y231" s="182">
        <f>IF(X231="ок",N(L231),IF(ISNUMBER(M231),M231*J231,N(L231)))</f>
        <v/>
      </c>
      <c r="Z231" s="182">
        <f>T231</f>
        <v/>
      </c>
    </row>
    <row r="232" ht="26.45" customHeight="1" s="155">
      <c r="A232" s="100" t="inlineStr">
        <is>
          <t>5,27</t>
        </is>
      </c>
      <c r="B232" s="19" t="inlineStr">
        <is>
          <t>Угольник 900 полипропиленовый, 32</t>
        </is>
      </c>
      <c r="C232" s="17" t="inlineStr">
        <is>
          <t>шт.</t>
        </is>
      </c>
      <c r="D232" s="17" t="n"/>
      <c r="E232" s="17" t="n"/>
      <c r="F232" s="17" t="n"/>
      <c r="G232" s="17" t="n"/>
      <c r="H232" s="46">
        <f>J232</f>
        <v/>
      </c>
      <c r="I232" s="34" t="n"/>
      <c r="J232" s="112" t="n">
        <v>30</v>
      </c>
      <c r="K232" s="128" t="n">
        <v>520</v>
      </c>
      <c r="L232" s="94">
        <f>K232*J232</f>
        <v/>
      </c>
      <c r="M232" s="124" t="n">
        <v>520</v>
      </c>
      <c r="N232" s="119" t="n"/>
      <c r="O232" s="125" t="inlineStr">
        <is>
          <t>Цена Согласована Марк</t>
        </is>
      </c>
      <c r="P232" s="186">
        <f>M232*J232</f>
        <v/>
      </c>
      <c r="Q232" s="186">
        <f>P232-L232</f>
        <v/>
      </c>
      <c r="S232" s="184" t="n">
        <v>675</v>
      </c>
      <c r="T232" s="184">
        <f>S232*J232</f>
        <v/>
      </c>
      <c r="U232" s="184">
        <f>T232-Y232</f>
        <v/>
      </c>
      <c r="V232" s="185" t="inlineStr">
        <is>
          <t>Компромисс</t>
        </is>
      </c>
      <c r="W232" s="185" t="n"/>
      <c r="Y232" s="182">
        <f>IF(X232="ок",N(L232),IF(ISNUMBER(M232),M232*J232,N(L232)))</f>
        <v/>
      </c>
      <c r="Z232" s="182">
        <f>T232</f>
        <v/>
      </c>
    </row>
    <row r="233" ht="26.45" customHeight="1" s="155">
      <c r="A233" s="100" t="inlineStr">
        <is>
          <t>5,28</t>
        </is>
      </c>
      <c r="B233" s="19" t="inlineStr">
        <is>
          <t>Угольник 900 полипропиленовый, 40</t>
        </is>
      </c>
      <c r="C233" s="17" t="inlineStr">
        <is>
          <t>шт.</t>
        </is>
      </c>
      <c r="D233" s="17" t="n"/>
      <c r="E233" s="17" t="n"/>
      <c r="F233" s="17" t="n"/>
      <c r="G233" s="17" t="n"/>
      <c r="H233" s="46">
        <f>J233</f>
        <v/>
      </c>
      <c r="I233" s="34" t="n"/>
      <c r="J233" s="112" t="n">
        <v>1</v>
      </c>
      <c r="K233" s="128" t="n">
        <v>520</v>
      </c>
      <c r="L233" s="94">
        <f>K233*J233</f>
        <v/>
      </c>
      <c r="M233" s="124" t="n">
        <v>520</v>
      </c>
      <c r="N233" s="119" t="n"/>
      <c r="O233" s="125" t="inlineStr">
        <is>
          <t>Цена Согласована Марк</t>
        </is>
      </c>
      <c r="P233" s="186">
        <f>M233*J233</f>
        <v/>
      </c>
      <c r="Q233" s="186">
        <f>P233-L233</f>
        <v/>
      </c>
      <c r="S233" s="184" t="n">
        <v>675</v>
      </c>
      <c r="T233" s="184">
        <f>S233*J233</f>
        <v/>
      </c>
      <c r="U233" s="184">
        <f>T233-Y233</f>
        <v/>
      </c>
      <c r="V233" s="185" t="inlineStr">
        <is>
          <t>Компромисс</t>
        </is>
      </c>
      <c r="W233" s="185" t="n"/>
      <c r="Y233" s="182">
        <f>IF(X233="ок",N(L233),IF(ISNUMBER(M233),M233*J233,N(L233)))</f>
        <v/>
      </c>
      <c r="Z233" s="182">
        <f>T233</f>
        <v/>
      </c>
    </row>
    <row r="234" ht="26.45" customHeight="1" s="155">
      <c r="A234" s="100" t="inlineStr">
        <is>
          <t>5,29</t>
        </is>
      </c>
      <c r="B234" s="19" t="inlineStr">
        <is>
          <t>Тройник полипропиленовый, 32</t>
        </is>
      </c>
      <c r="C234" s="17" t="inlineStr">
        <is>
          <t>шт.</t>
        </is>
      </c>
      <c r="D234" s="17" t="n"/>
      <c r="E234" s="17" t="n"/>
      <c r="F234" s="17" t="n"/>
      <c r="G234" s="17" t="n"/>
      <c r="H234" s="46">
        <f>J234</f>
        <v/>
      </c>
      <c r="I234" s="34" t="n"/>
      <c r="J234" s="112" t="n">
        <v>6</v>
      </c>
      <c r="K234" s="128" t="n">
        <v>520</v>
      </c>
      <c r="L234" s="94">
        <f>K234*J234</f>
        <v/>
      </c>
      <c r="M234" s="124" t="n">
        <v>520</v>
      </c>
      <c r="N234" s="119" t="n"/>
      <c r="O234" s="125" t="inlineStr">
        <is>
          <t>Цена Согласована Марк</t>
        </is>
      </c>
      <c r="P234" s="186">
        <f>M234*J234</f>
        <v/>
      </c>
      <c r="Q234" s="186">
        <f>P234-L234</f>
        <v/>
      </c>
      <c r="S234" s="184" t="n">
        <v>675</v>
      </c>
      <c r="T234" s="184">
        <f>S234*J234</f>
        <v/>
      </c>
      <c r="U234" s="184">
        <f>T234-Y234</f>
        <v/>
      </c>
      <c r="V234" s="185" t="inlineStr">
        <is>
          <t>Компромисс</t>
        </is>
      </c>
      <c r="W234" s="185" t="n"/>
      <c r="Y234" s="182">
        <f>IF(X234="ок",N(L234),IF(ISNUMBER(M234),M234*J234,N(L234)))</f>
        <v/>
      </c>
      <c r="Z234" s="182">
        <f>T234</f>
        <v/>
      </c>
    </row>
    <row r="235" ht="26.45" customHeight="1" s="155">
      <c r="A235" s="100" t="inlineStr">
        <is>
          <t>5,30</t>
        </is>
      </c>
      <c r="B235" s="19" t="inlineStr">
        <is>
          <t>Тройник полипропиленовый, 40</t>
        </is>
      </c>
      <c r="C235" s="17" t="inlineStr">
        <is>
          <t>шт.</t>
        </is>
      </c>
      <c r="D235" s="17" t="n"/>
      <c r="E235" s="17" t="n"/>
      <c r="F235" s="17" t="n"/>
      <c r="G235" s="17" t="n"/>
      <c r="H235" s="46">
        <f>J235</f>
        <v/>
      </c>
      <c r="I235" s="34" t="n"/>
      <c r="J235" s="112" t="n">
        <v>2</v>
      </c>
      <c r="K235" s="128" t="n">
        <v>520</v>
      </c>
      <c r="L235" s="94">
        <f>K235*J235</f>
        <v/>
      </c>
      <c r="M235" s="124" t="n">
        <v>520</v>
      </c>
      <c r="N235" s="119" t="n"/>
      <c r="O235" s="125" t="inlineStr">
        <is>
          <t>Цена Согласована Марк</t>
        </is>
      </c>
      <c r="P235" s="186">
        <f>M235*J235</f>
        <v/>
      </c>
      <c r="Q235" s="186">
        <f>P235-L235</f>
        <v/>
      </c>
      <c r="S235" s="184" t="n">
        <v>675</v>
      </c>
      <c r="T235" s="184">
        <f>S235*J235</f>
        <v/>
      </c>
      <c r="U235" s="184">
        <f>T235-Y235</f>
        <v/>
      </c>
      <c r="V235" s="185" t="inlineStr">
        <is>
          <t>Компромисс</t>
        </is>
      </c>
      <c r="W235" s="185" t="n"/>
      <c r="Y235" s="182">
        <f>IF(X235="ок",N(L235),IF(ISNUMBER(M235),M235*J235,N(L235)))</f>
        <v/>
      </c>
      <c r="Z235" s="182">
        <f>T235</f>
        <v/>
      </c>
    </row>
    <row r="236" ht="26.45" customHeight="1" s="155">
      <c r="A236" s="100" t="inlineStr">
        <is>
          <t>5,31</t>
        </is>
      </c>
      <c r="B236" s="19" t="inlineStr">
        <is>
          <t>Труба полипропиленовая, Ø32х5,4</t>
        </is>
      </c>
      <c r="C236" s="17" t="inlineStr">
        <is>
          <t>шт.</t>
        </is>
      </c>
      <c r="D236" s="17" t="n"/>
      <c r="E236" s="17" t="n"/>
      <c r="F236" s="17" t="n"/>
      <c r="G236" s="17" t="n"/>
      <c r="H236" s="46">
        <f>J236</f>
        <v/>
      </c>
      <c r="I236" s="34" t="n"/>
      <c r="J236" s="112" t="n">
        <v>75</v>
      </c>
      <c r="K236" s="128" t="n">
        <v>740</v>
      </c>
      <c r="L236" s="94">
        <f>K236*J236</f>
        <v/>
      </c>
      <c r="M236" s="124" t="n">
        <v>740</v>
      </c>
      <c r="N236" s="119" t="n"/>
      <c r="O236" s="125" t="inlineStr">
        <is>
          <t>Цена Согласована Марк</t>
        </is>
      </c>
      <c r="P236" s="186">
        <f>M236*J236</f>
        <v/>
      </c>
      <c r="Q236" s="186">
        <f>P236-L236</f>
        <v/>
      </c>
      <c r="S236" s="184" t="n">
        <v>960</v>
      </c>
      <c r="T236" s="184">
        <f>S236*J236</f>
        <v/>
      </c>
      <c r="U236" s="184">
        <f>T236-Y236</f>
        <v/>
      </c>
      <c r="V236" s="185" t="inlineStr">
        <is>
          <t>Компромисс</t>
        </is>
      </c>
      <c r="W236" s="185" t="n"/>
      <c r="Y236" s="182">
        <f>IF(X236="ок",N(L236),IF(ISNUMBER(M236),M236*J236,N(L236)))</f>
        <v/>
      </c>
      <c r="Z236" s="182">
        <f>T236</f>
        <v/>
      </c>
    </row>
    <row r="237" ht="26.45" customHeight="1" s="155">
      <c r="A237" s="100" t="inlineStr">
        <is>
          <t>5,32</t>
        </is>
      </c>
      <c r="B237" s="19" t="inlineStr">
        <is>
          <t>Труба полипропиленовая, Ø40х6,7</t>
        </is>
      </c>
      <c r="C237" s="17" t="inlineStr">
        <is>
          <t>шт.</t>
        </is>
      </c>
      <c r="D237" s="17" t="n"/>
      <c r="E237" s="17" t="n"/>
      <c r="F237" s="17" t="n"/>
      <c r="G237" s="17" t="n"/>
      <c r="H237" s="46">
        <f>J237</f>
        <v/>
      </c>
      <c r="I237" s="34" t="n"/>
      <c r="J237" s="112" t="n">
        <v>8</v>
      </c>
      <c r="K237" s="128" t="n">
        <v>740</v>
      </c>
      <c r="L237" s="94">
        <f>K237*J237</f>
        <v/>
      </c>
      <c r="M237" s="124" t="n">
        <v>740</v>
      </c>
      <c r="N237" s="119" t="n"/>
      <c r="O237" s="125" t="inlineStr">
        <is>
          <t>Цена Согласована Марк</t>
        </is>
      </c>
      <c r="P237" s="186">
        <f>M237*J237</f>
        <v/>
      </c>
      <c r="Q237" s="186">
        <f>P237-L237</f>
        <v/>
      </c>
      <c r="S237" s="184" t="n">
        <v>960</v>
      </c>
      <c r="T237" s="184">
        <f>S237*J237</f>
        <v/>
      </c>
      <c r="U237" s="184">
        <f>T237-Y237</f>
        <v/>
      </c>
      <c r="V237" s="185" t="inlineStr">
        <is>
          <t>Компромисс</t>
        </is>
      </c>
      <c r="W237" s="185" t="n"/>
      <c r="Y237" s="182">
        <f>IF(X237="ок",N(L237),IF(ISNUMBER(M237),M237*J237,N(L237)))</f>
        <v/>
      </c>
      <c r="Z237" s="182">
        <f>T237</f>
        <v/>
      </c>
    </row>
    <row r="238" ht="26.45" customHeight="1" s="155">
      <c r="A238" s="100" t="inlineStr">
        <is>
          <t>5,33</t>
        </is>
      </c>
      <c r="B238" s="19" t="inlineStr">
        <is>
          <t>Трубки теплоизоляционные для трубы Ø32х5,4 толщиной 6мм</t>
        </is>
      </c>
      <c r="C238" s="17" t="inlineStr">
        <is>
          <t>шт.</t>
        </is>
      </c>
      <c r="D238" s="17" t="n"/>
      <c r="E238" s="17" t="n"/>
      <c r="F238" s="17" t="n"/>
      <c r="G238" s="17" t="n"/>
      <c r="H238" s="46">
        <f>J238</f>
        <v/>
      </c>
      <c r="I238" s="34" t="n"/>
      <c r="J238" s="112" t="n">
        <v>75</v>
      </c>
      <c r="K238" s="131" t="n">
        <v>200</v>
      </c>
      <c r="L238" s="94">
        <f>K238*J238</f>
        <v/>
      </c>
      <c r="M238" s="124" t="n">
        <v>200</v>
      </c>
      <c r="N238" s="119" t="inlineStr">
        <is>
          <t>по договору</t>
        </is>
      </c>
      <c r="O238" s="125" t="inlineStr">
        <is>
          <t>Цена Согласована Марк</t>
        </is>
      </c>
      <c r="P238" s="186">
        <f>M238*J238</f>
        <v/>
      </c>
      <c r="Q238" s="186">
        <f>P238-L238</f>
        <v/>
      </c>
      <c r="S238" s="187" t="n">
        <v>220</v>
      </c>
      <c r="T238" s="187">
        <f>S238*J238</f>
        <v/>
      </c>
      <c r="U238" s="187">
        <f>T238-Y238</f>
        <v/>
      </c>
      <c r="V238" s="188" t="inlineStr">
        <is>
          <t>По Вашему максимуму</t>
        </is>
      </c>
      <c r="W238" s="188" t="n"/>
      <c r="X238" s="119" t="inlineStr">
        <is>
          <t>Больше в 5 раз? Издеваетесь? Максимум + 10%</t>
        </is>
      </c>
      <c r="Y238" s="182">
        <f>IF(X238="ок",N(L238),IF(ISNUMBER(M238),M238*J238,N(L238)))</f>
        <v/>
      </c>
      <c r="Z238" s="182">
        <f>T238</f>
        <v/>
      </c>
    </row>
    <row r="239" ht="26.45" customHeight="1" s="155">
      <c r="A239" s="100" t="inlineStr">
        <is>
          <t>5,34</t>
        </is>
      </c>
      <c r="B239" s="19" t="inlineStr">
        <is>
          <t>Трубки теплоизоляционные для трубы Ø40х6,7 толщиной 6мм</t>
        </is>
      </c>
      <c r="C239" s="17" t="inlineStr">
        <is>
          <t>шт.</t>
        </is>
      </c>
      <c r="D239" s="17" t="n"/>
      <c r="E239" s="17" t="n"/>
      <c r="F239" s="17" t="n"/>
      <c r="G239" s="17" t="n"/>
      <c r="H239" s="46">
        <f>J239</f>
        <v/>
      </c>
      <c r="I239" s="34" t="n"/>
      <c r="J239" s="112" t="n">
        <v>8</v>
      </c>
      <c r="K239" s="131" t="n">
        <v>260</v>
      </c>
      <c r="L239" s="94">
        <f>K239*J239</f>
        <v/>
      </c>
      <c r="M239" s="124" t="n">
        <v>260</v>
      </c>
      <c r="N239" s="119" t="inlineStr">
        <is>
          <t>по договору</t>
        </is>
      </c>
      <c r="O239" s="125" t="inlineStr">
        <is>
          <t>Цена Согласована Марк</t>
        </is>
      </c>
      <c r="P239" s="186">
        <f>M239*J239</f>
        <v/>
      </c>
      <c r="Q239" s="186">
        <f>P239-L239</f>
        <v/>
      </c>
      <c r="S239" s="187" t="n">
        <v>286</v>
      </c>
      <c r="T239" s="187">
        <f>S239*J239</f>
        <v/>
      </c>
      <c r="U239" s="187">
        <f>T239-Y239</f>
        <v/>
      </c>
      <c r="V239" s="188" t="inlineStr">
        <is>
          <t>По Вашему максимуму</t>
        </is>
      </c>
      <c r="W239" s="188" t="n"/>
      <c r="X239" s="119" t="inlineStr">
        <is>
          <t>Больше в 5 раз? Издеваетесь? Максимум + 10%</t>
        </is>
      </c>
      <c r="Y239" s="182">
        <f>IF(X239="ок",N(L239),IF(ISNUMBER(M239),M239*J239,N(L239)))</f>
        <v/>
      </c>
      <c r="Z239" s="182">
        <f>T239</f>
        <v/>
      </c>
    </row>
    <row r="240">
      <c r="A240" s="100" t="inlineStr">
        <is>
          <t>5,36</t>
        </is>
      </c>
      <c r="B240" s="19" t="inlineStr">
        <is>
          <t>ПНР 10й этаж</t>
        </is>
      </c>
      <c r="C240" s="17" t="inlineStr">
        <is>
          <t>к-т</t>
        </is>
      </c>
      <c r="D240" s="17" t="n"/>
      <c r="E240" s="17" t="n"/>
      <c r="F240" s="17" t="n"/>
      <c r="G240" s="17" t="n"/>
      <c r="H240" s="46">
        <f>J240</f>
        <v/>
      </c>
      <c r="I240" s="34" t="n"/>
      <c r="J240" s="112" t="n">
        <v>1</v>
      </c>
      <c r="K240" s="128" t="n">
        <v>120000</v>
      </c>
      <c r="L240" s="94">
        <f>K240*J240</f>
        <v/>
      </c>
      <c r="M240" s="127" t="n">
        <v>120000</v>
      </c>
      <c r="N240" s="119" t="inlineStr">
        <is>
          <t>по тип.эт</t>
        </is>
      </c>
      <c r="P240" s="186">
        <f>M240*J240</f>
        <v/>
      </c>
      <c r="Q240" s="186">
        <f>P240-L240</f>
        <v/>
      </c>
      <c r="S240" s="184" t="n">
        <v>156000</v>
      </c>
      <c r="T240" s="184">
        <f>S240*J240</f>
        <v/>
      </c>
      <c r="U240" s="184">
        <f>T240-Y240</f>
        <v/>
      </c>
      <c r="V240" s="185" t="inlineStr">
        <is>
          <t>Компромисс</t>
        </is>
      </c>
      <c r="W240" s="185" t="n"/>
      <c r="Y240" s="182">
        <f>IF(X240="ок",N(L240),IF(ISNUMBER(M240),M240*J240,N(L240)))</f>
        <v/>
      </c>
      <c r="Z240" s="182">
        <f>T240</f>
        <v/>
      </c>
    </row>
    <row r="241" ht="22.5" customHeight="1" s="155">
      <c r="A241" s="88" t="inlineStr">
        <is>
          <t>6</t>
        </is>
      </c>
      <c r="B241" s="27" t="inlineStr">
        <is>
          <t>Вентиляция 2 этаж</t>
        </is>
      </c>
      <c r="C241" s="28" t="n"/>
      <c r="D241" s="28" t="n"/>
      <c r="E241" s="28" t="n"/>
      <c r="F241" s="28" t="n"/>
      <c r="G241" s="28" t="n"/>
      <c r="H241" s="32" t="n"/>
      <c r="I241" s="54" t="n"/>
      <c r="J241" s="61" t="n"/>
      <c r="K241" s="42" t="n"/>
      <c r="L241" s="99">
        <f>SUM(L242:L314)</f>
        <v/>
      </c>
      <c r="S241" s="180" t="n"/>
      <c r="T241" s="180" t="n"/>
      <c r="U241" s="180" t="n"/>
      <c r="V241" s="180" t="n"/>
      <c r="W241" s="180" t="n"/>
      <c r="Y241" s="180" t="n"/>
      <c r="Z241" s="180" t="n"/>
    </row>
    <row r="242" ht="38.25" customHeight="1" s="155">
      <c r="A242" s="100" t="inlineStr">
        <is>
          <t>6,1</t>
        </is>
      </c>
      <c r="B242" s="19" t="inlineStr">
        <is>
          <t>Решетка защитная круглая, Ø100 БСК 100</t>
        </is>
      </c>
      <c r="C242" s="17" t="inlineStr">
        <is>
          <t>шт.</t>
        </is>
      </c>
      <c r="D242" s="17" t="n"/>
      <c r="E242" s="17" t="n"/>
      <c r="F242" s="17" t="n"/>
      <c r="G242" s="17" t="n"/>
      <c r="H242" s="34" t="n"/>
      <c r="I242" s="46" t="n">
        <v>3</v>
      </c>
      <c r="J242" s="114">
        <f>I242</f>
        <v/>
      </c>
      <c r="K242" s="128" t="n">
        <v>1296</v>
      </c>
      <c r="L242" s="94">
        <f>K242*I242</f>
        <v/>
      </c>
      <c r="M242" s="170" t="n">
        <v>185</v>
      </c>
      <c r="N242" s="127" t="inlineStr">
        <is>
          <t>по договору</t>
        </is>
      </c>
      <c r="P242" s="186">
        <f>M242*J242</f>
        <v/>
      </c>
      <c r="Q242" s="186">
        <f>P242-L242</f>
        <v/>
      </c>
      <c r="S242" s="184" t="n">
        <v>240</v>
      </c>
      <c r="T242" s="184">
        <f>S242*J242</f>
        <v/>
      </c>
      <c r="U242" s="184">
        <f>T242-Y242</f>
        <v/>
      </c>
      <c r="V242" s="185" t="inlineStr">
        <is>
          <t>Компромисс</t>
        </is>
      </c>
      <c r="W242" s="185" t="n"/>
      <c r="X242" s="119" t="inlineStr">
        <is>
          <t>Внимательнее смотрите согласованные цены</t>
        </is>
      </c>
      <c r="Y242" s="182">
        <f>IF(X242="ок",N(L242),IF(ISNUMBER(M242),M242*J242,N(L242)))</f>
        <v/>
      </c>
      <c r="Z242" s="182">
        <f>T242</f>
        <v/>
      </c>
    </row>
    <row r="243" ht="38.25" customHeight="1" s="155">
      <c r="A243" s="100" t="inlineStr">
        <is>
          <t>6,2</t>
        </is>
      </c>
      <c r="B243" s="19" t="inlineStr">
        <is>
          <t xml:space="preserve">Решетка защитная круглая, Ø160 БСК 160 </t>
        </is>
      </c>
      <c r="C243" s="17" t="inlineStr">
        <is>
          <t>шт.</t>
        </is>
      </c>
      <c r="D243" s="17" t="n"/>
      <c r="E243" s="17" t="n"/>
      <c r="F243" s="17" t="n"/>
      <c r="G243" s="17" t="n"/>
      <c r="H243" s="34" t="n"/>
      <c r="I243" s="46" t="n">
        <v>1</v>
      </c>
      <c r="J243" s="114">
        <f>I243</f>
        <v/>
      </c>
      <c r="K243" s="128" t="n">
        <v>1296</v>
      </c>
      <c r="L243" s="94">
        <f>K243*I243</f>
        <v/>
      </c>
      <c r="M243" s="170" t="n">
        <v>205.66</v>
      </c>
      <c r="N243" s="127" t="inlineStr">
        <is>
          <t>по договору</t>
        </is>
      </c>
      <c r="P243" s="186">
        <f>M243*J243</f>
        <v/>
      </c>
      <c r="Q243" s="186">
        <f>P243-L243</f>
        <v/>
      </c>
      <c r="S243" s="184" t="n">
        <v>265</v>
      </c>
      <c r="T243" s="184">
        <f>S243*J243</f>
        <v/>
      </c>
      <c r="U243" s="184">
        <f>T243-Y243</f>
        <v/>
      </c>
      <c r="V243" s="185" t="inlineStr">
        <is>
          <t>Компромисс</t>
        </is>
      </c>
      <c r="W243" s="185" t="n"/>
      <c r="X243" s="119" t="inlineStr">
        <is>
          <t>Внимательнее смотрите согласованные цены</t>
        </is>
      </c>
      <c r="Y243" s="182">
        <f>IF(X243="ок",N(L243),IF(ISNUMBER(M243),M243*J243,N(L243)))</f>
        <v/>
      </c>
      <c r="Z243" s="182">
        <f>T243</f>
        <v/>
      </c>
    </row>
    <row r="244" ht="38.25" customHeight="1" s="155">
      <c r="A244" s="100" t="inlineStr">
        <is>
          <t>6,3</t>
        </is>
      </c>
      <c r="B244" s="19" t="inlineStr">
        <is>
          <t>Решетка защитная круглая, Ø200 БСК 200</t>
        </is>
      </c>
      <c r="C244" s="17" t="inlineStr">
        <is>
          <t>шт.</t>
        </is>
      </c>
      <c r="D244" s="17" t="n"/>
      <c r="E244" s="17" t="n"/>
      <c r="F244" s="17" t="n"/>
      <c r="G244" s="17" t="n"/>
      <c r="H244" s="34" t="n"/>
      <c r="I244" s="46" t="n">
        <v>44</v>
      </c>
      <c r="J244" s="114">
        <f>I244</f>
        <v/>
      </c>
      <c r="K244" s="128" t="n">
        <v>1296</v>
      </c>
      <c r="L244" s="94">
        <f>K244*I244</f>
        <v/>
      </c>
      <c r="M244" s="170" t="n">
        <v>298.89</v>
      </c>
      <c r="N244" s="127" t="inlineStr">
        <is>
          <t>по договору</t>
        </is>
      </c>
      <c r="P244" s="186">
        <f>M244*J244</f>
        <v/>
      </c>
      <c r="Q244" s="186">
        <f>P244-L244</f>
        <v/>
      </c>
      <c r="S244" s="184" t="n">
        <v>385</v>
      </c>
      <c r="T244" s="184">
        <f>S244*J244</f>
        <v/>
      </c>
      <c r="U244" s="184">
        <f>T244-Y244</f>
        <v/>
      </c>
      <c r="V244" s="185" t="inlineStr">
        <is>
          <t>Компромисс</t>
        </is>
      </c>
      <c r="W244" s="185" t="n"/>
      <c r="X244" s="119" t="inlineStr">
        <is>
          <t>Внимательнее смотрите согласованные цены</t>
        </is>
      </c>
      <c r="Y244" s="182">
        <f>IF(X244="ок",N(L244),IF(ISNUMBER(M244),M244*J244,N(L244)))</f>
        <v/>
      </c>
      <c r="Z244" s="182">
        <f>T244</f>
        <v/>
      </c>
    </row>
    <row r="245">
      <c r="A245" s="100" t="inlineStr">
        <is>
          <t>6,4</t>
        </is>
      </c>
      <c r="B245" s="19" t="inlineStr">
        <is>
          <t>Диффузор круглый, Ø100 ЛК 100</t>
        </is>
      </c>
      <c r="C245" s="17" t="inlineStr">
        <is>
          <t>шт.</t>
        </is>
      </c>
      <c r="D245" s="17" t="n"/>
      <c r="E245" s="17" t="n"/>
      <c r="F245" s="17" t="n"/>
      <c r="G245" s="17" t="n"/>
      <c r="H245" s="34" t="n"/>
      <c r="I245" s="46" t="n">
        <v>8</v>
      </c>
      <c r="J245" s="114">
        <f>I245</f>
        <v/>
      </c>
      <c r="K245" s="128" t="n">
        <v>600</v>
      </c>
      <c r="L245" s="94">
        <f>K245*I245</f>
        <v/>
      </c>
      <c r="M245" s="124" t="n">
        <v>600</v>
      </c>
      <c r="N245" s="119" t="inlineStr">
        <is>
          <t>по договору</t>
        </is>
      </c>
      <c r="P245" s="186">
        <f>M245*J245</f>
        <v/>
      </c>
      <c r="Q245" s="186">
        <f>P245-L245</f>
        <v/>
      </c>
      <c r="S245" s="184" t="n">
        <v>780</v>
      </c>
      <c r="T245" s="184">
        <f>S245*J245</f>
        <v/>
      </c>
      <c r="U245" s="184">
        <f>T245-Y245</f>
        <v/>
      </c>
      <c r="V245" s="185" t="inlineStr">
        <is>
          <t>Компромисс</t>
        </is>
      </c>
      <c r="W245" s="185" t="n"/>
      <c r="Y245" s="182">
        <f>IF(X245="ок",N(L245),IF(ISNUMBER(M245),M245*J245,N(L245)))</f>
        <v/>
      </c>
      <c r="Z245" s="182">
        <f>T245</f>
        <v/>
      </c>
    </row>
    <row r="246">
      <c r="A246" s="100" t="inlineStr">
        <is>
          <t>6,5</t>
        </is>
      </c>
      <c r="B246" s="19" t="inlineStr">
        <is>
          <t>Диффузор круглый, Ø125 ЛК 125</t>
        </is>
      </c>
      <c r="C246" s="17" t="inlineStr">
        <is>
          <t>шт.</t>
        </is>
      </c>
      <c r="D246" s="17" t="n"/>
      <c r="E246" s="17" t="n"/>
      <c r="F246" s="17" t="n"/>
      <c r="G246" s="17" t="n"/>
      <c r="H246" s="34" t="n"/>
      <c r="I246" s="46" t="n">
        <v>9</v>
      </c>
      <c r="J246" s="114">
        <f>I246</f>
        <v/>
      </c>
      <c r="K246" s="128" t="n">
        <v>600</v>
      </c>
      <c r="L246" s="94">
        <f>K246*I246</f>
        <v/>
      </c>
      <c r="M246" s="124" t="n">
        <v>600</v>
      </c>
      <c r="N246" s="119" t="inlineStr">
        <is>
          <t>по договору</t>
        </is>
      </c>
      <c r="P246" s="186">
        <f>M246*J246</f>
        <v/>
      </c>
      <c r="Q246" s="186">
        <f>P246-L246</f>
        <v/>
      </c>
      <c r="S246" s="184" t="n">
        <v>780</v>
      </c>
      <c r="T246" s="184">
        <f>S246*J246</f>
        <v/>
      </c>
      <c r="U246" s="184">
        <f>T246-Y246</f>
        <v/>
      </c>
      <c r="V246" s="185" t="inlineStr">
        <is>
          <t>Компромисс</t>
        </is>
      </c>
      <c r="W246" s="185" t="n"/>
      <c r="Y246" s="182">
        <f>IF(X246="ок",N(L246),IF(ISNUMBER(M246),M246*J246,N(L246)))</f>
        <v/>
      </c>
      <c r="Z246" s="182">
        <f>T246</f>
        <v/>
      </c>
    </row>
    <row r="247">
      <c r="A247" s="100" t="inlineStr">
        <is>
          <t>6,6</t>
        </is>
      </c>
      <c r="B247" s="19" t="inlineStr">
        <is>
          <t>Диффузор круглый, Ø160 ЛК 160</t>
        </is>
      </c>
      <c r="C247" s="17" t="inlineStr">
        <is>
          <t>шт.</t>
        </is>
      </c>
      <c r="D247" s="17" t="n"/>
      <c r="E247" s="17" t="n"/>
      <c r="F247" s="17" t="n"/>
      <c r="G247" s="17" t="n"/>
      <c r="H247" s="34" t="n"/>
      <c r="I247" s="46" t="n">
        <v>2</v>
      </c>
      <c r="J247" s="114">
        <f>I247</f>
        <v/>
      </c>
      <c r="K247" s="128" t="n">
        <v>600</v>
      </c>
      <c r="L247" s="94">
        <f>K247*I247</f>
        <v/>
      </c>
      <c r="M247" s="124" t="n">
        <v>600</v>
      </c>
      <c r="N247" s="119" t="inlineStr">
        <is>
          <t>по договору</t>
        </is>
      </c>
      <c r="P247" s="186">
        <f>M247*J247</f>
        <v/>
      </c>
      <c r="Q247" s="186">
        <f>P247-L247</f>
        <v/>
      </c>
      <c r="S247" s="184" t="n">
        <v>780</v>
      </c>
      <c r="T247" s="184">
        <f>S247*J247</f>
        <v/>
      </c>
      <c r="U247" s="184">
        <f>T247-Y247</f>
        <v/>
      </c>
      <c r="V247" s="185" t="inlineStr">
        <is>
          <t>Компромисс</t>
        </is>
      </c>
      <c r="W247" s="185" t="n"/>
      <c r="Y247" s="182">
        <f>IF(X247="ок",N(L247),IF(ISNUMBER(M247),M247*J247,N(L247)))</f>
        <v/>
      </c>
      <c r="Z247" s="182">
        <f>T247</f>
        <v/>
      </c>
    </row>
    <row r="248">
      <c r="A248" s="100" t="inlineStr">
        <is>
          <t>6,7</t>
        </is>
      </c>
      <c r="B248" s="19" t="inlineStr">
        <is>
          <t xml:space="preserve">Диффузор круглый, Ø160 VE 160 </t>
        </is>
      </c>
      <c r="C248" s="17" t="inlineStr">
        <is>
          <t>шт.</t>
        </is>
      </c>
      <c r="D248" s="17" t="n"/>
      <c r="E248" s="17" t="n"/>
      <c r="F248" s="17" t="n"/>
      <c r="G248" s="17" t="n"/>
      <c r="H248" s="34" t="n"/>
      <c r="I248" s="46" t="n">
        <v>4</v>
      </c>
      <c r="J248" s="114">
        <f>I248</f>
        <v/>
      </c>
      <c r="K248" s="128" t="n">
        <v>600</v>
      </c>
      <c r="L248" s="94">
        <f>K248*I248</f>
        <v/>
      </c>
      <c r="M248" s="124" t="n">
        <v>600</v>
      </c>
      <c r="N248" s="119" t="inlineStr">
        <is>
          <t>по договору</t>
        </is>
      </c>
      <c r="P248" s="186">
        <f>M248*J248</f>
        <v/>
      </c>
      <c r="Q248" s="186">
        <f>P248-L248</f>
        <v/>
      </c>
      <c r="S248" s="184" t="n">
        <v>780</v>
      </c>
      <c r="T248" s="184">
        <f>S248*J248</f>
        <v/>
      </c>
      <c r="U248" s="184">
        <f>T248-Y248</f>
        <v/>
      </c>
      <c r="V248" s="185" t="inlineStr">
        <is>
          <t>Компромисс</t>
        </is>
      </c>
      <c r="W248" s="185" t="n"/>
      <c r="Y248" s="182">
        <f>IF(X248="ок",N(L248),IF(ISNUMBER(M248),M248*J248,N(L248)))</f>
        <v/>
      </c>
      <c r="Z248" s="182">
        <f>T248</f>
        <v/>
      </c>
    </row>
    <row r="249">
      <c r="A249" s="100" t="inlineStr">
        <is>
          <t>6,8</t>
        </is>
      </c>
      <c r="B249" s="19" t="inlineStr">
        <is>
          <t xml:space="preserve">Регулятор расхода воздуха, Ø100 КВК 100 </t>
        </is>
      </c>
      <c r="C249" s="17" t="inlineStr">
        <is>
          <t>шт.</t>
        </is>
      </c>
      <c r="D249" s="17" t="n"/>
      <c r="E249" s="17" t="n"/>
      <c r="F249" s="17" t="n"/>
      <c r="G249" s="17" t="n"/>
      <c r="H249" s="34" t="n"/>
      <c r="I249" s="46" t="n">
        <v>11</v>
      </c>
      <c r="J249" s="114">
        <f>I249</f>
        <v/>
      </c>
      <c r="K249" s="128" t="n">
        <v>950</v>
      </c>
      <c r="L249" s="94">
        <f>K249*I249</f>
        <v/>
      </c>
      <c r="M249" s="124" t="n">
        <v>950</v>
      </c>
      <c r="N249" s="119" t="inlineStr">
        <is>
          <t>по договору</t>
        </is>
      </c>
      <c r="P249" s="186">
        <f>M249*J249</f>
        <v/>
      </c>
      <c r="Q249" s="186">
        <f>P249-L249</f>
        <v/>
      </c>
      <c r="S249" s="184" t="n">
        <v>1230</v>
      </c>
      <c r="T249" s="184">
        <f>S249*J249</f>
        <v/>
      </c>
      <c r="U249" s="184">
        <f>T249-Y249</f>
        <v/>
      </c>
      <c r="V249" s="185" t="inlineStr">
        <is>
          <t>Компромисс</t>
        </is>
      </c>
      <c r="W249" s="185" t="n"/>
      <c r="Y249" s="182">
        <f>IF(X249="ок",N(L249),IF(ISNUMBER(M249),M249*J249,N(L249)))</f>
        <v/>
      </c>
      <c r="Z249" s="182">
        <f>T249</f>
        <v/>
      </c>
    </row>
    <row r="250">
      <c r="A250" s="100" t="inlineStr">
        <is>
          <t>6,9</t>
        </is>
      </c>
      <c r="B250" s="19" t="inlineStr">
        <is>
          <t xml:space="preserve">Регулятор расхода воздуха, Ø125 КВК 125 </t>
        </is>
      </c>
      <c r="C250" s="17" t="inlineStr">
        <is>
          <t>шт.</t>
        </is>
      </c>
      <c r="D250" s="17" t="n"/>
      <c r="E250" s="17" t="n"/>
      <c r="F250" s="17" t="n"/>
      <c r="G250" s="17" t="n"/>
      <c r="H250" s="34" t="n"/>
      <c r="I250" s="46" t="n">
        <v>3</v>
      </c>
      <c r="J250" s="114">
        <f>I250</f>
        <v/>
      </c>
      <c r="K250" s="128" t="n">
        <v>950</v>
      </c>
      <c r="L250" s="94">
        <f>K250*I250</f>
        <v/>
      </c>
      <c r="M250" s="124" t="n">
        <v>950</v>
      </c>
      <c r="N250" s="119" t="inlineStr">
        <is>
          <t>по договору</t>
        </is>
      </c>
      <c r="P250" s="186">
        <f>M250*J250</f>
        <v/>
      </c>
      <c r="Q250" s="186">
        <f>P250-L250</f>
        <v/>
      </c>
      <c r="S250" s="184" t="n">
        <v>1230</v>
      </c>
      <c r="T250" s="184">
        <f>S250*J250</f>
        <v/>
      </c>
      <c r="U250" s="184">
        <f>T250-Y250</f>
        <v/>
      </c>
      <c r="V250" s="185" t="inlineStr">
        <is>
          <t>Компромисс</t>
        </is>
      </c>
      <c r="W250" s="185" t="n"/>
      <c r="Y250" s="182">
        <f>IF(X250="ок",N(L250),IF(ISNUMBER(M250),M250*J250,N(L250)))</f>
        <v/>
      </c>
      <c r="Z250" s="182">
        <f>T250</f>
        <v/>
      </c>
    </row>
    <row r="251">
      <c r="A251" s="100" t="inlineStr">
        <is>
          <t>6,10</t>
        </is>
      </c>
      <c r="B251" s="19" t="inlineStr">
        <is>
          <t xml:space="preserve">Регулятор расхода воздуха, Ø160 КВК 160 </t>
        </is>
      </c>
      <c r="C251" s="17" t="inlineStr">
        <is>
          <t>шт.</t>
        </is>
      </c>
      <c r="D251" s="17" t="n"/>
      <c r="E251" s="17" t="n"/>
      <c r="F251" s="17" t="n"/>
      <c r="G251" s="17" t="n"/>
      <c r="H251" s="34" t="n"/>
      <c r="I251" s="46" t="n">
        <v>2</v>
      </c>
      <c r="J251" s="114">
        <f>I251</f>
        <v/>
      </c>
      <c r="K251" s="128" t="n">
        <v>950</v>
      </c>
      <c r="L251" s="94">
        <f>K251*I251</f>
        <v/>
      </c>
      <c r="M251" s="124" t="n">
        <v>950</v>
      </c>
      <c r="N251" s="119" t="inlineStr">
        <is>
          <t>по договору</t>
        </is>
      </c>
      <c r="P251" s="186">
        <f>M251*J251</f>
        <v/>
      </c>
      <c r="Q251" s="186">
        <f>P251-L251</f>
        <v/>
      </c>
      <c r="S251" s="184" t="n">
        <v>1230</v>
      </c>
      <c r="T251" s="184">
        <f>S251*J251</f>
        <v/>
      </c>
      <c r="U251" s="184">
        <f>T251-Y251</f>
        <v/>
      </c>
      <c r="V251" s="185" t="inlineStr">
        <is>
          <t>Компромисс</t>
        </is>
      </c>
      <c r="W251" s="185" t="n"/>
      <c r="Y251" s="182">
        <f>IF(X251="ок",N(L251),IF(ISNUMBER(M251),M251*J251,N(L251)))</f>
        <v/>
      </c>
      <c r="Z251" s="182">
        <f>T251</f>
        <v/>
      </c>
    </row>
    <row r="252">
      <c r="A252" s="100" t="inlineStr">
        <is>
          <t>6,11</t>
        </is>
      </c>
      <c r="B252" s="19" t="inlineStr">
        <is>
          <t>Воздуховод гофрированный, Ø100</t>
        </is>
      </c>
      <c r="C252" s="17" t="inlineStr">
        <is>
          <t>мп</t>
        </is>
      </c>
      <c r="D252" s="17" t="n"/>
      <c r="E252" s="17" t="n"/>
      <c r="F252" s="17" t="n"/>
      <c r="G252" s="17" t="n"/>
      <c r="H252" s="34" t="n"/>
      <c r="I252" s="46" t="n">
        <v>8</v>
      </c>
      <c r="J252" s="114">
        <f>I252</f>
        <v/>
      </c>
      <c r="K252" s="128" t="n">
        <v>760</v>
      </c>
      <c r="L252" s="94">
        <f>K252*I252</f>
        <v/>
      </c>
      <c r="M252" s="124" t="n">
        <v>760</v>
      </c>
      <c r="N252" s="119" t="inlineStr">
        <is>
          <t>по договору</t>
        </is>
      </c>
      <c r="P252" s="186">
        <f>M252*J252</f>
        <v/>
      </c>
      <c r="Q252" s="186">
        <f>P252-L252</f>
        <v/>
      </c>
      <c r="S252" s="184" t="n">
        <v>985</v>
      </c>
      <c r="T252" s="184">
        <f>S252*J252</f>
        <v/>
      </c>
      <c r="U252" s="184">
        <f>T252-Y252</f>
        <v/>
      </c>
      <c r="V252" s="185" t="inlineStr">
        <is>
          <t>Компромисс</t>
        </is>
      </c>
      <c r="W252" s="185" t="n"/>
      <c r="Y252" s="182">
        <f>IF(X252="ок",N(L252),IF(ISNUMBER(M252),M252*J252,N(L252)))</f>
        <v/>
      </c>
      <c r="Z252" s="182">
        <f>T252</f>
        <v/>
      </c>
    </row>
    <row r="253">
      <c r="A253" s="100" t="inlineStr">
        <is>
          <t>6,12</t>
        </is>
      </c>
      <c r="B253" s="19" t="inlineStr">
        <is>
          <t>Воздуховод гофрированный, Ø125</t>
        </is>
      </c>
      <c r="C253" s="17" t="inlineStr">
        <is>
          <t>мп</t>
        </is>
      </c>
      <c r="D253" s="17" t="n"/>
      <c r="E253" s="17" t="n"/>
      <c r="F253" s="17" t="n"/>
      <c r="G253" s="17" t="n"/>
      <c r="H253" s="34" t="n"/>
      <c r="I253" s="46" t="n">
        <v>3</v>
      </c>
      <c r="J253" s="114">
        <f>I253</f>
        <v/>
      </c>
      <c r="K253" s="128" t="n">
        <v>760</v>
      </c>
      <c r="L253" s="94">
        <f>K253*I253</f>
        <v/>
      </c>
      <c r="M253" s="124" t="n">
        <v>760</v>
      </c>
      <c r="N253" s="119" t="inlineStr">
        <is>
          <t>по договору</t>
        </is>
      </c>
      <c r="P253" s="186">
        <f>M253*J253</f>
        <v/>
      </c>
      <c r="Q253" s="186">
        <f>P253-L253</f>
        <v/>
      </c>
      <c r="S253" s="184" t="n">
        <v>985</v>
      </c>
      <c r="T253" s="184">
        <f>S253*J253</f>
        <v/>
      </c>
      <c r="U253" s="184">
        <f>T253-Y253</f>
        <v/>
      </c>
      <c r="V253" s="185" t="inlineStr">
        <is>
          <t>Компромисс</t>
        </is>
      </c>
      <c r="W253" s="185" t="n"/>
      <c r="Y253" s="182">
        <f>IF(X253="ок",N(L253),IF(ISNUMBER(M253),M253*J253,N(L253)))</f>
        <v/>
      </c>
      <c r="Z253" s="182">
        <f>T253</f>
        <v/>
      </c>
    </row>
    <row r="254">
      <c r="A254" s="100" t="inlineStr">
        <is>
          <t>6,13</t>
        </is>
      </c>
      <c r="B254" s="19" t="inlineStr">
        <is>
          <t>Воздуховод гофрированный изолированный, Ø100</t>
        </is>
      </c>
      <c r="C254" s="17" t="inlineStr">
        <is>
          <t>мп</t>
        </is>
      </c>
      <c r="D254" s="17" t="n"/>
      <c r="E254" s="17" t="n"/>
      <c r="F254" s="17" t="n"/>
      <c r="G254" s="17" t="n"/>
      <c r="H254" s="34" t="n"/>
      <c r="I254" s="46" t="n">
        <v>4</v>
      </c>
      <c r="J254" s="114">
        <f>I254</f>
        <v/>
      </c>
      <c r="K254" s="128" t="n">
        <v>760</v>
      </c>
      <c r="L254" s="94">
        <f>K254*I254</f>
        <v/>
      </c>
      <c r="M254" s="124" t="n">
        <v>760</v>
      </c>
      <c r="N254" s="119" t="inlineStr">
        <is>
          <t>по договору</t>
        </is>
      </c>
      <c r="P254" s="186">
        <f>M254*J254</f>
        <v/>
      </c>
      <c r="Q254" s="186">
        <f>P254-L254</f>
        <v/>
      </c>
      <c r="S254" s="184" t="n">
        <v>985</v>
      </c>
      <c r="T254" s="184">
        <f>S254*J254</f>
        <v/>
      </c>
      <c r="U254" s="184">
        <f>T254-Y254</f>
        <v/>
      </c>
      <c r="V254" s="185" t="inlineStr">
        <is>
          <t>Компромисс</t>
        </is>
      </c>
      <c r="W254" s="185" t="n"/>
      <c r="Y254" s="182">
        <f>IF(X254="ок",N(L254),IF(ISNUMBER(M254),M254*J254,N(L254)))</f>
        <v/>
      </c>
      <c r="Z254" s="182">
        <f>T254</f>
        <v/>
      </c>
    </row>
    <row r="255">
      <c r="A255" s="100" t="inlineStr">
        <is>
          <t>6,14</t>
        </is>
      </c>
      <c r="B255" s="19" t="inlineStr">
        <is>
          <t>Воздуховод гофрированный изолированный, Ø125</t>
        </is>
      </c>
      <c r="C255" s="17" t="inlineStr">
        <is>
          <t>мп</t>
        </is>
      </c>
      <c r="D255" s="17" t="n"/>
      <c r="E255" s="17" t="n"/>
      <c r="F255" s="17" t="n"/>
      <c r="G255" s="17" t="n"/>
      <c r="H255" s="34" t="n"/>
      <c r="I255" s="46" t="n">
        <v>7</v>
      </c>
      <c r="J255" s="114">
        <f>I255</f>
        <v/>
      </c>
      <c r="K255" s="128" t="n">
        <v>760</v>
      </c>
      <c r="L255" s="94">
        <f>K255*I255</f>
        <v/>
      </c>
      <c r="M255" s="124" t="n">
        <v>760</v>
      </c>
      <c r="N255" s="119" t="inlineStr">
        <is>
          <t>по договору</t>
        </is>
      </c>
      <c r="P255" s="186">
        <f>M255*J255</f>
        <v/>
      </c>
      <c r="Q255" s="186">
        <f>P255-L255</f>
        <v/>
      </c>
      <c r="S255" s="184" t="n">
        <v>985</v>
      </c>
      <c r="T255" s="184">
        <f>S255*J255</f>
        <v/>
      </c>
      <c r="U255" s="184">
        <f>T255-Y255</f>
        <v/>
      </c>
      <c r="V255" s="185" t="inlineStr">
        <is>
          <t>Компромисс</t>
        </is>
      </c>
      <c r="W255" s="185" t="n"/>
      <c r="Y255" s="182">
        <f>IF(X255="ок",N(L255),IF(ISNUMBER(M255),M255*J255,N(L255)))</f>
        <v/>
      </c>
      <c r="Z255" s="182">
        <f>T255</f>
        <v/>
      </c>
    </row>
    <row r="256" ht="30" customHeight="1" s="155">
      <c r="A256" s="100" t="inlineStr">
        <is>
          <t>6,15</t>
        </is>
      </c>
      <c r="B256" s="19" t="inlineStr">
        <is>
          <t>Воздуховод из оцинкованной стали толщиной 0,5мм, класса «В», Ø100</t>
        </is>
      </c>
      <c r="C256" s="17" t="inlineStr">
        <is>
          <t>мп</t>
        </is>
      </c>
      <c r="D256" s="17" t="n"/>
      <c r="E256" s="17" t="n"/>
      <c r="F256" s="17" t="n"/>
      <c r="G256" s="17" t="n"/>
      <c r="H256" s="34" t="n"/>
      <c r="I256" s="46" t="n">
        <v>36</v>
      </c>
      <c r="J256" s="114">
        <f>I256</f>
        <v/>
      </c>
      <c r="K256" s="128" t="n">
        <v>950</v>
      </c>
      <c r="L256" s="94">
        <f>K256*I256</f>
        <v/>
      </c>
      <c r="M256" s="124" t="n">
        <v>950</v>
      </c>
      <c r="N256" s="119" t="inlineStr">
        <is>
          <t>по договору</t>
        </is>
      </c>
      <c r="P256" s="186">
        <f>M256*J256</f>
        <v/>
      </c>
      <c r="Q256" s="186">
        <f>P256-L256</f>
        <v/>
      </c>
      <c r="S256" s="184" t="n">
        <v>1230</v>
      </c>
      <c r="T256" s="184">
        <f>S256*J256</f>
        <v/>
      </c>
      <c r="U256" s="184">
        <f>T256-Y256</f>
        <v/>
      </c>
      <c r="V256" s="185" t="inlineStr">
        <is>
          <t>Компромисс</t>
        </is>
      </c>
      <c r="W256" s="185" t="n"/>
      <c r="Y256" s="182">
        <f>IF(X256="ок",N(L256),IF(ISNUMBER(M256),M256*J256,N(L256)))</f>
        <v/>
      </c>
      <c r="Z256" s="182">
        <f>T256</f>
        <v/>
      </c>
    </row>
    <row r="257" ht="30" customHeight="1" s="155">
      <c r="A257" s="100" t="inlineStr">
        <is>
          <t>6,16</t>
        </is>
      </c>
      <c r="B257" s="19" t="inlineStr">
        <is>
          <t>Воздуховод из оцинкованной стали толщиной 0,5мм, класса «В», Ø125</t>
        </is>
      </c>
      <c r="C257" s="17" t="inlineStr">
        <is>
          <t>мп</t>
        </is>
      </c>
      <c r="D257" s="17" t="n"/>
      <c r="E257" s="17" t="n"/>
      <c r="F257" s="17" t="n"/>
      <c r="G257" s="17" t="n"/>
      <c r="H257" s="34" t="n"/>
      <c r="I257" s="46" t="n">
        <v>30</v>
      </c>
      <c r="J257" s="114">
        <f>I257</f>
        <v/>
      </c>
      <c r="K257" s="128" t="n">
        <v>689.79</v>
      </c>
      <c r="L257" s="94">
        <f>K257*I257</f>
        <v/>
      </c>
      <c r="M257" s="124" t="n">
        <v>689.79</v>
      </c>
      <c r="N257" s="119" t="inlineStr">
        <is>
          <t>по договору</t>
        </is>
      </c>
      <c r="P257" s="186">
        <f>M257*J257</f>
        <v/>
      </c>
      <c r="Q257" s="186">
        <f>P257-L257</f>
        <v/>
      </c>
      <c r="S257" s="184" t="n">
        <v>895</v>
      </c>
      <c r="T257" s="184">
        <f>S257*J257</f>
        <v/>
      </c>
      <c r="U257" s="184">
        <f>T257-Y257</f>
        <v/>
      </c>
      <c r="V257" s="185" t="inlineStr">
        <is>
          <t>Компромисс</t>
        </is>
      </c>
      <c r="W257" s="185" t="n"/>
      <c r="Y257" s="182">
        <f>IF(X257="ок",N(L257),IF(ISNUMBER(M257),M257*J257,N(L257)))</f>
        <v/>
      </c>
      <c r="Z257" s="182">
        <f>T257</f>
        <v/>
      </c>
    </row>
    <row r="258" ht="30" customHeight="1" s="155">
      <c r="A258" s="100" t="inlineStr">
        <is>
          <t>6,17</t>
        </is>
      </c>
      <c r="B258" s="19" t="inlineStr">
        <is>
          <t>Воздуховод из оцинкованной стали толщиной 0,5мм, класса «В», Ø160</t>
        </is>
      </c>
      <c r="C258" s="17" t="inlineStr">
        <is>
          <t>мп</t>
        </is>
      </c>
      <c r="D258" s="17" t="n"/>
      <c r="E258" s="17" t="n"/>
      <c r="F258" s="17" t="n"/>
      <c r="G258" s="17" t="n"/>
      <c r="H258" s="34" t="n"/>
      <c r="I258" s="46" t="n">
        <v>3</v>
      </c>
      <c r="J258" s="114">
        <f>I258</f>
        <v/>
      </c>
      <c r="K258" s="128" t="n">
        <v>862.23</v>
      </c>
      <c r="L258" s="94">
        <f>K258*I258</f>
        <v/>
      </c>
      <c r="M258" s="124" t="n">
        <v>862.23</v>
      </c>
      <c r="N258" s="119" t="inlineStr">
        <is>
          <t>по договору</t>
        </is>
      </c>
      <c r="P258" s="186">
        <f>M258*J258</f>
        <v/>
      </c>
      <c r="Q258" s="186">
        <f>P258-L258</f>
        <v/>
      </c>
      <c r="S258" s="184" t="n">
        <v>1120</v>
      </c>
      <c r="T258" s="184">
        <f>S258*J258</f>
        <v/>
      </c>
      <c r="U258" s="184">
        <f>T258-Y258</f>
        <v/>
      </c>
      <c r="V258" s="185" t="inlineStr">
        <is>
          <t>Компромисс</t>
        </is>
      </c>
      <c r="W258" s="185" t="n"/>
      <c r="Y258" s="182">
        <f>IF(X258="ок",N(L258),IF(ISNUMBER(M258),M258*J258,N(L258)))</f>
        <v/>
      </c>
      <c r="Z258" s="182">
        <f>T258</f>
        <v/>
      </c>
    </row>
    <row r="259" ht="30" customHeight="1" s="155">
      <c r="A259" s="100" t="inlineStr">
        <is>
          <t>6,18</t>
        </is>
      </c>
      <c r="B259" s="19" t="inlineStr">
        <is>
          <t>Воздуховод из оцинкованной стали толщиной 0,5мм, класса «В», Ø200</t>
        </is>
      </c>
      <c r="C259" s="17" t="inlineStr">
        <is>
          <t>мп</t>
        </is>
      </c>
      <c r="D259" s="17" t="n"/>
      <c r="E259" s="17" t="n"/>
      <c r="F259" s="17" t="n"/>
      <c r="G259" s="17" t="n"/>
      <c r="H259" s="34" t="n"/>
      <c r="I259" s="46" t="n">
        <v>55</v>
      </c>
      <c r="J259" s="114">
        <f>I259</f>
        <v/>
      </c>
      <c r="K259" s="128" t="n">
        <v>862.23</v>
      </c>
      <c r="L259" s="94">
        <f>K259*I259</f>
        <v/>
      </c>
      <c r="M259" s="124" t="n">
        <v>862.23</v>
      </c>
      <c r="N259" s="119" t="inlineStr">
        <is>
          <t>по договору</t>
        </is>
      </c>
      <c r="P259" s="186">
        <f>M259*J259</f>
        <v/>
      </c>
      <c r="Q259" s="186">
        <f>P259-L259</f>
        <v/>
      </c>
      <c r="S259" s="184" t="n">
        <v>1120</v>
      </c>
      <c r="T259" s="184">
        <f>S259*J259</f>
        <v/>
      </c>
      <c r="U259" s="184">
        <f>T259-Y259</f>
        <v/>
      </c>
      <c r="V259" s="185" t="inlineStr">
        <is>
          <t>Компромисс</t>
        </is>
      </c>
      <c r="W259" s="185" t="n"/>
      <c r="Y259" s="182">
        <f>IF(X259="ок",N(L259),IF(ISNUMBER(M259),M259*J259,N(L259)))</f>
        <v/>
      </c>
      <c r="Z259" s="182">
        <f>T259</f>
        <v/>
      </c>
    </row>
    <row r="260" ht="30" customHeight="1" s="155">
      <c r="A260" s="100" t="inlineStr">
        <is>
          <t>6,19</t>
        </is>
      </c>
      <c r="B260" s="19" t="inlineStr">
        <is>
          <t>Воздуховод из оцинкованной стали толщиной 0,6мм, класса «В», Ø250</t>
        </is>
      </c>
      <c r="C260" s="17" t="inlineStr">
        <is>
          <t>мп</t>
        </is>
      </c>
      <c r="D260" s="17" t="n"/>
      <c r="E260" s="17" t="n"/>
      <c r="F260" s="17" t="n"/>
      <c r="G260" s="17" t="n"/>
      <c r="H260" s="34" t="n"/>
      <c r="I260" s="46" t="n">
        <v>6</v>
      </c>
      <c r="J260" s="114">
        <f>I260</f>
        <v/>
      </c>
      <c r="K260" s="128" t="n">
        <v>1077.79</v>
      </c>
      <c r="L260" s="94">
        <f>K260*I260</f>
        <v/>
      </c>
      <c r="M260" s="124" t="n">
        <v>1077.79</v>
      </c>
      <c r="N260" s="119" t="inlineStr">
        <is>
          <t>по договору</t>
        </is>
      </c>
      <c r="P260" s="186">
        <f>M260*J260</f>
        <v/>
      </c>
      <c r="Q260" s="186">
        <f>P260-L260</f>
        <v/>
      </c>
      <c r="S260" s="184" t="n">
        <v>1393.2</v>
      </c>
      <c r="T260" s="184">
        <f>S260*J260</f>
        <v/>
      </c>
      <c r="U260" s="184">
        <f>T260-Y260</f>
        <v/>
      </c>
      <c r="V260" s="185" t="inlineStr">
        <is>
          <t>Компромисс</t>
        </is>
      </c>
      <c r="W260" s="185" t="n"/>
      <c r="Y260" s="182">
        <f>IF(X260="ок",N(L260),IF(ISNUMBER(M260),M260*J260,N(L260)))</f>
        <v/>
      </c>
      <c r="Z260" s="182">
        <f>T260</f>
        <v/>
      </c>
    </row>
    <row r="261" ht="30" customHeight="1" s="155">
      <c r="A261" s="100" t="inlineStr">
        <is>
          <t>6,20</t>
        </is>
      </c>
      <c r="B261" s="19" t="inlineStr">
        <is>
          <t>Воздуховод из оцинкованной стали толщиной 0,7мм, класса «В», 300x200</t>
        </is>
      </c>
      <c r="C261" s="17" t="inlineStr">
        <is>
          <t>мп</t>
        </is>
      </c>
      <c r="D261" s="17" t="n"/>
      <c r="E261" s="17" t="n"/>
      <c r="F261" s="17" t="n"/>
      <c r="G261" s="17" t="n"/>
      <c r="H261" s="34" t="n"/>
      <c r="I261" s="46" t="n">
        <v>45</v>
      </c>
      <c r="J261" s="114">
        <f>I261</f>
        <v/>
      </c>
      <c r="K261" s="38" t="n">
        <v>1620</v>
      </c>
      <c r="L261" s="94">
        <f>K261*I261</f>
        <v/>
      </c>
      <c r="S261" s="182" t="n"/>
      <c r="T261" s="182" t="n"/>
      <c r="U261" s="182" t="n"/>
      <c r="V261" s="183" t="n"/>
      <c r="W261" s="183" t="n"/>
      <c r="Y261" s="182">
        <f>IF(X261="ок",N(L261),IF(ISNUMBER(M261),M261*J261,N(L261)))</f>
        <v/>
      </c>
      <c r="Z261" s="182">
        <f>Y261</f>
        <v/>
      </c>
    </row>
    <row r="262" ht="30" customHeight="1" s="155">
      <c r="A262" s="100" t="inlineStr">
        <is>
          <t>6,21</t>
        </is>
      </c>
      <c r="B262" s="19" t="inlineStr">
        <is>
          <t>Воздуховод из оцинкованной стали толщиной 0,7мм, класса «В», 300x250</t>
        </is>
      </c>
      <c r="C262" s="17" t="inlineStr">
        <is>
          <t>мп</t>
        </is>
      </c>
      <c r="D262" s="17" t="n"/>
      <c r="E262" s="17" t="n"/>
      <c r="F262" s="17" t="n"/>
      <c r="G262" s="17" t="n"/>
      <c r="H262" s="34" t="n"/>
      <c r="I262" s="46" t="n">
        <v>11</v>
      </c>
      <c r="J262" s="114">
        <f>I262</f>
        <v/>
      </c>
      <c r="K262" s="38" t="n">
        <v>1944</v>
      </c>
      <c r="L262" s="94">
        <f>K262*I262</f>
        <v/>
      </c>
      <c r="S262" s="182" t="n"/>
      <c r="T262" s="182" t="n"/>
      <c r="U262" s="182" t="n"/>
      <c r="V262" s="183" t="n"/>
      <c r="W262" s="183" t="n"/>
      <c r="Y262" s="182">
        <f>IF(X262="ок",N(L262),IF(ISNUMBER(M262),M262*J262,N(L262)))</f>
        <v/>
      </c>
      <c r="Z262" s="182">
        <f>Y262</f>
        <v/>
      </c>
    </row>
    <row r="263" ht="30" customHeight="1" s="155">
      <c r="A263" s="100" t="inlineStr">
        <is>
          <t>6,22</t>
        </is>
      </c>
      <c r="B263" s="19" t="inlineStr">
        <is>
          <t>Воздуховод из оцинкованной стали толщиной 0,7мм, класса «В», 400x200</t>
        </is>
      </c>
      <c r="C263" s="17" t="inlineStr">
        <is>
          <t>мп</t>
        </is>
      </c>
      <c r="D263" s="17" t="n"/>
      <c r="E263" s="17" t="n"/>
      <c r="F263" s="17" t="n"/>
      <c r="G263" s="17" t="n"/>
      <c r="H263" s="34" t="n"/>
      <c r="I263" s="46" t="n">
        <v>22</v>
      </c>
      <c r="J263" s="114">
        <f>I263</f>
        <v/>
      </c>
      <c r="K263" s="38" t="n">
        <v>1944</v>
      </c>
      <c r="L263" s="94">
        <f>K263*I263</f>
        <v/>
      </c>
      <c r="S263" s="182" t="n"/>
      <c r="T263" s="182" t="n"/>
      <c r="U263" s="182" t="n"/>
      <c r="V263" s="183" t="n"/>
      <c r="W263" s="183" t="n"/>
      <c r="Y263" s="182">
        <f>IF(X263="ок",N(L263),IF(ISNUMBER(M263),M263*J263,N(L263)))</f>
        <v/>
      </c>
      <c r="Z263" s="182">
        <f>Y263</f>
        <v/>
      </c>
    </row>
    <row r="264" ht="30" customHeight="1" s="155">
      <c r="A264" s="100" t="inlineStr">
        <is>
          <t>6,23</t>
        </is>
      </c>
      <c r="B264" s="19" t="inlineStr">
        <is>
          <t>Воздуховод из оцинкованной стали толщиной 0,7мм, класса «В», 600x250</t>
        </is>
      </c>
      <c r="C264" s="17" t="inlineStr">
        <is>
          <t>мп</t>
        </is>
      </c>
      <c r="D264" s="17" t="n"/>
      <c r="E264" s="17" t="n"/>
      <c r="F264" s="17" t="n"/>
      <c r="G264" s="17" t="n"/>
      <c r="H264" s="34" t="n"/>
      <c r="I264" s="46" t="n">
        <v>28</v>
      </c>
      <c r="J264" s="114">
        <f>I264</f>
        <v/>
      </c>
      <c r="K264" s="38" t="n">
        <v>2592</v>
      </c>
      <c r="L264" s="94">
        <f>K264*I264</f>
        <v/>
      </c>
      <c r="S264" s="182" t="n"/>
      <c r="T264" s="182" t="n"/>
      <c r="U264" s="182" t="n"/>
      <c r="V264" s="183" t="n"/>
      <c r="W264" s="183" t="n"/>
      <c r="Y264" s="182">
        <f>IF(X264="ок",N(L264),IF(ISNUMBER(M264),M264*J264,N(L264)))</f>
        <v/>
      </c>
      <c r="Z264" s="182">
        <f>Y264</f>
        <v/>
      </c>
    </row>
    <row r="265" ht="30" customHeight="1" s="155">
      <c r="A265" s="100" t="inlineStr">
        <is>
          <t>6,24</t>
        </is>
      </c>
      <c r="B265" s="19" t="inlineStr">
        <is>
          <t>Воздуховод из оцинкованной стали толщиной 0,7мм, класса «В», 700x200</t>
        </is>
      </c>
      <c r="C265" s="17" t="inlineStr">
        <is>
          <t>мп</t>
        </is>
      </c>
      <c r="D265" s="17" t="n"/>
      <c r="E265" s="17" t="n"/>
      <c r="F265" s="17" t="n"/>
      <c r="G265" s="17" t="n"/>
      <c r="H265" s="34" t="n"/>
      <c r="I265" s="46" t="n">
        <v>1</v>
      </c>
      <c r="J265" s="114">
        <f>I265</f>
        <v/>
      </c>
      <c r="K265" s="128" t="n">
        <v>2720</v>
      </c>
      <c r="L265" s="94">
        <f>K265*I265</f>
        <v/>
      </c>
      <c r="M265" s="124" t="n">
        <v>2720</v>
      </c>
      <c r="P265" s="186">
        <f>M265*J265</f>
        <v/>
      </c>
      <c r="Q265" s="186">
        <f>P265-L265</f>
        <v/>
      </c>
      <c r="S265" s="184" t="n">
        <v>3000</v>
      </c>
      <c r="T265" s="184">
        <f>S265*J265</f>
        <v/>
      </c>
      <c r="U265" s="184">
        <f>T265-Y265</f>
        <v/>
      </c>
      <c r="V265" s="185" t="inlineStr">
        <is>
          <t>Компромисс</t>
        </is>
      </c>
      <c r="W265" s="185" t="n"/>
      <c r="Y265" s="182">
        <f>IF(X265="ок",N(L265),IF(ISNUMBER(M265),M265*J265,N(L265)))</f>
        <v/>
      </c>
      <c r="Z265" s="182">
        <f>T265</f>
        <v/>
      </c>
    </row>
    <row r="266" ht="30" customHeight="1" s="155">
      <c r="A266" s="100" t="inlineStr">
        <is>
          <t>6,25</t>
        </is>
      </c>
      <c r="B266" s="19" t="inlineStr">
        <is>
          <t>Отвод 150 из оцинкованной стали толщиной 0,5мм, класса «В», Ø200</t>
        </is>
      </c>
      <c r="C266" s="17" t="inlineStr">
        <is>
          <t>шт.</t>
        </is>
      </c>
      <c r="D266" s="17" t="n"/>
      <c r="E266" s="17" t="n"/>
      <c r="F266" s="17" t="n"/>
      <c r="G266" s="17" t="n"/>
      <c r="H266" s="34" t="n"/>
      <c r="I266" s="46" t="n">
        <v>2</v>
      </c>
      <c r="J266" s="114">
        <f>I266</f>
        <v/>
      </c>
      <c r="K266" s="128" t="n">
        <v>855</v>
      </c>
      <c r="L266" s="94">
        <f>K266*I266</f>
        <v/>
      </c>
      <c r="M266" s="124" t="n">
        <v>340</v>
      </c>
      <c r="P266" s="186">
        <f>M266*J266</f>
        <v/>
      </c>
      <c r="Q266" s="186">
        <f>P266-L266</f>
        <v/>
      </c>
      <c r="S266" s="187" t="n">
        <v>855</v>
      </c>
      <c r="T266" s="187">
        <f>S266*J266</f>
        <v/>
      </c>
      <c r="U266" s="187">
        <f>T266-Y266</f>
        <v/>
      </c>
      <c r="V266" s="188" t="inlineStr">
        <is>
          <t>Согласно (ок)</t>
        </is>
      </c>
      <c r="W266" s="188" t="n"/>
      <c r="X266" s="127" t="inlineStr">
        <is>
          <t>ок</t>
        </is>
      </c>
      <c r="Y266" s="182">
        <f>IF(X266="ок",N(L266),IF(ISNUMBER(M266),M266*J266,N(L266)))</f>
        <v/>
      </c>
      <c r="Z266" s="182">
        <f>T266</f>
        <v/>
      </c>
    </row>
    <row r="267" ht="30" customHeight="1" s="155">
      <c r="A267" s="100" t="inlineStr">
        <is>
          <t>6,26</t>
        </is>
      </c>
      <c r="B267" s="19" t="inlineStr">
        <is>
          <t>Отвод 150 из оцинкованной стали толщиной 0,7мм, класса «В», 600x250</t>
        </is>
      </c>
      <c r="C267" s="17" t="inlineStr">
        <is>
          <t>шт.</t>
        </is>
      </c>
      <c r="D267" s="17" t="n"/>
      <c r="E267" s="17" t="n"/>
      <c r="F267" s="17" t="n"/>
      <c r="G267" s="17" t="n"/>
      <c r="H267" s="34" t="n"/>
      <c r="I267" s="46" t="n">
        <v>2</v>
      </c>
      <c r="J267" s="114">
        <f>I267</f>
        <v/>
      </c>
      <c r="K267" s="128" t="n">
        <v>855</v>
      </c>
      <c r="L267" s="94">
        <f>K267*I267</f>
        <v/>
      </c>
      <c r="M267" s="124" t="n">
        <v>855</v>
      </c>
      <c r="N267" s="119" t="inlineStr">
        <is>
          <t>по договру</t>
        </is>
      </c>
      <c r="P267" s="186">
        <f>M267*J267</f>
        <v/>
      </c>
      <c r="Q267" s="186">
        <f>P267-L267</f>
        <v/>
      </c>
      <c r="S267" s="184" t="n">
        <v>1110</v>
      </c>
      <c r="T267" s="184">
        <f>S267*J267</f>
        <v/>
      </c>
      <c r="U267" s="184">
        <f>T267-Y267</f>
        <v/>
      </c>
      <c r="V267" s="185" t="inlineStr">
        <is>
          <t>Компромисс</t>
        </is>
      </c>
      <c r="W267" s="185" t="n"/>
      <c r="Y267" s="182">
        <f>IF(X267="ок",N(L267),IF(ISNUMBER(M267),M267*J267,N(L267)))</f>
        <v/>
      </c>
      <c r="Z267" s="182">
        <f>T267</f>
        <v/>
      </c>
    </row>
    <row r="268" ht="30" customHeight="1" s="155">
      <c r="A268" s="100" t="inlineStr">
        <is>
          <t>6,27</t>
        </is>
      </c>
      <c r="B268" s="19" t="inlineStr">
        <is>
          <t>Отвод 300 из оцинкованной стали толщиной 0,5мм, класса «В», Ø100</t>
        </is>
      </c>
      <c r="C268" s="17" t="inlineStr">
        <is>
          <t>шт.</t>
        </is>
      </c>
      <c r="D268" s="17" t="n"/>
      <c r="E268" s="17" t="n"/>
      <c r="F268" s="17" t="n"/>
      <c r="G268" s="17" t="n"/>
      <c r="H268" s="34" t="n"/>
      <c r="I268" s="46" t="n">
        <v>2</v>
      </c>
      <c r="J268" s="114">
        <f>I268</f>
        <v/>
      </c>
      <c r="K268" s="128" t="n">
        <v>855</v>
      </c>
      <c r="L268" s="94">
        <f>K268*I268</f>
        <v/>
      </c>
      <c r="M268" s="124" t="n">
        <v>855</v>
      </c>
      <c r="N268" s="119" t="inlineStr">
        <is>
          <t>по договру</t>
        </is>
      </c>
      <c r="P268" s="186">
        <f>M268*J268</f>
        <v/>
      </c>
      <c r="Q268" s="186">
        <f>P268-L268</f>
        <v/>
      </c>
      <c r="S268" s="184" t="n">
        <v>1020</v>
      </c>
      <c r="T268" s="184">
        <f>S268*J268</f>
        <v/>
      </c>
      <c r="U268" s="184">
        <f>T268-Y268</f>
        <v/>
      </c>
      <c r="V268" s="185" t="inlineStr">
        <is>
          <t>Компромисс</t>
        </is>
      </c>
      <c r="W268" s="185" t="n"/>
      <c r="Y268" s="182">
        <f>IF(X268="ок",N(L268),IF(ISNUMBER(M268),M268*J268,N(L268)))</f>
        <v/>
      </c>
      <c r="Z268" s="182">
        <f>T268</f>
        <v/>
      </c>
    </row>
    <row r="269" ht="30" customHeight="1" s="155">
      <c r="A269" s="100" t="inlineStr">
        <is>
          <t>6,28</t>
        </is>
      </c>
      <c r="B269" s="19" t="inlineStr">
        <is>
          <t>Отвод 300 из оцинкованной стали толщиной 0,5мм, класса «В», Ø125</t>
        </is>
      </c>
      <c r="C269" s="17" t="inlineStr">
        <is>
          <t>шт.</t>
        </is>
      </c>
      <c r="D269" s="17" t="n"/>
      <c r="E269" s="17" t="n"/>
      <c r="F269" s="17" t="n"/>
      <c r="G269" s="17" t="n"/>
      <c r="H269" s="34" t="n"/>
      <c r="I269" s="46" t="n">
        <v>1</v>
      </c>
      <c r="J269" s="114">
        <f>I269</f>
        <v/>
      </c>
      <c r="K269" s="128" t="n">
        <v>855</v>
      </c>
      <c r="L269" s="94">
        <f>K269*I269</f>
        <v/>
      </c>
      <c r="M269" s="124" t="n">
        <v>855</v>
      </c>
      <c r="N269" s="119" t="inlineStr">
        <is>
          <t>по договру</t>
        </is>
      </c>
      <c r="P269" s="186">
        <f>M269*J269</f>
        <v/>
      </c>
      <c r="Q269" s="186">
        <f>P269-L269</f>
        <v/>
      </c>
      <c r="S269" s="184" t="n">
        <v>1020</v>
      </c>
      <c r="T269" s="184">
        <f>S269*J269</f>
        <v/>
      </c>
      <c r="U269" s="184">
        <f>T269-Y269</f>
        <v/>
      </c>
      <c r="V269" s="185" t="inlineStr">
        <is>
          <t>Компромисс</t>
        </is>
      </c>
      <c r="W269" s="185" t="n"/>
      <c r="Y269" s="182">
        <f>IF(X269="ок",N(L269),IF(ISNUMBER(M269),M269*J269,N(L269)))</f>
        <v/>
      </c>
      <c r="Z269" s="182">
        <f>T269</f>
        <v/>
      </c>
    </row>
    <row r="270" ht="30" customHeight="1" s="155">
      <c r="A270" s="100" t="inlineStr">
        <is>
          <t>6,29</t>
        </is>
      </c>
      <c r="B270" s="19" t="inlineStr">
        <is>
          <t>Отвод 300 из оцинкованной стали толщиной 0,5мм, класса «В», Ø200</t>
        </is>
      </c>
      <c r="C270" s="17" t="inlineStr">
        <is>
          <t>шт.</t>
        </is>
      </c>
      <c r="D270" s="17" t="n"/>
      <c r="E270" s="17" t="n"/>
      <c r="F270" s="17" t="n"/>
      <c r="G270" s="17" t="n"/>
      <c r="H270" s="34" t="n"/>
      <c r="I270" s="46" t="n">
        <v>5</v>
      </c>
      <c r="J270" s="114">
        <f>I270</f>
        <v/>
      </c>
      <c r="K270" s="128" t="n">
        <v>855</v>
      </c>
      <c r="L270" s="94">
        <f>K270*I270</f>
        <v/>
      </c>
      <c r="M270" s="124" t="n">
        <v>855</v>
      </c>
      <c r="N270" s="119" t="inlineStr">
        <is>
          <t>по договру</t>
        </is>
      </c>
      <c r="P270" s="186">
        <f>M270*J270</f>
        <v/>
      </c>
      <c r="Q270" s="186">
        <f>P270-L270</f>
        <v/>
      </c>
      <c r="S270" s="184" t="n">
        <v>1020</v>
      </c>
      <c r="T270" s="184">
        <f>S270*J270</f>
        <v/>
      </c>
      <c r="U270" s="184">
        <f>T270-Y270</f>
        <v/>
      </c>
      <c r="V270" s="185" t="inlineStr">
        <is>
          <t>Компромисс</t>
        </is>
      </c>
      <c r="W270" s="185" t="n"/>
      <c r="Y270" s="182">
        <f>IF(X270="ок",N(L270),IF(ISNUMBER(M270),M270*J270,N(L270)))</f>
        <v/>
      </c>
      <c r="Z270" s="182">
        <f>T270</f>
        <v/>
      </c>
    </row>
    <row r="271" ht="30" customHeight="1" s="155">
      <c r="A271" s="100" t="inlineStr">
        <is>
          <t>6,30</t>
        </is>
      </c>
      <c r="B271" s="19" t="inlineStr">
        <is>
          <t>Отвод 300 из оцинкованной стали толщиной 0,6мм, класса «В», Ø250</t>
        </is>
      </c>
      <c r="C271" s="17" t="inlineStr">
        <is>
          <t>шт.</t>
        </is>
      </c>
      <c r="D271" s="17" t="n"/>
      <c r="E271" s="17" t="n"/>
      <c r="F271" s="17" t="n"/>
      <c r="G271" s="17" t="n"/>
      <c r="H271" s="34" t="n"/>
      <c r="I271" s="46" t="n">
        <v>1</v>
      </c>
      <c r="J271" s="114">
        <f>I271</f>
        <v/>
      </c>
      <c r="K271" s="128" t="n">
        <v>855</v>
      </c>
      <c r="L271" s="94">
        <f>K271*I271</f>
        <v/>
      </c>
      <c r="M271" s="124" t="n">
        <v>855</v>
      </c>
      <c r="N271" s="119" t="inlineStr">
        <is>
          <t>по договру</t>
        </is>
      </c>
      <c r="P271" s="186">
        <f>M271*J271</f>
        <v/>
      </c>
      <c r="Q271" s="186">
        <f>P271-L271</f>
        <v/>
      </c>
      <c r="S271" s="184" t="n">
        <v>1020</v>
      </c>
      <c r="T271" s="184">
        <f>S271*J271</f>
        <v/>
      </c>
      <c r="U271" s="184">
        <f>T271-Y271</f>
        <v/>
      </c>
      <c r="V271" s="185" t="inlineStr">
        <is>
          <t>Компромисс</t>
        </is>
      </c>
      <c r="W271" s="185" t="n"/>
      <c r="Y271" s="182">
        <f>IF(X271="ок",N(L271),IF(ISNUMBER(M271),M271*J271,N(L271)))</f>
        <v/>
      </c>
      <c r="Z271" s="182">
        <f>T271</f>
        <v/>
      </c>
    </row>
    <row r="272" ht="30" customHeight="1" s="155">
      <c r="A272" s="100" t="inlineStr">
        <is>
          <t>6,31</t>
        </is>
      </c>
      <c r="B272" s="19" t="inlineStr">
        <is>
          <t>Отвод 300 из оцинкованной стали толщиной 0,7мм, класса «В», 300x200</t>
        </is>
      </c>
      <c r="C272" s="17" t="inlineStr">
        <is>
          <t>шт.</t>
        </is>
      </c>
      <c r="D272" s="17" t="n"/>
      <c r="E272" s="17" t="n"/>
      <c r="F272" s="17" t="n"/>
      <c r="G272" s="17" t="n"/>
      <c r="H272" s="34" t="n"/>
      <c r="I272" s="46" t="n">
        <v>4</v>
      </c>
      <c r="J272" s="114">
        <f>I272</f>
        <v/>
      </c>
      <c r="K272" s="128" t="n">
        <v>850</v>
      </c>
      <c r="L272" s="94">
        <f>K272*I272</f>
        <v/>
      </c>
      <c r="M272" s="124" t="n">
        <v>850</v>
      </c>
      <c r="P272" s="186">
        <f>M272*J272</f>
        <v/>
      </c>
      <c r="Q272" s="186">
        <f>P272-L272</f>
        <v/>
      </c>
      <c r="S272" s="184" t="n">
        <v>1100</v>
      </c>
      <c r="T272" s="184">
        <f>S272*J272</f>
        <v/>
      </c>
      <c r="U272" s="184">
        <f>T272-Y272</f>
        <v/>
      </c>
      <c r="V272" s="185" t="inlineStr">
        <is>
          <t>Компромисс</t>
        </is>
      </c>
      <c r="W272" s="185" t="n"/>
      <c r="Y272" s="182">
        <f>IF(X272="ок",N(L272),IF(ISNUMBER(M272),M272*J272,N(L272)))</f>
        <v/>
      </c>
      <c r="Z272" s="182">
        <f>T272</f>
        <v/>
      </c>
    </row>
    <row r="273" ht="30" customHeight="1" s="155">
      <c r="A273" s="100" t="inlineStr">
        <is>
          <t>6,32</t>
        </is>
      </c>
      <c r="B273" s="19" t="inlineStr">
        <is>
          <t>Отвод 300 из оцинкованной стали толщиной 0,7мм, класса «В», 300x250</t>
        </is>
      </c>
      <c r="C273" s="17" t="inlineStr">
        <is>
          <t>шт.</t>
        </is>
      </c>
      <c r="D273" s="17" t="n"/>
      <c r="E273" s="17" t="n"/>
      <c r="F273" s="17" t="n"/>
      <c r="G273" s="17" t="n"/>
      <c r="H273" s="34" t="n"/>
      <c r="I273" s="46" t="n">
        <v>1</v>
      </c>
      <c r="J273" s="114">
        <f>I273</f>
        <v/>
      </c>
      <c r="K273" s="128" t="n">
        <v>900</v>
      </c>
      <c r="L273" s="94">
        <f>K273*I273</f>
        <v/>
      </c>
      <c r="M273" s="124" t="n">
        <v>900</v>
      </c>
      <c r="P273" s="186">
        <f>M273*J273</f>
        <v/>
      </c>
      <c r="Q273" s="186">
        <f>P273-L273</f>
        <v/>
      </c>
      <c r="S273" s="184" t="n">
        <v>1170</v>
      </c>
      <c r="T273" s="184">
        <f>S273*J273</f>
        <v/>
      </c>
      <c r="U273" s="184">
        <f>T273-Y273</f>
        <v/>
      </c>
      <c r="V273" s="185" t="inlineStr">
        <is>
          <t>Компромисс</t>
        </is>
      </c>
      <c r="W273" s="185" t="n"/>
      <c r="Y273" s="182">
        <f>IF(X273="ок",N(L273),IF(ISNUMBER(M273),M273*J273,N(L273)))</f>
        <v/>
      </c>
      <c r="Z273" s="182">
        <f>T273</f>
        <v/>
      </c>
    </row>
    <row r="274" ht="30" customHeight="1" s="155">
      <c r="A274" s="100" t="inlineStr">
        <is>
          <t>6,33</t>
        </is>
      </c>
      <c r="B274" s="19" t="inlineStr">
        <is>
          <t>Отвод 450 из оцинкованной стали толщиной 0,5мм, класса «В», Ø100</t>
        </is>
      </c>
      <c r="C274" s="17" t="inlineStr">
        <is>
          <t>шт.</t>
        </is>
      </c>
      <c r="D274" s="17" t="n"/>
      <c r="E274" s="17" t="n"/>
      <c r="F274" s="17" t="n"/>
      <c r="G274" s="17" t="n"/>
      <c r="H274" s="34" t="n"/>
      <c r="I274" s="46" t="n">
        <v>11</v>
      </c>
      <c r="J274" s="114">
        <f>I274</f>
        <v/>
      </c>
      <c r="K274" s="128" t="n">
        <v>855</v>
      </c>
      <c r="L274" s="94">
        <f>K274*I274</f>
        <v/>
      </c>
      <c r="M274" s="124" t="n">
        <v>855</v>
      </c>
      <c r="N274" s="119" t="inlineStr">
        <is>
          <t>по договру</t>
        </is>
      </c>
      <c r="P274" s="186">
        <f>M274*J274</f>
        <v/>
      </c>
      <c r="Q274" s="186">
        <f>P274-L274</f>
        <v/>
      </c>
      <c r="S274" s="184" t="n">
        <v>1020</v>
      </c>
      <c r="T274" s="184">
        <f>S274*J274</f>
        <v/>
      </c>
      <c r="U274" s="184">
        <f>T274-Y274</f>
        <v/>
      </c>
      <c r="V274" s="185" t="inlineStr">
        <is>
          <t>Компромисс</t>
        </is>
      </c>
      <c r="W274" s="185" t="n"/>
      <c r="Y274" s="182">
        <f>IF(X274="ок",N(L274),IF(ISNUMBER(M274),M274*J274,N(L274)))</f>
        <v/>
      </c>
      <c r="Z274" s="182">
        <f>T274</f>
        <v/>
      </c>
    </row>
    <row r="275" ht="30" customHeight="1" s="155">
      <c r="A275" s="100" t="inlineStr">
        <is>
          <t>6,34</t>
        </is>
      </c>
      <c r="B275" s="19" t="inlineStr">
        <is>
          <t>Отвод 450 из оцинкованной стали толщиной 0,5мм, класса «В», Ø125</t>
        </is>
      </c>
      <c r="C275" s="17" t="inlineStr">
        <is>
          <t>шт.</t>
        </is>
      </c>
      <c r="D275" s="17" t="n"/>
      <c r="E275" s="17" t="n"/>
      <c r="F275" s="17" t="n"/>
      <c r="G275" s="17" t="n"/>
      <c r="H275" s="34" t="n"/>
      <c r="I275" s="46" t="n">
        <v>3</v>
      </c>
      <c r="J275" s="114">
        <f>I275</f>
        <v/>
      </c>
      <c r="K275" s="128" t="n">
        <v>855</v>
      </c>
      <c r="L275" s="94">
        <f>K275*I275</f>
        <v/>
      </c>
      <c r="M275" s="124" t="n">
        <v>855</v>
      </c>
      <c r="N275" s="119" t="inlineStr">
        <is>
          <t>по договру</t>
        </is>
      </c>
      <c r="P275" s="186">
        <f>M275*J275</f>
        <v/>
      </c>
      <c r="Q275" s="186">
        <f>P275-L275</f>
        <v/>
      </c>
      <c r="S275" s="184" t="n">
        <v>1020</v>
      </c>
      <c r="T275" s="184">
        <f>S275*J275</f>
        <v/>
      </c>
      <c r="U275" s="184">
        <f>T275-Y275</f>
        <v/>
      </c>
      <c r="V275" s="185" t="inlineStr">
        <is>
          <t>Компромисс</t>
        </is>
      </c>
      <c r="W275" s="185" t="n"/>
      <c r="Y275" s="182">
        <f>IF(X275="ок",N(L275),IF(ISNUMBER(M275),M275*J275,N(L275)))</f>
        <v/>
      </c>
      <c r="Z275" s="182">
        <f>T275</f>
        <v/>
      </c>
    </row>
    <row r="276" ht="30" customHeight="1" s="155">
      <c r="A276" s="100" t="inlineStr">
        <is>
          <t>6,35</t>
        </is>
      </c>
      <c r="B276" s="19" t="inlineStr">
        <is>
          <t>Отвод 450 из оцинкованной стали толщиной 0,5мм, класса «В», Ø200</t>
        </is>
      </c>
      <c r="C276" s="17" t="inlineStr">
        <is>
          <t>шт.</t>
        </is>
      </c>
      <c r="D276" s="17" t="n"/>
      <c r="E276" s="17" t="n"/>
      <c r="F276" s="17" t="n"/>
      <c r="G276" s="17" t="n"/>
      <c r="H276" s="34" t="n"/>
      <c r="I276" s="46" t="n">
        <v>2</v>
      </c>
      <c r="J276" s="114">
        <f>I276</f>
        <v/>
      </c>
      <c r="K276" s="128" t="n">
        <v>855</v>
      </c>
      <c r="L276" s="94">
        <f>K276*I276</f>
        <v/>
      </c>
      <c r="M276" s="124" t="n">
        <v>855</v>
      </c>
      <c r="N276" s="119" t="inlineStr">
        <is>
          <t>по договру</t>
        </is>
      </c>
      <c r="P276" s="186">
        <f>M276*J276</f>
        <v/>
      </c>
      <c r="Q276" s="186">
        <f>P276-L276</f>
        <v/>
      </c>
      <c r="S276" s="184" t="n">
        <v>1020</v>
      </c>
      <c r="T276" s="184">
        <f>S276*J276</f>
        <v/>
      </c>
      <c r="U276" s="184">
        <f>T276-Y276</f>
        <v/>
      </c>
      <c r="V276" s="185" t="inlineStr">
        <is>
          <t>Компромисс</t>
        </is>
      </c>
      <c r="W276" s="185" t="n"/>
      <c r="Y276" s="182">
        <f>IF(X276="ок",N(L276),IF(ISNUMBER(M276),M276*J276,N(L276)))</f>
        <v/>
      </c>
      <c r="Z276" s="182">
        <f>T276</f>
        <v/>
      </c>
    </row>
    <row r="277" ht="30" customHeight="1" s="155">
      <c r="A277" s="100" t="inlineStr">
        <is>
          <t>6,36</t>
        </is>
      </c>
      <c r="B277" s="19" t="inlineStr">
        <is>
          <t>Отвод 450 из оцинкованной стали толщиной 0,7мм, класса «В», 200x300</t>
        </is>
      </c>
      <c r="C277" s="17" t="inlineStr">
        <is>
          <t>шт.</t>
        </is>
      </c>
      <c r="D277" s="17" t="n"/>
      <c r="E277" s="17" t="n"/>
      <c r="F277" s="17" t="n"/>
      <c r="G277" s="17" t="n"/>
      <c r="H277" s="34" t="n"/>
      <c r="I277" s="46" t="n">
        <v>2</v>
      </c>
      <c r="J277" s="114">
        <f>I277</f>
        <v/>
      </c>
      <c r="K277" s="128" t="n">
        <v>850</v>
      </c>
      <c r="L277" s="94">
        <f>K277*I277</f>
        <v/>
      </c>
      <c r="M277" s="124" t="n">
        <v>850</v>
      </c>
      <c r="P277" s="186">
        <f>M277*J277</f>
        <v/>
      </c>
      <c r="Q277" s="186">
        <f>P277-L277</f>
        <v/>
      </c>
      <c r="S277" s="184" t="n">
        <v>1100</v>
      </c>
      <c r="T277" s="184">
        <f>S277*J277</f>
        <v/>
      </c>
      <c r="U277" s="184">
        <f>T277-Y277</f>
        <v/>
      </c>
      <c r="V277" s="185" t="inlineStr">
        <is>
          <t>Компромисс</t>
        </is>
      </c>
      <c r="W277" s="185" t="n"/>
      <c r="Y277" s="182">
        <f>IF(X277="ок",N(L277),IF(ISNUMBER(M277),M277*J277,N(L277)))</f>
        <v/>
      </c>
      <c r="Z277" s="182">
        <f>T277</f>
        <v/>
      </c>
    </row>
    <row r="278" ht="30" customHeight="1" s="155">
      <c r="A278" s="100" t="inlineStr">
        <is>
          <t>6,37</t>
        </is>
      </c>
      <c r="B278" s="19" t="inlineStr">
        <is>
          <t>Отвод 450 из оцинкованной стали толщиной 0,7мм, класса «В», 200x400</t>
        </is>
      </c>
      <c r="C278" s="17" t="inlineStr">
        <is>
          <t>шт.</t>
        </is>
      </c>
      <c r="D278" s="17" t="n"/>
      <c r="E278" s="17" t="n"/>
      <c r="F278" s="17" t="n"/>
      <c r="G278" s="17" t="n"/>
      <c r="H278" s="34" t="n"/>
      <c r="I278" s="46" t="n">
        <v>2</v>
      </c>
      <c r="J278" s="114">
        <f>I278</f>
        <v/>
      </c>
      <c r="K278" s="128" t="n">
        <v>1190</v>
      </c>
      <c r="L278" s="94">
        <f>K278*I278</f>
        <v/>
      </c>
      <c r="M278" s="124" t="n">
        <v>1190</v>
      </c>
      <c r="P278" s="186">
        <f>M278*J278</f>
        <v/>
      </c>
      <c r="Q278" s="186">
        <f>P278-L278</f>
        <v/>
      </c>
      <c r="S278" s="184" t="n">
        <v>1540</v>
      </c>
      <c r="T278" s="184">
        <f>S278*J278</f>
        <v/>
      </c>
      <c r="U278" s="184">
        <f>T278-Y278</f>
        <v/>
      </c>
      <c r="V278" s="185" t="inlineStr">
        <is>
          <t>Компромисс</t>
        </is>
      </c>
      <c r="W278" s="185" t="n"/>
      <c r="Y278" s="182">
        <f>IF(X278="ок",N(L278),IF(ISNUMBER(M278),M278*J278,N(L278)))</f>
        <v/>
      </c>
      <c r="Z278" s="182">
        <f>T278</f>
        <v/>
      </c>
    </row>
    <row r="279" ht="30" customHeight="1" s="155">
      <c r="A279" s="100" t="inlineStr">
        <is>
          <t>6,38</t>
        </is>
      </c>
      <c r="B279" s="19" t="inlineStr">
        <is>
          <t>Отвод 600 из оцинкованной стали толщиной 0,5мм, класса «В», Ø200</t>
        </is>
      </c>
      <c r="C279" s="17" t="inlineStr">
        <is>
          <t>шт.</t>
        </is>
      </c>
      <c r="D279" s="17" t="n"/>
      <c r="E279" s="17" t="n"/>
      <c r="F279" s="17" t="n"/>
      <c r="G279" s="17" t="n"/>
      <c r="H279" s="34" t="n"/>
      <c r="I279" s="46" t="n">
        <v>2</v>
      </c>
      <c r="J279" s="114">
        <f>I279</f>
        <v/>
      </c>
      <c r="K279" s="128" t="n">
        <v>855</v>
      </c>
      <c r="L279" s="94">
        <f>K279*I279</f>
        <v/>
      </c>
      <c r="M279" s="124" t="n">
        <v>855</v>
      </c>
      <c r="N279" s="119" t="inlineStr">
        <is>
          <t>по договру</t>
        </is>
      </c>
      <c r="P279" s="186">
        <f>M279*J279</f>
        <v/>
      </c>
      <c r="Q279" s="186">
        <f>P279-L279</f>
        <v/>
      </c>
      <c r="S279" s="184" t="n">
        <v>1020</v>
      </c>
      <c r="T279" s="184">
        <f>S279*J279</f>
        <v/>
      </c>
      <c r="U279" s="184">
        <f>T279-Y279</f>
        <v/>
      </c>
      <c r="V279" s="185" t="inlineStr">
        <is>
          <t>Компромисс</t>
        </is>
      </c>
      <c r="W279" s="185" t="n"/>
      <c r="Y279" s="182">
        <f>IF(X279="ок",N(L279),IF(ISNUMBER(M279),M279*J279,N(L279)))</f>
        <v/>
      </c>
      <c r="Z279" s="182">
        <f>T279</f>
        <v/>
      </c>
    </row>
    <row r="280" ht="30" customHeight="1" s="155">
      <c r="A280" s="100" t="inlineStr">
        <is>
          <t>6,39</t>
        </is>
      </c>
      <c r="B280" s="19" t="inlineStr">
        <is>
          <t>Отвод 900 из оцинкованной стали толщиной 0,5мм, класса «В», Ø100</t>
        </is>
      </c>
      <c r="C280" s="17" t="inlineStr">
        <is>
          <t>шт.</t>
        </is>
      </c>
      <c r="D280" s="17" t="n"/>
      <c r="E280" s="17" t="n"/>
      <c r="F280" s="17" t="n"/>
      <c r="G280" s="17" t="n"/>
      <c r="H280" s="34" t="n"/>
      <c r="I280" s="46" t="n">
        <v>9</v>
      </c>
      <c r="J280" s="114">
        <f>I280</f>
        <v/>
      </c>
      <c r="K280" s="128" t="n">
        <v>855</v>
      </c>
      <c r="L280" s="94">
        <f>K280*I280</f>
        <v/>
      </c>
      <c r="M280" s="124" t="n">
        <v>855</v>
      </c>
      <c r="N280" s="119" t="inlineStr">
        <is>
          <t>по договру</t>
        </is>
      </c>
      <c r="P280" s="186">
        <f>M280*J280</f>
        <v/>
      </c>
      <c r="Q280" s="186">
        <f>P280-L280</f>
        <v/>
      </c>
      <c r="S280" s="184" t="n">
        <v>1020</v>
      </c>
      <c r="T280" s="184">
        <f>S280*J280</f>
        <v/>
      </c>
      <c r="U280" s="184">
        <f>T280-Y280</f>
        <v/>
      </c>
      <c r="V280" s="185" t="inlineStr">
        <is>
          <t>Компромисс</t>
        </is>
      </c>
      <c r="W280" s="185" t="n"/>
      <c r="Y280" s="182">
        <f>IF(X280="ок",N(L280),IF(ISNUMBER(M280),M280*J280,N(L280)))</f>
        <v/>
      </c>
      <c r="Z280" s="182">
        <f>T280</f>
        <v/>
      </c>
    </row>
    <row r="281" ht="30" customHeight="1" s="155">
      <c r="A281" s="100" t="inlineStr">
        <is>
          <t>6,40</t>
        </is>
      </c>
      <c r="B281" s="19" t="inlineStr">
        <is>
          <t>Отвод 900 из оцинкованной стали толщиной 0,5мм, класса «В», Ø125</t>
        </is>
      </c>
      <c r="C281" s="17" t="inlineStr">
        <is>
          <t>шт.</t>
        </is>
      </c>
      <c r="D281" s="17" t="n"/>
      <c r="E281" s="17" t="n"/>
      <c r="F281" s="17" t="n"/>
      <c r="G281" s="17" t="n"/>
      <c r="H281" s="34" t="n"/>
      <c r="I281" s="46" t="n">
        <v>9</v>
      </c>
      <c r="J281" s="114">
        <f>I281</f>
        <v/>
      </c>
      <c r="K281" s="128" t="n">
        <v>855</v>
      </c>
      <c r="L281" s="94">
        <f>K281*I281</f>
        <v/>
      </c>
      <c r="M281" s="124" t="n">
        <v>855</v>
      </c>
      <c r="N281" s="119" t="inlineStr">
        <is>
          <t>по договру</t>
        </is>
      </c>
      <c r="P281" s="186">
        <f>M281*J281</f>
        <v/>
      </c>
      <c r="Q281" s="186">
        <f>P281-L281</f>
        <v/>
      </c>
      <c r="S281" s="184" t="n">
        <v>1020</v>
      </c>
      <c r="T281" s="184">
        <f>S281*J281</f>
        <v/>
      </c>
      <c r="U281" s="184">
        <f>T281-Y281</f>
        <v/>
      </c>
      <c r="V281" s="185" t="inlineStr">
        <is>
          <t>Компромисс</t>
        </is>
      </c>
      <c r="W281" s="185" t="n"/>
      <c r="Y281" s="182">
        <f>IF(X281="ок",N(L281),IF(ISNUMBER(M281),M281*J281,N(L281)))</f>
        <v/>
      </c>
      <c r="Z281" s="182">
        <f>T281</f>
        <v/>
      </c>
    </row>
    <row r="282" ht="30" customHeight="1" s="155">
      <c r="A282" s="100" t="inlineStr">
        <is>
          <t>6,41</t>
        </is>
      </c>
      <c r="B282" s="19" t="inlineStr">
        <is>
          <t>Отвод 900 из оцинкованной стали толщиной 0,5мм, класса «В», Ø200</t>
        </is>
      </c>
      <c r="C282" s="17" t="inlineStr">
        <is>
          <t>шт.</t>
        </is>
      </c>
      <c r="D282" s="17" t="n"/>
      <c r="E282" s="17" t="n"/>
      <c r="F282" s="17" t="n"/>
      <c r="G282" s="17" t="n"/>
      <c r="H282" s="34" t="n"/>
      <c r="I282" s="46" t="n">
        <v>10</v>
      </c>
      <c r="J282" s="114">
        <f>I282</f>
        <v/>
      </c>
      <c r="K282" s="128" t="n">
        <v>855</v>
      </c>
      <c r="L282" s="94">
        <f>K282*I282</f>
        <v/>
      </c>
      <c r="M282" s="124" t="n">
        <v>855</v>
      </c>
      <c r="N282" s="119" t="inlineStr">
        <is>
          <t>по договру</t>
        </is>
      </c>
      <c r="P282" s="186">
        <f>M282*J282</f>
        <v/>
      </c>
      <c r="Q282" s="186">
        <f>P282-L282</f>
        <v/>
      </c>
      <c r="S282" s="184" t="n">
        <v>1020</v>
      </c>
      <c r="T282" s="184">
        <f>S282*J282</f>
        <v/>
      </c>
      <c r="U282" s="184">
        <f>T282-Y282</f>
        <v/>
      </c>
      <c r="V282" s="185" t="inlineStr">
        <is>
          <t>Компромисс</t>
        </is>
      </c>
      <c r="W282" s="185" t="n"/>
      <c r="Y282" s="182">
        <f>IF(X282="ок",N(L282),IF(ISNUMBER(M282),M282*J282,N(L282)))</f>
        <v/>
      </c>
      <c r="Z282" s="182">
        <f>T282</f>
        <v/>
      </c>
    </row>
    <row r="283" ht="30" customHeight="1" s="155">
      <c r="A283" s="100" t="inlineStr">
        <is>
          <t>6,42</t>
        </is>
      </c>
      <c r="B283" s="19" t="inlineStr">
        <is>
          <t>Отвод 900 из оцинкованной стали толщиной 0,6мм, класса «В», Ø250</t>
        </is>
      </c>
      <c r="C283" s="17" t="inlineStr">
        <is>
          <t>шт.</t>
        </is>
      </c>
      <c r="D283" s="17" t="n"/>
      <c r="E283" s="17" t="n"/>
      <c r="F283" s="17" t="n"/>
      <c r="G283" s="17" t="n"/>
      <c r="H283" s="34" t="n"/>
      <c r="I283" s="46" t="n">
        <v>1</v>
      </c>
      <c r="J283" s="114">
        <f>I283</f>
        <v/>
      </c>
      <c r="K283" s="128" t="n">
        <v>855</v>
      </c>
      <c r="L283" s="94">
        <f>K283*I283</f>
        <v/>
      </c>
      <c r="M283" s="124" t="n">
        <v>855</v>
      </c>
      <c r="N283" s="119" t="inlineStr">
        <is>
          <t>по договру</t>
        </is>
      </c>
      <c r="P283" s="186">
        <f>M283*J283</f>
        <v/>
      </c>
      <c r="Q283" s="186">
        <f>P283-L283</f>
        <v/>
      </c>
      <c r="S283" s="184" t="n">
        <v>1020</v>
      </c>
      <c r="T283" s="184">
        <f>S283*J283</f>
        <v/>
      </c>
      <c r="U283" s="184">
        <f>T283-Y283</f>
        <v/>
      </c>
      <c r="V283" s="185" t="inlineStr">
        <is>
          <t>Компромисс</t>
        </is>
      </c>
      <c r="W283" s="185" t="n"/>
      <c r="Y283" s="182">
        <f>IF(X283="ок",N(L283),IF(ISNUMBER(M283),M283*J283,N(L283)))</f>
        <v/>
      </c>
      <c r="Z283" s="182">
        <f>T283</f>
        <v/>
      </c>
    </row>
    <row r="284" ht="30" customHeight="1" s="155">
      <c r="A284" s="100" t="inlineStr">
        <is>
          <t>6,43</t>
        </is>
      </c>
      <c r="B284" s="19" t="inlineStr">
        <is>
          <t>Отвод 900 из оцинкованной стали толщиной 0,7мм, класса «В», 200x300</t>
        </is>
      </c>
      <c r="C284" s="17" t="inlineStr">
        <is>
          <t>шт.</t>
        </is>
      </c>
      <c r="D284" s="17" t="n"/>
      <c r="E284" s="17" t="n"/>
      <c r="F284" s="17" t="n"/>
      <c r="G284" s="17" t="n"/>
      <c r="H284" s="34" t="n"/>
      <c r="I284" s="46" t="n">
        <v>2</v>
      </c>
      <c r="J284" s="114">
        <f>I284</f>
        <v/>
      </c>
      <c r="K284" s="128" t="n">
        <v>850</v>
      </c>
      <c r="L284" s="94">
        <f>K284*I284</f>
        <v/>
      </c>
      <c r="M284" s="124" t="n">
        <v>850</v>
      </c>
      <c r="P284" s="186">
        <f>M284*J284</f>
        <v/>
      </c>
      <c r="Q284" s="186">
        <f>P284-L284</f>
        <v/>
      </c>
      <c r="S284" s="184" t="n">
        <v>1100</v>
      </c>
      <c r="T284" s="184">
        <f>S284*J284</f>
        <v/>
      </c>
      <c r="U284" s="184">
        <f>T284-Y284</f>
        <v/>
      </c>
      <c r="V284" s="185" t="inlineStr">
        <is>
          <t>Компромисс</t>
        </is>
      </c>
      <c r="W284" s="185" t="n"/>
      <c r="Y284" s="182">
        <f>IF(X284="ок",N(L284),IF(ISNUMBER(M284),M284*J284,N(L284)))</f>
        <v/>
      </c>
      <c r="Z284" s="182">
        <f>T284</f>
        <v/>
      </c>
    </row>
    <row r="285" ht="30" customHeight="1" s="155">
      <c r="A285" s="100" t="inlineStr">
        <is>
          <t>6,44</t>
        </is>
      </c>
      <c r="B285" s="19" t="inlineStr">
        <is>
          <t>Отвод 900 из оцинкованной стали толщиной 0,7мм, класса «В», 200x400</t>
        </is>
      </c>
      <c r="C285" s="17" t="inlineStr">
        <is>
          <t>шт.</t>
        </is>
      </c>
      <c r="D285" s="17" t="n"/>
      <c r="E285" s="17" t="n"/>
      <c r="F285" s="17" t="n"/>
      <c r="G285" s="17" t="n"/>
      <c r="H285" s="34" t="n"/>
      <c r="I285" s="46" t="n">
        <v>2</v>
      </c>
      <c r="J285" s="114">
        <f>I285</f>
        <v/>
      </c>
      <c r="K285" s="128" t="n">
        <v>1190</v>
      </c>
      <c r="L285" s="94">
        <f>K285*I285</f>
        <v/>
      </c>
      <c r="M285" s="124" t="n">
        <v>1190</v>
      </c>
      <c r="P285" s="186">
        <f>M285*J285</f>
        <v/>
      </c>
      <c r="Q285" s="186">
        <f>P285-L285</f>
        <v/>
      </c>
      <c r="S285" s="184" t="n">
        <v>1540</v>
      </c>
      <c r="T285" s="184">
        <f>S285*J285</f>
        <v/>
      </c>
      <c r="U285" s="184">
        <f>T285-Y285</f>
        <v/>
      </c>
      <c r="V285" s="185" t="inlineStr">
        <is>
          <t>Компромисс</t>
        </is>
      </c>
      <c r="W285" s="185" t="n"/>
      <c r="Y285" s="182">
        <f>IF(X285="ок",N(L285),IF(ISNUMBER(M285),M285*J285,N(L285)))</f>
        <v/>
      </c>
      <c r="Z285" s="182">
        <f>T285</f>
        <v/>
      </c>
    </row>
    <row r="286" ht="30" customHeight="1" s="155">
      <c r="A286" s="100" t="inlineStr">
        <is>
          <t>6,45</t>
        </is>
      </c>
      <c r="B286" s="19" t="inlineStr">
        <is>
          <t>Отвод 900 из оцинкованной стали толщиной 0,7мм, класса «В», 300x200</t>
        </is>
      </c>
      <c r="C286" s="17" t="inlineStr">
        <is>
          <t>шт.</t>
        </is>
      </c>
      <c r="D286" s="17" t="n"/>
      <c r="E286" s="17" t="n"/>
      <c r="F286" s="17" t="n"/>
      <c r="G286" s="17" t="n"/>
      <c r="H286" s="34" t="n"/>
      <c r="I286" s="46" t="n">
        <v>1</v>
      </c>
      <c r="J286" s="114">
        <f>I286</f>
        <v/>
      </c>
      <c r="K286" s="128" t="n">
        <v>850</v>
      </c>
      <c r="L286" s="94">
        <f>K286*I286</f>
        <v/>
      </c>
      <c r="M286" s="124" t="n">
        <v>850</v>
      </c>
      <c r="P286" s="186">
        <f>M286*J286</f>
        <v/>
      </c>
      <c r="Q286" s="186">
        <f>P286-L286</f>
        <v/>
      </c>
      <c r="S286" s="184" t="n">
        <v>1100</v>
      </c>
      <c r="T286" s="184">
        <f>S286*J286</f>
        <v/>
      </c>
      <c r="U286" s="184">
        <f>T286-Y286</f>
        <v/>
      </c>
      <c r="V286" s="185" t="inlineStr">
        <is>
          <t>Компромисс</t>
        </is>
      </c>
      <c r="W286" s="185" t="n"/>
      <c r="Y286" s="182">
        <f>IF(X286="ок",N(L286),IF(ISNUMBER(M286),M286*J286,N(L286)))</f>
        <v/>
      </c>
      <c r="Z286" s="182">
        <f>T286</f>
        <v/>
      </c>
    </row>
    <row r="287" ht="30" customHeight="1" s="155">
      <c r="A287" s="100" t="inlineStr">
        <is>
          <t>6,46</t>
        </is>
      </c>
      <c r="B287" s="19" t="inlineStr">
        <is>
          <t>Отвод 900 из оцинкованной стали толщиной 0,7мм, класса «В», 400x200</t>
        </is>
      </c>
      <c r="C287" s="17" t="inlineStr">
        <is>
          <t>шт.</t>
        </is>
      </c>
      <c r="D287" s="17" t="n"/>
      <c r="E287" s="17" t="n"/>
      <c r="F287" s="17" t="n"/>
      <c r="G287" s="17" t="n"/>
      <c r="H287" s="34" t="n"/>
      <c r="I287" s="46" t="n">
        <v>2</v>
      </c>
      <c r="J287" s="114">
        <f>I287</f>
        <v/>
      </c>
      <c r="K287" s="128" t="n">
        <v>1190</v>
      </c>
      <c r="L287" s="94">
        <f>K287*I287</f>
        <v/>
      </c>
      <c r="M287" s="124" t="n">
        <v>1190</v>
      </c>
      <c r="P287" s="186">
        <f>M287*J287</f>
        <v/>
      </c>
      <c r="Q287" s="186">
        <f>P287-L287</f>
        <v/>
      </c>
      <c r="S287" s="184" t="n">
        <v>1540</v>
      </c>
      <c r="T287" s="184">
        <f>S287*J287</f>
        <v/>
      </c>
      <c r="U287" s="184">
        <f>T287-Y287</f>
        <v/>
      </c>
      <c r="V287" s="185" t="inlineStr">
        <is>
          <t>Компромисс</t>
        </is>
      </c>
      <c r="W287" s="185" t="n"/>
      <c r="Y287" s="182">
        <f>IF(X287="ок",N(L287),IF(ISNUMBER(M287),M287*J287,N(L287)))</f>
        <v/>
      </c>
      <c r="Z287" s="182">
        <f>T287</f>
        <v/>
      </c>
    </row>
    <row r="288" ht="30" customHeight="1" s="155">
      <c r="A288" s="100" t="inlineStr">
        <is>
          <t>6,47</t>
        </is>
      </c>
      <c r="B288" s="19" t="inlineStr">
        <is>
          <t>Отвод 900 из оцинкованной стали толщиной 0,7мм, класса «В», 600x250</t>
        </is>
      </c>
      <c r="C288" s="17" t="inlineStr">
        <is>
          <t>шт.</t>
        </is>
      </c>
      <c r="D288" s="17" t="n"/>
      <c r="E288" s="17" t="n"/>
      <c r="F288" s="17" t="n"/>
      <c r="G288" s="17" t="n"/>
      <c r="H288" s="34" t="n"/>
      <c r="I288" s="46" t="n">
        <v>4</v>
      </c>
      <c r="J288" s="114">
        <f>I288</f>
        <v/>
      </c>
      <c r="K288" s="128" t="n">
        <v>2210</v>
      </c>
      <c r="L288" s="94">
        <f>K288*I288</f>
        <v/>
      </c>
      <c r="M288" s="124" t="n">
        <v>2210</v>
      </c>
      <c r="P288" s="186">
        <f>M288*J288</f>
        <v/>
      </c>
      <c r="Q288" s="186">
        <f>P288-L288</f>
        <v/>
      </c>
      <c r="S288" s="182" t="n"/>
      <c r="T288" s="182" t="n"/>
      <c r="U288" s="182" t="n"/>
      <c r="V288" s="183" t="n"/>
      <c r="W288" s="183" t="n"/>
      <c r="Y288" s="182">
        <f>IF(X288="ок",N(L288),IF(ISNUMBER(M288),M288*J288,N(L288)))</f>
        <v/>
      </c>
      <c r="Z288" s="182">
        <f>Y288</f>
        <v/>
      </c>
    </row>
    <row r="289" ht="30" customHeight="1" s="155">
      <c r="A289" s="100" t="inlineStr">
        <is>
          <t>6,48</t>
        </is>
      </c>
      <c r="B289" s="19" t="inlineStr">
        <is>
          <t>Врезка плоская из оцинкованной стали толщиной 0,5мм, класса «В», Ø100</t>
        </is>
      </c>
      <c r="C289" s="17" t="inlineStr">
        <is>
          <t>шт.</t>
        </is>
      </c>
      <c r="D289" s="17" t="n"/>
      <c r="E289" s="17" t="n"/>
      <c r="F289" s="17" t="n"/>
      <c r="G289" s="17" t="n"/>
      <c r="H289" s="34" t="n"/>
      <c r="I289" s="46" t="n">
        <v>8</v>
      </c>
      <c r="J289" s="114">
        <f>I289</f>
        <v/>
      </c>
      <c r="K289" s="128" t="n">
        <v>855</v>
      </c>
      <c r="L289" s="94">
        <f>K289*I289</f>
        <v/>
      </c>
      <c r="M289" s="124" t="n">
        <v>855</v>
      </c>
      <c r="N289" s="119" t="inlineStr">
        <is>
          <t>по договру</t>
        </is>
      </c>
      <c r="P289" s="186">
        <f>M289*J289</f>
        <v/>
      </c>
      <c r="Q289" s="186">
        <f>P289-L289</f>
        <v/>
      </c>
      <c r="S289" s="184" t="n">
        <v>1020</v>
      </c>
      <c r="T289" s="184">
        <f>S289*J289</f>
        <v/>
      </c>
      <c r="U289" s="184">
        <f>T289-Y289</f>
        <v/>
      </c>
      <c r="V289" s="185" t="inlineStr">
        <is>
          <t>Компромисс</t>
        </is>
      </c>
      <c r="W289" s="185" t="n"/>
      <c r="Y289" s="182">
        <f>IF(X289="ок",N(L289),IF(ISNUMBER(M289),M289*J289,N(L289)))</f>
        <v/>
      </c>
      <c r="Z289" s="182">
        <f>T289</f>
        <v/>
      </c>
    </row>
    <row r="290" ht="30" customHeight="1" s="155">
      <c r="A290" s="100" t="inlineStr">
        <is>
          <t>6,49</t>
        </is>
      </c>
      <c r="B290" s="19" t="inlineStr">
        <is>
          <t>Врезка плоская из оцинкованной стали толщиной 0,5мм, класса «В», Ø125</t>
        </is>
      </c>
      <c r="C290" s="17" t="inlineStr">
        <is>
          <t>шт.</t>
        </is>
      </c>
      <c r="D290" s="17" t="n"/>
      <c r="E290" s="17" t="n"/>
      <c r="F290" s="17" t="n"/>
      <c r="G290" s="17" t="n"/>
      <c r="H290" s="34" t="n"/>
      <c r="I290" s="46" t="n">
        <v>2</v>
      </c>
      <c r="J290" s="114">
        <f>I290</f>
        <v/>
      </c>
      <c r="K290" s="128" t="n">
        <v>855</v>
      </c>
      <c r="L290" s="94">
        <f>K290*I290</f>
        <v/>
      </c>
      <c r="M290" s="124" t="n">
        <v>855</v>
      </c>
      <c r="N290" s="119" t="inlineStr">
        <is>
          <t>по договру</t>
        </is>
      </c>
      <c r="P290" s="186">
        <f>M290*J290</f>
        <v/>
      </c>
      <c r="Q290" s="186">
        <f>P290-L290</f>
        <v/>
      </c>
      <c r="S290" s="184" t="n">
        <v>1020</v>
      </c>
      <c r="T290" s="184">
        <f>S290*J290</f>
        <v/>
      </c>
      <c r="U290" s="184">
        <f>T290-Y290</f>
        <v/>
      </c>
      <c r="V290" s="185" t="inlineStr">
        <is>
          <t>Компромисс</t>
        </is>
      </c>
      <c r="W290" s="185" t="n"/>
      <c r="Y290" s="182">
        <f>IF(X290="ок",N(L290),IF(ISNUMBER(M290),M290*J290,N(L290)))</f>
        <v/>
      </c>
      <c r="Z290" s="182">
        <f>T290</f>
        <v/>
      </c>
    </row>
    <row r="291" ht="30" customHeight="1" s="155">
      <c r="A291" s="100" t="inlineStr">
        <is>
          <t>6,50</t>
        </is>
      </c>
      <c r="B291" s="19" t="inlineStr">
        <is>
          <t>Врезка плоская из оцинкованной стали толщиной 0,5мм, класса «В», Ø160</t>
        </is>
      </c>
      <c r="C291" s="17" t="inlineStr">
        <is>
          <t>шт.</t>
        </is>
      </c>
      <c r="D291" s="17" t="n"/>
      <c r="E291" s="17" t="n"/>
      <c r="F291" s="17" t="n"/>
      <c r="G291" s="17" t="n"/>
      <c r="H291" s="34" t="n"/>
      <c r="I291" s="46" t="n">
        <v>2</v>
      </c>
      <c r="J291" s="114">
        <f>I291</f>
        <v/>
      </c>
      <c r="K291" s="128" t="n">
        <v>855</v>
      </c>
      <c r="L291" s="94">
        <f>K291*I291</f>
        <v/>
      </c>
      <c r="M291" s="124" t="n">
        <v>855</v>
      </c>
      <c r="N291" s="119" t="inlineStr">
        <is>
          <t>по договру</t>
        </is>
      </c>
      <c r="P291" s="186">
        <f>M291*J291</f>
        <v/>
      </c>
      <c r="Q291" s="186">
        <f>P291-L291</f>
        <v/>
      </c>
      <c r="S291" s="184" t="n">
        <v>1020</v>
      </c>
      <c r="T291" s="184">
        <f>S291*J291</f>
        <v/>
      </c>
      <c r="U291" s="184">
        <f>T291-Y291</f>
        <v/>
      </c>
      <c r="V291" s="185" t="inlineStr">
        <is>
          <t>Компромисс</t>
        </is>
      </c>
      <c r="W291" s="185" t="n"/>
      <c r="Y291" s="182">
        <f>IF(X291="ок",N(L291),IF(ISNUMBER(M291),M291*J291,N(L291)))</f>
        <v/>
      </c>
      <c r="Z291" s="182">
        <f>T291</f>
        <v/>
      </c>
    </row>
    <row r="292" ht="30" customHeight="1" s="155">
      <c r="A292" s="100" t="inlineStr">
        <is>
          <t>6,51</t>
        </is>
      </c>
      <c r="B292" s="19" t="inlineStr">
        <is>
          <t>Врезка плоская из оцинкованной стали толщиной 0,5мм, класса «В», Ø200</t>
        </is>
      </c>
      <c r="C292" s="17" t="inlineStr">
        <is>
          <t>шт.</t>
        </is>
      </c>
      <c r="D292" s="17" t="n"/>
      <c r="E292" s="17" t="n"/>
      <c r="F292" s="17" t="n"/>
      <c r="G292" s="17" t="n"/>
      <c r="H292" s="34" t="n"/>
      <c r="I292" s="46" t="n">
        <v>22</v>
      </c>
      <c r="J292" s="114">
        <f>I292</f>
        <v/>
      </c>
      <c r="K292" s="128" t="n">
        <v>855</v>
      </c>
      <c r="L292" s="94">
        <f>K292*I292</f>
        <v/>
      </c>
      <c r="M292" s="124" t="n">
        <v>855</v>
      </c>
      <c r="N292" s="119" t="inlineStr">
        <is>
          <t>по договру</t>
        </is>
      </c>
      <c r="P292" s="186">
        <f>M292*J292</f>
        <v/>
      </c>
      <c r="Q292" s="186">
        <f>P292-L292</f>
        <v/>
      </c>
      <c r="S292" s="184" t="n">
        <v>1020</v>
      </c>
      <c r="T292" s="184">
        <f>S292*J292</f>
        <v/>
      </c>
      <c r="U292" s="184">
        <f>T292-Y292</f>
        <v/>
      </c>
      <c r="V292" s="185" t="inlineStr">
        <is>
          <t>Компромисс</t>
        </is>
      </c>
      <c r="W292" s="185" t="n"/>
      <c r="Y292" s="182">
        <f>IF(X292="ок",N(L292),IF(ISNUMBER(M292),M292*J292,N(L292)))</f>
        <v/>
      </c>
      <c r="Z292" s="182">
        <f>T292</f>
        <v/>
      </c>
    </row>
    <row r="293" ht="27.6" customHeight="1" s="155">
      <c r="A293" s="100" t="inlineStr">
        <is>
          <t>6,52</t>
        </is>
      </c>
      <c r="B293" s="19" t="inlineStr">
        <is>
          <t>Врезка-седло из оцинкованной стали толщиной 0,5мм, класса «В», Ø160/Ø100</t>
        </is>
      </c>
      <c r="C293" s="17" t="inlineStr">
        <is>
          <t>шт.</t>
        </is>
      </c>
      <c r="D293" s="17" t="n"/>
      <c r="E293" s="17" t="n"/>
      <c r="F293" s="17" t="n"/>
      <c r="G293" s="17" t="n"/>
      <c r="H293" s="34" t="n"/>
      <c r="I293" s="46" t="n">
        <v>2</v>
      </c>
      <c r="J293" s="114">
        <f>I293</f>
        <v/>
      </c>
      <c r="K293" s="128" t="n">
        <v>855</v>
      </c>
      <c r="L293" s="94">
        <f>K293*I293</f>
        <v/>
      </c>
      <c r="M293" s="124" t="n">
        <v>855</v>
      </c>
      <c r="N293" s="119" t="inlineStr">
        <is>
          <t>по договру</t>
        </is>
      </c>
      <c r="P293" s="186">
        <f>M293*J293</f>
        <v/>
      </c>
      <c r="Q293" s="186">
        <f>P293-L293</f>
        <v/>
      </c>
      <c r="S293" s="184" t="n">
        <v>1020</v>
      </c>
      <c r="T293" s="184">
        <f>S293*J293</f>
        <v/>
      </c>
      <c r="U293" s="184">
        <f>T293-Y293</f>
        <v/>
      </c>
      <c r="V293" s="185" t="inlineStr">
        <is>
          <t>Компромисс</t>
        </is>
      </c>
      <c r="W293" s="185" t="n"/>
      <c r="Y293" s="182">
        <f>IF(X293="ок",N(L293),IF(ISNUMBER(M293),M293*J293,N(L293)))</f>
        <v/>
      </c>
      <c r="Z293" s="182">
        <f>T293</f>
        <v/>
      </c>
    </row>
    <row r="294" ht="27.6" customHeight="1" s="155">
      <c r="A294" s="100" t="inlineStr">
        <is>
          <t>6,53</t>
        </is>
      </c>
      <c r="B294" s="19" t="inlineStr">
        <is>
          <t>Врезка-седло из оцинкованной стали толщиной 0,6мм, класса «В», Ø250/Ø100</t>
        </is>
      </c>
      <c r="C294" s="17" t="inlineStr">
        <is>
          <t>шт.</t>
        </is>
      </c>
      <c r="D294" s="17" t="n"/>
      <c r="E294" s="17" t="n"/>
      <c r="F294" s="17" t="n"/>
      <c r="G294" s="17" t="n"/>
      <c r="H294" s="34" t="n"/>
      <c r="I294" s="46" t="n">
        <v>1</v>
      </c>
      <c r="J294" s="114">
        <f>I294</f>
        <v/>
      </c>
      <c r="K294" s="128" t="n">
        <v>855</v>
      </c>
      <c r="L294" s="94">
        <f>K294*I294</f>
        <v/>
      </c>
      <c r="M294" s="124" t="n">
        <v>855</v>
      </c>
      <c r="N294" s="119" t="inlineStr">
        <is>
          <t>по договру</t>
        </is>
      </c>
      <c r="P294" s="186">
        <f>M294*J294</f>
        <v/>
      </c>
      <c r="Q294" s="186">
        <f>P294-L294</f>
        <v/>
      </c>
      <c r="S294" s="184" t="n">
        <v>1020</v>
      </c>
      <c r="T294" s="184">
        <f>S294*J294</f>
        <v/>
      </c>
      <c r="U294" s="184">
        <f>T294-Y294</f>
        <v/>
      </c>
      <c r="V294" s="185" t="inlineStr">
        <is>
          <t>Компромисс</t>
        </is>
      </c>
      <c r="W294" s="185" t="n"/>
      <c r="Y294" s="182">
        <f>IF(X294="ок",N(L294),IF(ISNUMBER(M294),M294*J294,N(L294)))</f>
        <v/>
      </c>
      <c r="Z294" s="182">
        <f>T294</f>
        <v/>
      </c>
    </row>
    <row r="295" ht="30" customHeight="1" s="155">
      <c r="A295" s="100" t="inlineStr">
        <is>
          <t>6,54</t>
        </is>
      </c>
      <c r="B295" s="19" t="inlineStr">
        <is>
          <t>Переход из оцинкованной стали толщиной 0,5мм, класса «В», Ø160/Ø125</t>
        </is>
      </c>
      <c r="C295" s="17" t="inlineStr">
        <is>
          <t>шт.</t>
        </is>
      </c>
      <c r="D295" s="17" t="n"/>
      <c r="E295" s="17" t="n"/>
      <c r="F295" s="17" t="n"/>
      <c r="G295" s="17" t="n"/>
      <c r="H295" s="34" t="n"/>
      <c r="I295" s="46" t="n">
        <v>2</v>
      </c>
      <c r="J295" s="114">
        <f>I295</f>
        <v/>
      </c>
      <c r="K295" s="128" t="n">
        <v>855</v>
      </c>
      <c r="L295" s="94">
        <f>K295*I295</f>
        <v/>
      </c>
      <c r="M295" s="124" t="n">
        <v>855</v>
      </c>
      <c r="N295" s="119" t="inlineStr">
        <is>
          <t>по договру</t>
        </is>
      </c>
      <c r="P295" s="186">
        <f>M295*J295</f>
        <v/>
      </c>
      <c r="Q295" s="186">
        <f>P295-L295</f>
        <v/>
      </c>
      <c r="S295" s="184" t="n">
        <v>1020</v>
      </c>
      <c r="T295" s="184">
        <f>S295*J295</f>
        <v/>
      </c>
      <c r="U295" s="184">
        <f>T295-Y295</f>
        <v/>
      </c>
      <c r="V295" s="185" t="inlineStr">
        <is>
          <t>Компромисс</t>
        </is>
      </c>
      <c r="W295" s="185" t="n"/>
      <c r="Y295" s="182">
        <f>IF(X295="ок",N(L295),IF(ISNUMBER(M295),M295*J295,N(L295)))</f>
        <v/>
      </c>
      <c r="Z295" s="182">
        <f>T295</f>
        <v/>
      </c>
    </row>
    <row r="296" ht="30" customHeight="1" s="155">
      <c r="A296" s="100" t="inlineStr">
        <is>
          <t>6,55</t>
        </is>
      </c>
      <c r="B296" s="19" t="inlineStr">
        <is>
          <t>Переход из оцинкованной стали толщиной 0,5мм, класса «В», Ø200/Ø125</t>
        </is>
      </c>
      <c r="C296" s="17" t="inlineStr">
        <is>
          <t>шт.</t>
        </is>
      </c>
      <c r="D296" s="17" t="n"/>
      <c r="E296" s="17" t="n"/>
      <c r="F296" s="17" t="n"/>
      <c r="G296" s="17" t="n"/>
      <c r="H296" s="34" t="n"/>
      <c r="I296" s="46" t="n">
        <v>5</v>
      </c>
      <c r="J296" s="114">
        <f>I296</f>
        <v/>
      </c>
      <c r="K296" s="128" t="n">
        <v>855</v>
      </c>
      <c r="L296" s="94">
        <f>K296*I296</f>
        <v/>
      </c>
      <c r="M296" s="124" t="n">
        <v>855</v>
      </c>
      <c r="N296" s="119" t="inlineStr">
        <is>
          <t>по договру</t>
        </is>
      </c>
      <c r="P296" s="186">
        <f>M296*J296</f>
        <v/>
      </c>
      <c r="Q296" s="186">
        <f>P296-L296</f>
        <v/>
      </c>
      <c r="S296" s="184" t="n">
        <v>1020</v>
      </c>
      <c r="T296" s="184">
        <f>S296*J296</f>
        <v/>
      </c>
      <c r="U296" s="184">
        <f>T296-Y296</f>
        <v/>
      </c>
      <c r="V296" s="185" t="inlineStr">
        <is>
          <t>Компромисс</t>
        </is>
      </c>
      <c r="W296" s="185" t="n"/>
      <c r="Y296" s="182">
        <f>IF(X296="ок",N(L296),IF(ISNUMBER(M296),M296*J296,N(L296)))</f>
        <v/>
      </c>
      <c r="Z296" s="182">
        <f>T296</f>
        <v/>
      </c>
    </row>
    <row r="297" ht="30" customHeight="1" s="155">
      <c r="A297" s="100" t="inlineStr">
        <is>
          <t>6,56</t>
        </is>
      </c>
      <c r="B297" s="19" t="inlineStr">
        <is>
          <t>Переход из оцинкованной стали толщиной 0,6мм, класса «В», Ø250/Ø200</t>
        </is>
      </c>
      <c r="C297" s="17" t="inlineStr">
        <is>
          <t>шт.</t>
        </is>
      </c>
      <c r="D297" s="17" t="n"/>
      <c r="E297" s="17" t="n"/>
      <c r="F297" s="17" t="n"/>
      <c r="G297" s="17" t="n"/>
      <c r="H297" s="34" t="n"/>
      <c r="I297" s="46" t="n">
        <v>1</v>
      </c>
      <c r="J297" s="114">
        <f>I297</f>
        <v/>
      </c>
      <c r="K297" s="128" t="n">
        <v>855</v>
      </c>
      <c r="L297" s="94">
        <f>K297*I297</f>
        <v/>
      </c>
      <c r="M297" s="124" t="n">
        <v>855</v>
      </c>
      <c r="N297" s="119" t="inlineStr">
        <is>
          <t>по договру</t>
        </is>
      </c>
      <c r="P297" s="186">
        <f>M297*J297</f>
        <v/>
      </c>
      <c r="Q297" s="186">
        <f>P297-L297</f>
        <v/>
      </c>
      <c r="S297" s="184" t="n">
        <v>1020</v>
      </c>
      <c r="T297" s="184">
        <f>S297*J297</f>
        <v/>
      </c>
      <c r="U297" s="184">
        <f>T297-Y297</f>
        <v/>
      </c>
      <c r="V297" s="185" t="inlineStr">
        <is>
          <t>Компромисс</t>
        </is>
      </c>
      <c r="W297" s="185" t="n"/>
      <c r="Y297" s="182">
        <f>IF(X297="ок",N(L297),IF(ISNUMBER(M297),M297*J297,N(L297)))</f>
        <v/>
      </c>
      <c r="Z297" s="182">
        <f>T297</f>
        <v/>
      </c>
    </row>
    <row r="298" ht="30" customHeight="1" s="155">
      <c r="A298" s="100" t="inlineStr">
        <is>
          <t>6,57</t>
        </is>
      </c>
      <c r="B298" s="19" t="inlineStr">
        <is>
          <t>Переход из оцинкованной стали толщиной 0,7мм, класса «В», 300x200/Ø200</t>
        </is>
      </c>
      <c r="C298" s="17" t="inlineStr">
        <is>
          <t>шт.</t>
        </is>
      </c>
      <c r="D298" s="17" t="n"/>
      <c r="E298" s="17" t="n"/>
      <c r="F298" s="17" t="n"/>
      <c r="G298" s="17" t="n"/>
      <c r="H298" s="34" t="n"/>
      <c r="I298" s="46" t="n">
        <v>2</v>
      </c>
      <c r="J298" s="114">
        <f>I298</f>
        <v/>
      </c>
      <c r="K298" s="128" t="n">
        <v>680</v>
      </c>
      <c r="L298" s="94">
        <f>K298*I298</f>
        <v/>
      </c>
      <c r="M298" s="124" t="n">
        <v>680</v>
      </c>
      <c r="P298" s="186">
        <f>M298*J298</f>
        <v/>
      </c>
      <c r="Q298" s="186">
        <f>P298-L298</f>
        <v/>
      </c>
      <c r="S298" s="184" t="n">
        <v>880</v>
      </c>
      <c r="T298" s="184">
        <f>S298*J298</f>
        <v/>
      </c>
      <c r="U298" s="184">
        <f>T298-Y298</f>
        <v/>
      </c>
      <c r="V298" s="185" t="inlineStr">
        <is>
          <t>Компромисс</t>
        </is>
      </c>
      <c r="W298" s="185" t="n"/>
      <c r="Y298" s="182">
        <f>IF(X298="ок",N(L298),IF(ISNUMBER(M298),M298*J298,N(L298)))</f>
        <v/>
      </c>
      <c r="Z298" s="182">
        <f>T298</f>
        <v/>
      </c>
    </row>
    <row r="299" ht="30" customHeight="1" s="155">
      <c r="A299" s="100" t="inlineStr">
        <is>
          <t>6,58</t>
        </is>
      </c>
      <c r="B299" s="19" t="inlineStr">
        <is>
          <t>Переход из оцинкованной стали толщиной 0,7мм, класса «В», 300x250/Ø200</t>
        </is>
      </c>
      <c r="C299" s="17" t="inlineStr">
        <is>
          <t>шт.</t>
        </is>
      </c>
      <c r="D299" s="17" t="n"/>
      <c r="E299" s="17" t="n"/>
      <c r="F299" s="17" t="n"/>
      <c r="G299" s="17" t="n"/>
      <c r="H299" s="34" t="n"/>
      <c r="I299" s="46" t="n">
        <v>1</v>
      </c>
      <c r="J299" s="114">
        <f>I299</f>
        <v/>
      </c>
      <c r="K299" s="128" t="n">
        <v>850</v>
      </c>
      <c r="L299" s="94">
        <f>K299*I299</f>
        <v/>
      </c>
      <c r="M299" s="124" t="n">
        <v>850</v>
      </c>
      <c r="P299" s="186">
        <f>M299*J299</f>
        <v/>
      </c>
      <c r="Q299" s="186">
        <f>P299-L299</f>
        <v/>
      </c>
      <c r="S299" s="184" t="n">
        <v>1100</v>
      </c>
      <c r="T299" s="184">
        <f>S299*J299</f>
        <v/>
      </c>
      <c r="U299" s="184">
        <f>T299-Y299</f>
        <v/>
      </c>
      <c r="V299" s="185" t="inlineStr">
        <is>
          <t>Компромисс</t>
        </is>
      </c>
      <c r="W299" s="185" t="n"/>
      <c r="Y299" s="182">
        <f>IF(X299="ок",N(L299),IF(ISNUMBER(M299),M299*J299,N(L299)))</f>
        <v/>
      </c>
      <c r="Z299" s="182">
        <f>T299</f>
        <v/>
      </c>
    </row>
    <row r="300" ht="30" customHeight="1" s="155">
      <c r="A300" s="100" t="inlineStr">
        <is>
          <t>6,59</t>
        </is>
      </c>
      <c r="B300" s="19" t="inlineStr">
        <is>
          <t>Переход из оцинкованной стали толщиной 0,7мм, класса «В», 400x200/Ø250</t>
        </is>
      </c>
      <c r="C300" s="17" t="inlineStr">
        <is>
          <t>шт.</t>
        </is>
      </c>
      <c r="D300" s="17" t="n"/>
      <c r="E300" s="17" t="n"/>
      <c r="F300" s="17" t="n"/>
      <c r="G300" s="17" t="n"/>
      <c r="H300" s="34" t="n"/>
      <c r="I300" s="46" t="n">
        <v>1</v>
      </c>
      <c r="J300" s="114">
        <f>I300</f>
        <v/>
      </c>
      <c r="K300" s="128" t="n">
        <v>850</v>
      </c>
      <c r="L300" s="94">
        <f>K300*I300</f>
        <v/>
      </c>
      <c r="M300" s="124" t="n">
        <v>850</v>
      </c>
      <c r="P300" s="186">
        <f>M300*J300</f>
        <v/>
      </c>
      <c r="Q300" s="186">
        <f>P300-L300</f>
        <v/>
      </c>
      <c r="S300" s="184" t="n">
        <v>1100</v>
      </c>
      <c r="T300" s="184">
        <f>S300*J300</f>
        <v/>
      </c>
      <c r="U300" s="184">
        <f>T300-Y300</f>
        <v/>
      </c>
      <c r="V300" s="185" t="inlineStr">
        <is>
          <t>Компромисс</t>
        </is>
      </c>
      <c r="W300" s="185" t="n"/>
      <c r="Y300" s="182">
        <f>IF(X300="ок",N(L300),IF(ISNUMBER(M300),M300*J300,N(L300)))</f>
        <v/>
      </c>
      <c r="Z300" s="182">
        <f>T300</f>
        <v/>
      </c>
    </row>
    <row r="301" ht="27.6" customHeight="1" s="155">
      <c r="A301" s="100" t="inlineStr">
        <is>
          <t>6,60</t>
        </is>
      </c>
      <c r="B301" s="19" t="inlineStr">
        <is>
          <t>Переход из оцинкованной стали толщиной 0,7мм, класса «В», 400x200/300x200</t>
        </is>
      </c>
      <c r="C301" s="17" t="inlineStr">
        <is>
          <t>шт.</t>
        </is>
      </c>
      <c r="D301" s="17" t="n"/>
      <c r="E301" s="17" t="n"/>
      <c r="F301" s="17" t="n"/>
      <c r="G301" s="17" t="n"/>
      <c r="H301" s="34" t="n"/>
      <c r="I301" s="46" t="n">
        <v>1</v>
      </c>
      <c r="J301" s="114">
        <f>I301</f>
        <v/>
      </c>
      <c r="K301" s="128" t="n">
        <v>680</v>
      </c>
      <c r="L301" s="94">
        <f>K301*I301</f>
        <v/>
      </c>
      <c r="M301" s="124" t="n">
        <v>680</v>
      </c>
      <c r="P301" s="186">
        <f>M301*J301</f>
        <v/>
      </c>
      <c r="Q301" s="186">
        <f>P301-L301</f>
        <v/>
      </c>
      <c r="S301" s="184" t="n">
        <v>880</v>
      </c>
      <c r="T301" s="184">
        <f>S301*J301</f>
        <v/>
      </c>
      <c r="U301" s="184">
        <f>T301-Y301</f>
        <v/>
      </c>
      <c r="V301" s="185" t="inlineStr">
        <is>
          <t>Компромисс</t>
        </is>
      </c>
      <c r="W301" s="185" t="n"/>
      <c r="Y301" s="182">
        <f>IF(X301="ок",N(L301),IF(ISNUMBER(M301),M301*J301,N(L301)))</f>
        <v/>
      </c>
      <c r="Z301" s="182">
        <f>T301</f>
        <v/>
      </c>
    </row>
    <row r="302" ht="27.6" customHeight="1" s="155">
      <c r="A302" s="100" t="inlineStr">
        <is>
          <t>6,61</t>
        </is>
      </c>
      <c r="B302" s="19" t="inlineStr">
        <is>
          <t>Переход из оцинкованной стали толщиной 0,7мм, класса «В», 600x250/400x200</t>
        </is>
      </c>
      <c r="C302" s="17" t="inlineStr">
        <is>
          <t>шт.</t>
        </is>
      </c>
      <c r="D302" s="17" t="n"/>
      <c r="E302" s="17" t="n"/>
      <c r="F302" s="17" t="n"/>
      <c r="G302" s="17" t="n"/>
      <c r="H302" s="34" t="n"/>
      <c r="I302" s="46" t="n">
        <v>2</v>
      </c>
      <c r="J302" s="114">
        <f>I302</f>
        <v/>
      </c>
      <c r="K302" s="128" t="n">
        <v>1020</v>
      </c>
      <c r="L302" s="94">
        <f>K302*I302</f>
        <v/>
      </c>
      <c r="M302" s="124" t="n">
        <v>1020</v>
      </c>
      <c r="P302" s="186">
        <f>M302*J302</f>
        <v/>
      </c>
      <c r="Q302" s="186">
        <f>P302-L302</f>
        <v/>
      </c>
      <c r="S302" s="184" t="n">
        <v>1320</v>
      </c>
      <c r="T302" s="184">
        <f>S302*J302</f>
        <v/>
      </c>
      <c r="U302" s="184">
        <f>T302-Y302</f>
        <v/>
      </c>
      <c r="V302" s="185" t="inlineStr">
        <is>
          <t>Компромисс</t>
        </is>
      </c>
      <c r="W302" s="185" t="n"/>
      <c r="Y302" s="182">
        <f>IF(X302="ок",N(L302),IF(ISNUMBER(M302),M302*J302,N(L302)))</f>
        <v/>
      </c>
      <c r="Z302" s="182">
        <f>T302</f>
        <v/>
      </c>
    </row>
    <row r="303" ht="27.6" customHeight="1" s="155">
      <c r="A303" s="100" t="inlineStr">
        <is>
          <t>6,62</t>
        </is>
      </c>
      <c r="B303" s="19" t="inlineStr">
        <is>
          <t>Переход из оцинкованной стали толщиной 0,7мм, класса «В», 700x200/600x250</t>
        </is>
      </c>
      <c r="C303" s="17" t="inlineStr">
        <is>
          <t>шт.</t>
        </is>
      </c>
      <c r="D303" s="17" t="n"/>
      <c r="E303" s="17" t="n"/>
      <c r="F303" s="17" t="n"/>
      <c r="G303" s="17" t="n"/>
      <c r="H303" s="34" t="n"/>
      <c r="I303" s="46" t="n">
        <v>2</v>
      </c>
      <c r="J303" s="114">
        <f>I303</f>
        <v/>
      </c>
      <c r="K303" s="128" t="n">
        <v>1020</v>
      </c>
      <c r="L303" s="94">
        <f>K303*I303</f>
        <v/>
      </c>
      <c r="M303" s="124" t="n">
        <v>1020</v>
      </c>
      <c r="P303" s="186">
        <f>M303*J303</f>
        <v/>
      </c>
      <c r="Q303" s="186">
        <f>P303-L303</f>
        <v/>
      </c>
      <c r="S303" s="184" t="n">
        <v>1320</v>
      </c>
      <c r="T303" s="184">
        <f>S303*J303</f>
        <v/>
      </c>
      <c r="U303" s="184">
        <f>T303-Y303</f>
        <v/>
      </c>
      <c r="V303" s="185" t="inlineStr">
        <is>
          <t>Компромисс</t>
        </is>
      </c>
      <c r="W303" s="185" t="n"/>
      <c r="Y303" s="182">
        <f>IF(X303="ок",N(L303),IF(ISNUMBER(M303),M303*J303,N(L303)))</f>
        <v/>
      </c>
      <c r="Z303" s="182">
        <f>T303</f>
        <v/>
      </c>
    </row>
    <row r="304" ht="30" customHeight="1" s="155">
      <c r="A304" s="100" t="inlineStr">
        <is>
          <t>6,63</t>
        </is>
      </c>
      <c r="B304" s="19" t="inlineStr">
        <is>
          <t>Заглушка из оцинкованной стали толщиной 0,5мм, класса «В», Ø200</t>
        </is>
      </c>
      <c r="C304" s="17" t="inlineStr">
        <is>
          <t>шт.</t>
        </is>
      </c>
      <c r="D304" s="17" t="n"/>
      <c r="E304" s="17" t="n"/>
      <c r="F304" s="17" t="n"/>
      <c r="G304" s="17" t="n"/>
      <c r="H304" s="34" t="n"/>
      <c r="I304" s="46" t="n">
        <v>5</v>
      </c>
      <c r="J304" s="114">
        <f>I304</f>
        <v/>
      </c>
      <c r="K304" s="128" t="n">
        <v>855</v>
      </c>
      <c r="L304" s="94">
        <f>K304*I304</f>
        <v/>
      </c>
      <c r="M304" s="124" t="n">
        <v>855</v>
      </c>
      <c r="N304" s="119" t="inlineStr">
        <is>
          <t>по договру</t>
        </is>
      </c>
      <c r="P304" s="186">
        <f>M304*J304</f>
        <v/>
      </c>
      <c r="Q304" s="186">
        <f>P304-L304</f>
        <v/>
      </c>
      <c r="S304" s="184" t="n">
        <v>1020</v>
      </c>
      <c r="T304" s="184">
        <f>S304*J304</f>
        <v/>
      </c>
      <c r="U304" s="184">
        <f>T304-Y304</f>
        <v/>
      </c>
      <c r="V304" s="185" t="inlineStr">
        <is>
          <t>Компромисс</t>
        </is>
      </c>
      <c r="W304" s="185" t="n"/>
      <c r="Y304" s="182">
        <f>IF(X304="ок",N(L304),IF(ISNUMBER(M304),M304*J304,N(L304)))</f>
        <v/>
      </c>
      <c r="Z304" s="182">
        <f>T304</f>
        <v/>
      </c>
    </row>
    <row r="305" ht="30" customHeight="1" s="155">
      <c r="A305" s="100" t="inlineStr">
        <is>
          <t>6,64</t>
        </is>
      </c>
      <c r="B305" s="19" t="inlineStr">
        <is>
          <t>Заглушка из оцинкованной стали толщиной 0,7мм, класса «В», 400x200</t>
        </is>
      </c>
      <c r="C305" s="17" t="inlineStr">
        <is>
          <t>шт.</t>
        </is>
      </c>
      <c r="D305" s="17" t="n"/>
      <c r="E305" s="17" t="n"/>
      <c r="F305" s="17" t="n"/>
      <c r="G305" s="17" t="n"/>
      <c r="H305" s="34" t="n"/>
      <c r="I305" s="46" t="n">
        <v>2</v>
      </c>
      <c r="J305" s="114">
        <f>I305</f>
        <v/>
      </c>
      <c r="K305" s="128" t="n">
        <v>855</v>
      </c>
      <c r="L305" s="94">
        <f>K305*I305</f>
        <v/>
      </c>
      <c r="M305" s="124" t="n">
        <v>370</v>
      </c>
      <c r="P305" s="186">
        <f>M305*J305</f>
        <v/>
      </c>
      <c r="Q305" s="186">
        <f>P305-L305</f>
        <v/>
      </c>
      <c r="S305" s="187" t="n">
        <v>855</v>
      </c>
      <c r="T305" s="187">
        <f>S305*J305</f>
        <v/>
      </c>
      <c r="U305" s="187">
        <f>T305-Y305</f>
        <v/>
      </c>
      <c r="V305" s="188" t="inlineStr">
        <is>
          <t>Согласно (ок)</t>
        </is>
      </c>
      <c r="W305" s="188" t="n"/>
      <c r="X305" s="127" t="inlineStr">
        <is>
          <t>ок</t>
        </is>
      </c>
      <c r="Y305" s="182">
        <f>IF(X305="ок",N(L305),IF(ISNUMBER(M305),M305*J305,N(L305)))</f>
        <v/>
      </c>
      <c r="Z305" s="182">
        <f>T305</f>
        <v/>
      </c>
    </row>
    <row r="306" ht="30" customHeight="1" s="155">
      <c r="A306" s="100" t="inlineStr">
        <is>
          <t>6,65</t>
        </is>
      </c>
      <c r="B306" s="19" t="inlineStr">
        <is>
          <t>Ниппель из оцинкованной стали толщиной 0,5мм, класса «В», Ø100</t>
        </is>
      </c>
      <c r="C306" s="17" t="inlineStr">
        <is>
          <t>шт.</t>
        </is>
      </c>
      <c r="D306" s="17" t="n"/>
      <c r="E306" s="17" t="n"/>
      <c r="F306" s="17" t="n"/>
      <c r="G306" s="17" t="n"/>
      <c r="H306" s="34" t="n"/>
      <c r="I306" s="46" t="n">
        <v>20</v>
      </c>
      <c r="J306" s="114">
        <f>I306</f>
        <v/>
      </c>
      <c r="K306" s="177" t="n">
        <v>630</v>
      </c>
      <c r="L306" s="94">
        <f>K306*I306</f>
        <v/>
      </c>
      <c r="M306" s="124" t="n">
        <v>370</v>
      </c>
      <c r="P306" s="186">
        <f>M306*J306</f>
        <v/>
      </c>
      <c r="Q306" s="186">
        <f>P306-L306</f>
        <v/>
      </c>
      <c r="S306" s="187" t="n">
        <v>630</v>
      </c>
      <c r="T306" s="187">
        <f>S306*J306</f>
        <v/>
      </c>
      <c r="U306" s="187">
        <f>T306-Y306</f>
        <v/>
      </c>
      <c r="V306" s="188" t="inlineStr">
        <is>
          <t>Согласно (ок)</t>
        </is>
      </c>
      <c r="W306" s="188" t="n"/>
      <c r="X306" s="127" t="inlineStr">
        <is>
          <t>ок</t>
        </is>
      </c>
      <c r="Y306" s="182">
        <f>IF(X306="ок",N(L306),IF(ISNUMBER(M306),M306*J306,N(L306)))</f>
        <v/>
      </c>
      <c r="Z306" s="182">
        <f>T306</f>
        <v/>
      </c>
    </row>
    <row r="307" ht="30" customHeight="1" s="155">
      <c r="A307" s="100" t="inlineStr">
        <is>
          <t>6,66</t>
        </is>
      </c>
      <c r="B307" s="19" t="inlineStr">
        <is>
          <t>Ниппель из оцинкованной стали толщиной 0,5мм, класса «В», Ø125</t>
        </is>
      </c>
      <c r="C307" s="17" t="inlineStr">
        <is>
          <t>шт.</t>
        </is>
      </c>
      <c r="D307" s="17" t="n"/>
      <c r="E307" s="17" t="n"/>
      <c r="F307" s="17" t="n"/>
      <c r="G307" s="17" t="n"/>
      <c r="H307" s="34" t="n"/>
      <c r="I307" s="46" t="n">
        <v>20</v>
      </c>
      <c r="J307" s="114">
        <f>I307</f>
        <v/>
      </c>
      <c r="K307" s="177" t="n">
        <v>630</v>
      </c>
      <c r="L307" s="94">
        <f>K307*I307</f>
        <v/>
      </c>
      <c r="M307" s="124" t="n">
        <v>370</v>
      </c>
      <c r="P307" s="186">
        <f>M307*J307</f>
        <v/>
      </c>
      <c r="Q307" s="186">
        <f>P307-L307</f>
        <v/>
      </c>
      <c r="S307" s="187" t="n">
        <v>630</v>
      </c>
      <c r="T307" s="187">
        <f>S307*J307</f>
        <v/>
      </c>
      <c r="U307" s="187">
        <f>T307-Y307</f>
        <v/>
      </c>
      <c r="V307" s="188" t="inlineStr">
        <is>
          <t>Согласно (ок)</t>
        </is>
      </c>
      <c r="W307" s="188" t="n"/>
      <c r="X307" s="127" t="inlineStr">
        <is>
          <t>ок</t>
        </is>
      </c>
      <c r="Y307" s="182">
        <f>IF(X307="ок",N(L307),IF(ISNUMBER(M307),M307*J307,N(L307)))</f>
        <v/>
      </c>
      <c r="Z307" s="182">
        <f>T307</f>
        <v/>
      </c>
    </row>
    <row r="308" ht="30" customHeight="1" s="155">
      <c r="A308" s="100" t="inlineStr">
        <is>
          <t>6,67</t>
        </is>
      </c>
      <c r="B308" s="19" t="inlineStr">
        <is>
          <t>Ниппель из оцинкованной стали толщиной 0,5мм, класса «В», Ø160</t>
        </is>
      </c>
      <c r="C308" s="17" t="inlineStr">
        <is>
          <t>шт.</t>
        </is>
      </c>
      <c r="D308" s="17" t="n"/>
      <c r="E308" s="17" t="n"/>
      <c r="F308" s="17" t="n"/>
      <c r="G308" s="17" t="n"/>
      <c r="H308" s="34" t="n"/>
      <c r="I308" s="46" t="n">
        <v>10</v>
      </c>
      <c r="J308" s="114">
        <f>I308</f>
        <v/>
      </c>
      <c r="K308" s="177" t="n">
        <v>630</v>
      </c>
      <c r="L308" s="94">
        <f>K308*I308</f>
        <v/>
      </c>
      <c r="M308" s="124" t="n">
        <v>370</v>
      </c>
      <c r="P308" s="186">
        <f>M308*J308</f>
        <v/>
      </c>
      <c r="Q308" s="186">
        <f>P308-L308</f>
        <v/>
      </c>
      <c r="S308" s="187" t="n">
        <v>630</v>
      </c>
      <c r="T308" s="187">
        <f>S308*J308</f>
        <v/>
      </c>
      <c r="U308" s="187">
        <f>T308-Y308</f>
        <v/>
      </c>
      <c r="V308" s="188" t="inlineStr">
        <is>
          <t>Согласно (ок)</t>
        </is>
      </c>
      <c r="W308" s="188" t="n"/>
      <c r="X308" s="127" t="inlineStr">
        <is>
          <t>ок</t>
        </is>
      </c>
      <c r="Y308" s="182">
        <f>IF(X308="ок",N(L308),IF(ISNUMBER(M308),M308*J308,N(L308)))</f>
        <v/>
      </c>
      <c r="Z308" s="182">
        <f>T308</f>
        <v/>
      </c>
    </row>
    <row r="309" ht="30" customHeight="1" s="155">
      <c r="A309" s="100" t="inlineStr">
        <is>
          <t>6,68</t>
        </is>
      </c>
      <c r="B309" s="19" t="inlineStr">
        <is>
          <t>Ниппель из оцинкованной стали толщиной 0,5мм, класса «В», Ø200</t>
        </is>
      </c>
      <c r="C309" s="17" t="inlineStr">
        <is>
          <t>шт.</t>
        </is>
      </c>
      <c r="D309" s="17" t="n"/>
      <c r="E309" s="17" t="n"/>
      <c r="F309" s="17" t="n"/>
      <c r="G309" s="17" t="n"/>
      <c r="H309" s="34" t="n"/>
      <c r="I309" s="46" t="n">
        <v>10</v>
      </c>
      <c r="J309" s="114">
        <f>I309</f>
        <v/>
      </c>
      <c r="K309" s="177" t="n">
        <v>630</v>
      </c>
      <c r="L309" s="94">
        <f>K309*I309</f>
        <v/>
      </c>
      <c r="M309" s="124" t="n">
        <v>370</v>
      </c>
      <c r="P309" s="186">
        <f>M309*J309</f>
        <v/>
      </c>
      <c r="Q309" s="186">
        <f>P309-L309</f>
        <v/>
      </c>
      <c r="S309" s="187" t="n">
        <v>630</v>
      </c>
      <c r="T309" s="187">
        <f>S309*J309</f>
        <v/>
      </c>
      <c r="U309" s="187">
        <f>T309-Y309</f>
        <v/>
      </c>
      <c r="V309" s="188" t="inlineStr">
        <is>
          <t>Согласно (ок)</t>
        </is>
      </c>
      <c r="W309" s="188" t="n"/>
      <c r="X309" s="127" t="inlineStr">
        <is>
          <t>ок</t>
        </is>
      </c>
      <c r="Y309" s="182">
        <f>IF(X309="ок",N(L309),IF(ISNUMBER(M309),M309*J309,N(L309)))</f>
        <v/>
      </c>
      <c r="Z309" s="182">
        <f>T309</f>
        <v/>
      </c>
    </row>
    <row r="310">
      <c r="A310" s="100" t="inlineStr">
        <is>
          <t>6,69</t>
        </is>
      </c>
      <c r="B310" s="19" t="inlineStr">
        <is>
          <t>Изоляция круглого изделия от Ф100-ф250</t>
        </is>
      </c>
      <c r="C310" s="17" t="inlineStr">
        <is>
          <t>шт.</t>
        </is>
      </c>
      <c r="D310" s="17" t="n"/>
      <c r="E310" s="17" t="n"/>
      <c r="F310" s="17" t="n"/>
      <c r="G310" s="17" t="n"/>
      <c r="H310" s="34" t="n"/>
      <c r="I310" s="46" t="n">
        <v>1</v>
      </c>
      <c r="J310" s="114">
        <f>I310</f>
        <v/>
      </c>
      <c r="K310" s="38" t="n">
        <v>1296</v>
      </c>
      <c r="L310" s="94">
        <f>K310*I310</f>
        <v/>
      </c>
      <c r="S310" s="182" t="n"/>
      <c r="T310" s="182" t="n"/>
      <c r="U310" s="182" t="n"/>
      <c r="V310" s="183" t="n"/>
      <c r="W310" s="183" t="n"/>
      <c r="Y310" s="182">
        <f>IF(X310="ок",N(L310),IF(ISNUMBER(M310),M310*J310,N(L310)))</f>
        <v/>
      </c>
      <c r="Z310" s="182">
        <f>Y310</f>
        <v/>
      </c>
    </row>
    <row r="311">
      <c r="A311" s="100" t="inlineStr">
        <is>
          <t>6,70</t>
        </is>
      </c>
      <c r="B311" s="19" t="inlineStr">
        <is>
          <t xml:space="preserve">Изоляция прямоугольного изделия </t>
        </is>
      </c>
      <c r="C311" s="17" t="inlineStr">
        <is>
          <t>шт.</t>
        </is>
      </c>
      <c r="D311" s="17" t="n"/>
      <c r="E311" s="17" t="n"/>
      <c r="F311" s="17" t="n"/>
      <c r="G311" s="17" t="n"/>
      <c r="H311" s="34" t="n"/>
      <c r="I311" s="46" t="n">
        <v>1</v>
      </c>
      <c r="J311" s="114">
        <f>I311</f>
        <v/>
      </c>
      <c r="K311" s="38" t="n">
        <v>3240</v>
      </c>
      <c r="L311" s="94">
        <f>K311*I311</f>
        <v/>
      </c>
      <c r="S311" s="182" t="n"/>
      <c r="T311" s="182" t="n"/>
      <c r="U311" s="182" t="n"/>
      <c r="V311" s="183" t="n"/>
      <c r="W311" s="183" t="n"/>
      <c r="Y311" s="182">
        <f>IF(X311="ок",N(L311),IF(ISNUMBER(M311),M311*J311,N(L311)))</f>
        <v/>
      </c>
      <c r="Z311" s="182">
        <f>Y311</f>
        <v/>
      </c>
    </row>
    <row r="312" ht="51" customHeight="1" s="155">
      <c r="A312" s="100" t="inlineStr">
        <is>
          <t>6,72</t>
        </is>
      </c>
      <c r="B312" s="19" t="inlineStr">
        <is>
          <t>Изоляция прямоугольных воздуховодов</t>
        </is>
      </c>
      <c r="C312" s="17" t="inlineStr">
        <is>
          <t>м2</t>
        </is>
      </c>
      <c r="D312" s="17" t="n"/>
      <c r="E312" s="17" t="n"/>
      <c r="F312" s="17" t="n"/>
      <c r="G312" s="17" t="n"/>
      <c r="H312" s="34" t="n"/>
      <c r="I312" s="46" t="n">
        <v>150</v>
      </c>
      <c r="J312" s="114">
        <f>I312</f>
        <v/>
      </c>
      <c r="K312" s="131" t="n">
        <v>800</v>
      </c>
      <c r="L312" s="94">
        <f>K312*I312</f>
        <v/>
      </c>
      <c r="M312" s="124" t="n">
        <v>800</v>
      </c>
      <c r="P312" s="186">
        <f>M312*J312</f>
        <v/>
      </c>
      <c r="Q312" s="186">
        <f>P312-L312</f>
        <v/>
      </c>
      <c r="S312" s="184" t="n">
        <v>1040</v>
      </c>
      <c r="T312" s="184">
        <f>S312*J312</f>
        <v/>
      </c>
      <c r="U312" s="184">
        <f>T312-Y312</f>
        <v/>
      </c>
      <c r="V312" s="185" t="inlineStr">
        <is>
          <t>Компромисс</t>
        </is>
      </c>
      <c r="W312" s="185" t="n"/>
      <c r="X312" s="174" t="inlineStr">
        <is>
          <t>Цену за изоляцию и так подняли относительно изначального КП. Не можем поднимать цены относительно изначального Договора на 150%. Надо было изначально грамотно оценивать КП</t>
        </is>
      </c>
      <c r="Y312" s="182">
        <f>IF(X312="ок",N(L312),IF(ISNUMBER(M312),M312*J312,N(L312)))</f>
        <v/>
      </c>
      <c r="Z312" s="182">
        <f>T312</f>
        <v/>
      </c>
    </row>
    <row r="313" ht="51" customHeight="1" s="155">
      <c r="A313" s="100" t="inlineStr">
        <is>
          <t>6,73</t>
        </is>
      </c>
      <c r="B313" s="19" t="inlineStr">
        <is>
          <t>Изоляция круглых  воздуховодов</t>
        </is>
      </c>
      <c r="C313" s="17" t="inlineStr">
        <is>
          <t>мп</t>
        </is>
      </c>
      <c r="D313" s="17" t="n"/>
      <c r="E313" s="17" t="n"/>
      <c r="F313" s="17" t="n"/>
      <c r="G313" s="17" t="n"/>
      <c r="H313" s="34" t="n"/>
      <c r="I313" s="46" t="n">
        <v>80</v>
      </c>
      <c r="J313" s="114">
        <f>I313</f>
        <v/>
      </c>
      <c r="K313" s="131" t="n">
        <v>800</v>
      </c>
      <c r="L313" s="94">
        <f>K313*I313</f>
        <v/>
      </c>
      <c r="M313" s="124" t="n">
        <v>800</v>
      </c>
      <c r="N313" s="119" t="inlineStr">
        <is>
          <t>за м2</t>
        </is>
      </c>
      <c r="P313" s="186">
        <f>M313*J313</f>
        <v/>
      </c>
      <c r="Q313" s="186">
        <f>P313-L313</f>
        <v/>
      </c>
      <c r="S313" s="184" t="n">
        <v>1020</v>
      </c>
      <c r="T313" s="184">
        <f>S313*J313</f>
        <v/>
      </c>
      <c r="U313" s="184">
        <f>T313-Y313</f>
        <v/>
      </c>
      <c r="V313" s="185" t="inlineStr">
        <is>
          <t>Компромисс</t>
        </is>
      </c>
      <c r="W313" s="185" t="n"/>
      <c r="X313" s="174" t="inlineStr">
        <is>
          <t>Цену за изоляцию и так подняли относительно изначального КП. Не можем поднимать цены относительно изначального Договора на 150%. Надо было изначально грамотно оценивать КП</t>
        </is>
      </c>
      <c r="Y313" s="182">
        <f>IF(X313="ок",N(L313),IF(ISNUMBER(M313),M313*J313,N(L313)))</f>
        <v/>
      </c>
      <c r="Z313" s="182">
        <f>T313</f>
        <v/>
      </c>
    </row>
    <row r="314">
      <c r="A314" s="100" t="inlineStr">
        <is>
          <t>6,74</t>
        </is>
      </c>
      <c r="B314" s="19" t="inlineStr">
        <is>
          <t>ПНР 2й этаж</t>
        </is>
      </c>
      <c r="C314" s="17" t="inlineStr">
        <is>
          <t>к-т</t>
        </is>
      </c>
      <c r="D314" s="17" t="n"/>
      <c r="E314" s="17" t="n"/>
      <c r="F314" s="17" t="n"/>
      <c r="G314" s="17" t="n"/>
      <c r="H314" s="34" t="n"/>
      <c r="I314" s="46" t="n">
        <v>1</v>
      </c>
      <c r="J314" s="114">
        <f>I314</f>
        <v/>
      </c>
      <c r="K314" s="128" t="n">
        <v>95000</v>
      </c>
      <c r="L314" s="94">
        <f>K314*I314</f>
        <v/>
      </c>
      <c r="M314" s="127" t="n">
        <v>95000</v>
      </c>
      <c r="N314" s="119" t="inlineStr">
        <is>
          <t>по тип.эт</t>
        </is>
      </c>
      <c r="P314" s="186">
        <f>M314*J314</f>
        <v/>
      </c>
      <c r="Q314" s="186">
        <f>P314-L314</f>
        <v/>
      </c>
      <c r="S314" s="184" t="n">
        <v>123500</v>
      </c>
      <c r="T314" s="184">
        <f>S314*J314</f>
        <v/>
      </c>
      <c r="U314" s="184">
        <f>T314-Y314</f>
        <v/>
      </c>
      <c r="V314" s="185" t="inlineStr">
        <is>
          <t>Компромисс</t>
        </is>
      </c>
      <c r="W314" s="185" t="n"/>
      <c r="Y314" s="182">
        <f>IF(X314="ок",N(L314),IF(ISNUMBER(M314),M314*J314,N(L314)))</f>
        <v/>
      </c>
      <c r="Z314" s="182">
        <f>T314</f>
        <v/>
      </c>
    </row>
    <row r="315" ht="15" customHeight="1" s="155">
      <c r="A315" s="101" t="n"/>
      <c r="B315" s="30" t="inlineStr">
        <is>
          <t>Дымоудаление</t>
        </is>
      </c>
      <c r="C315" s="25" t="n"/>
      <c r="D315" s="25" t="n"/>
      <c r="E315" s="25" t="n"/>
      <c r="F315" s="25" t="n"/>
      <c r="G315" s="25" t="n"/>
      <c r="H315" s="36" t="n"/>
      <c r="I315" s="36" t="n"/>
      <c r="J315" s="62" t="n"/>
      <c r="K315" s="43" t="n"/>
      <c r="L315" s="102">
        <f>SUM(L316:L319)</f>
        <v/>
      </c>
      <c r="S315" s="180" t="n"/>
      <c r="T315" s="180" t="n"/>
      <c r="U315" s="180" t="n"/>
      <c r="V315" s="180" t="n"/>
      <c r="W315" s="180" t="n"/>
      <c r="Y315" s="180" t="n"/>
      <c r="Z315" s="180" t="n"/>
    </row>
    <row r="316" ht="38.25" customHeight="1" s="155">
      <c r="A316" s="100" t="inlineStr">
        <is>
          <t>6,75</t>
        </is>
      </c>
      <c r="B316" s="19" t="inlineStr">
        <is>
          <t>Воздуховод 800*500</t>
        </is>
      </c>
      <c r="C316" s="17" t="inlineStr">
        <is>
          <t>м2</t>
        </is>
      </c>
      <c r="D316" s="17" t="n"/>
      <c r="E316" s="17" t="n"/>
      <c r="F316" s="17" t="n"/>
      <c r="G316" s="17" t="n"/>
      <c r="H316" s="34" t="n"/>
      <c r="I316" s="46" t="n">
        <v>168</v>
      </c>
      <c r="J316" s="114">
        <f>I316</f>
        <v/>
      </c>
      <c r="K316" s="40" t="n"/>
      <c r="L316" s="97" t="n"/>
      <c r="M316" s="119" t="inlineStr">
        <is>
          <t>удалить (если будут данные позиции сделаем отдельный допник)</t>
        </is>
      </c>
      <c r="S316" s="189" t="n"/>
      <c r="T316" s="189" t="n"/>
      <c r="U316" s="189" t="n"/>
      <c r="V316" s="190" t="inlineStr">
        <is>
          <t>Отдельное КП</t>
        </is>
      </c>
      <c r="W316" s="190" t="inlineStr">
        <is>
          <t>Исключаем из этого КП, оформим отдельным КП.</t>
        </is>
      </c>
      <c r="X316" s="174" t="inlineStr">
        <is>
          <t>необходимость данных работ не подтверждена. Просил сделать отдельное КП, зачем включили в общее - непонятно</t>
        </is>
      </c>
      <c r="Y316" s="182">
        <f>IF(X316="ок",N(L316),IF(ISNUMBER(M316),M316*J316,N(L316)))</f>
        <v/>
      </c>
      <c r="Z316" s="182" t="n">
        <v>0</v>
      </c>
    </row>
    <row r="317" ht="38.25" customHeight="1" s="155">
      <c r="A317" s="100" t="inlineStr">
        <is>
          <t>6,76</t>
        </is>
      </c>
      <c r="B317" s="19" t="inlineStr">
        <is>
          <t>Изоляция М-БОР</t>
        </is>
      </c>
      <c r="C317" s="17" t="inlineStr">
        <is>
          <t>м2</t>
        </is>
      </c>
      <c r="D317" s="17" t="n"/>
      <c r="E317" s="17" t="n"/>
      <c r="F317" s="17" t="n"/>
      <c r="G317" s="17" t="n"/>
      <c r="H317" s="34" t="n"/>
      <c r="I317" s="46" t="n">
        <v>186</v>
      </c>
      <c r="J317" s="114">
        <f>I317</f>
        <v/>
      </c>
      <c r="K317" s="40" t="n"/>
      <c r="L317" s="97" t="n"/>
      <c r="M317" s="119" t="inlineStr">
        <is>
          <t>удалить (если будут данные позиции сделаем отдельный допник)</t>
        </is>
      </c>
      <c r="S317" s="189" t="n"/>
      <c r="T317" s="189" t="n"/>
      <c r="U317" s="189" t="n"/>
      <c r="V317" s="190" t="inlineStr">
        <is>
          <t>Отдельное КП</t>
        </is>
      </c>
      <c r="W317" s="190" t="inlineStr">
        <is>
          <t>Исключаем из этого КП, оформим отдельным КП.</t>
        </is>
      </c>
      <c r="X317" s="174" t="inlineStr">
        <is>
          <t>необходимость данных работ не подтверждена. Просил сделать отдельное КП, зачем включили в общее - непонятно</t>
        </is>
      </c>
      <c r="Y317" s="182">
        <f>IF(X317="ок",N(L317),IF(ISNUMBER(M317),M317*J317,N(L317)))</f>
        <v/>
      </c>
      <c r="Z317" s="182" t="n">
        <v>0</v>
      </c>
    </row>
    <row r="318" ht="38.25" customHeight="1" s="155">
      <c r="A318" s="100" t="inlineStr">
        <is>
          <t>6,77</t>
        </is>
      </c>
      <c r="B318" s="19" t="inlineStr">
        <is>
          <t>Отвод 90гр 800*500</t>
        </is>
      </c>
      <c r="C318" s="17" t="inlineStr">
        <is>
          <t>шт.</t>
        </is>
      </c>
      <c r="D318" s="17" t="n"/>
      <c r="E318" s="17" t="n"/>
      <c r="F318" s="17" t="n"/>
      <c r="G318" s="17" t="n"/>
      <c r="H318" s="34" t="n"/>
      <c r="I318" s="46" t="n">
        <v>3</v>
      </c>
      <c r="J318" s="114">
        <f>I318</f>
        <v/>
      </c>
      <c r="K318" s="41" t="n"/>
      <c r="L318" s="97" t="n"/>
      <c r="M318" s="119" t="inlineStr">
        <is>
          <t>удалить (если будут данные позиции сделаем отдельный допник)</t>
        </is>
      </c>
      <c r="S318" s="189" t="n"/>
      <c r="T318" s="189" t="n"/>
      <c r="U318" s="189" t="n"/>
      <c r="V318" s="190" t="inlineStr">
        <is>
          <t>Отдельное КП</t>
        </is>
      </c>
      <c r="W318" s="190" t="inlineStr">
        <is>
          <t>Исключаем из этого КП, оформим отдельным КП.</t>
        </is>
      </c>
      <c r="X318" s="174" t="inlineStr">
        <is>
          <t>необходимость данных работ не подтверждена. Просил сделать отдельное КП, зачем включили в общее - непонятно</t>
        </is>
      </c>
      <c r="Y318" s="182">
        <f>IF(X318="ок",N(L318),IF(ISNUMBER(M318),M318*J318,N(L318)))</f>
        <v/>
      </c>
      <c r="Z318" s="182" t="n">
        <v>0</v>
      </c>
    </row>
    <row r="319" ht="38.25" customHeight="1" s="155">
      <c r="A319" s="100" t="inlineStr">
        <is>
          <t>6,78</t>
        </is>
      </c>
      <c r="B319" s="19" t="inlineStr">
        <is>
          <t>Отвод 45гр 800*500</t>
        </is>
      </c>
      <c r="C319" s="17" t="inlineStr">
        <is>
          <t>шт.</t>
        </is>
      </c>
      <c r="D319" s="17" t="n"/>
      <c r="E319" s="17" t="n"/>
      <c r="F319" s="17" t="n"/>
      <c r="G319" s="17" t="n"/>
      <c r="H319" s="34" t="n"/>
      <c r="I319" s="46" t="n">
        <v>6</v>
      </c>
      <c r="J319" s="114">
        <f>I319</f>
        <v/>
      </c>
      <c r="K319" s="41" t="n"/>
      <c r="L319" s="97" t="n"/>
      <c r="M319" s="119" t="inlineStr">
        <is>
          <t>удалить (если будут данные позиции сделаем отдельный допник)</t>
        </is>
      </c>
      <c r="S319" s="189" t="n"/>
      <c r="T319" s="189" t="n"/>
      <c r="U319" s="189" t="n"/>
      <c r="V319" s="190" t="inlineStr">
        <is>
          <t>Отдельное КП</t>
        </is>
      </c>
      <c r="W319" s="190" t="inlineStr">
        <is>
          <t>Исключаем из этого КП, оформим отдельным КП.</t>
        </is>
      </c>
      <c r="X319" s="174" t="inlineStr">
        <is>
          <t>необходимость данных работ не подтверждена. Просил сделать отдельное КП, зачем включили в общее - непонятно</t>
        </is>
      </c>
      <c r="Y319" s="182">
        <f>IF(X319="ок",N(L319),IF(ISNUMBER(M319),M319*J319,N(L319)))</f>
        <v/>
      </c>
      <c r="Z319" s="182" t="n">
        <v>0</v>
      </c>
    </row>
    <row r="320" ht="18.75" customHeight="1" s="155">
      <c r="A320" s="103" t="inlineStr">
        <is>
          <t>7</t>
        </is>
      </c>
      <c r="B320" s="33" t="inlineStr">
        <is>
          <t>Холодоснабжение 2 этаж</t>
        </is>
      </c>
      <c r="C320" s="29" t="n"/>
      <c r="D320" s="29" t="n"/>
      <c r="E320" s="29" t="n"/>
      <c r="F320" s="29" t="n"/>
      <c r="G320" s="29" t="n"/>
      <c r="H320" s="37" t="n"/>
      <c r="I320" s="54" t="n"/>
      <c r="J320" s="61" t="n"/>
      <c r="K320" s="44" t="n"/>
      <c r="L320" s="104">
        <f>SUM(L321:L327)</f>
        <v/>
      </c>
      <c r="S320" s="180" t="n"/>
      <c r="T320" s="180" t="n"/>
      <c r="U320" s="180" t="n"/>
      <c r="V320" s="180" t="n"/>
      <c r="W320" s="180" t="n"/>
      <c r="Y320" s="180" t="n"/>
      <c r="Z320" s="180" t="n"/>
    </row>
    <row r="321" ht="89.25" customHeight="1" s="155">
      <c r="A321" s="100" t="inlineStr">
        <is>
          <t>7,1</t>
        </is>
      </c>
      <c r="B321" s="19" t="inlineStr">
        <is>
          <t>Фанкойл кассетный, 600x600 SK-12</t>
        </is>
      </c>
      <c r="C321" s="17" t="inlineStr">
        <is>
          <t>шт.</t>
        </is>
      </c>
      <c r="D321" s="17" t="n"/>
      <c r="E321" s="17" t="n"/>
      <c r="F321" s="17" t="n"/>
      <c r="G321" s="17" t="n"/>
      <c r="H321" s="34" t="n"/>
      <c r="I321" s="46" t="n">
        <v>31</v>
      </c>
      <c r="J321" s="114">
        <f>I321</f>
        <v/>
      </c>
      <c r="K321" s="132" t="n">
        <v>14000</v>
      </c>
      <c r="L321" s="94">
        <f>K321*I321</f>
        <v/>
      </c>
      <c r="M321" s="124" t="n">
        <v>14000</v>
      </c>
      <c r="P321" s="186">
        <f>M321*J321</f>
        <v/>
      </c>
      <c r="Q321" s="186">
        <f>P321-L321</f>
        <v/>
      </c>
      <c r="S321" s="184" t="n">
        <v>18200</v>
      </c>
      <c r="T321" s="184">
        <f>S321*J321</f>
        <v/>
      </c>
      <c r="U321" s="184">
        <f>T321-Y321</f>
        <v/>
      </c>
      <c r="V321" s="185" t="inlineStr">
        <is>
          <t>Компромисс</t>
        </is>
      </c>
      <c r="W321" s="185" t="n"/>
      <c r="X321" s="175" t="inlineStr">
        <is>
          <t>У вас в этой позиции только монтаж фанкойла - 4 шпильки и выравнивание по высоте, абсолютно идентичная работа как с балками на типовом. И так добавили 4000</t>
        </is>
      </c>
      <c r="Y321" s="182">
        <f>IF(X321="ок",N(L321),IF(ISNUMBER(M321),M321*J321,N(L321)))</f>
        <v/>
      </c>
      <c r="Z321" s="182">
        <f>T321</f>
        <v/>
      </c>
    </row>
    <row r="322" ht="30" customHeight="1" s="155">
      <c r="A322" s="100" t="inlineStr">
        <is>
          <t>7,3</t>
        </is>
      </c>
      <c r="B322" s="19" t="inlineStr">
        <is>
          <t>Шаровый кран полнопроходной с накидной гайкой, Ду15 BVR-FR</t>
        </is>
      </c>
      <c r="C322" s="17" t="inlineStr">
        <is>
          <t>шт.</t>
        </is>
      </c>
      <c r="D322" s="17" t="n"/>
      <c r="E322" s="17" t="n"/>
      <c r="F322" s="17" t="n"/>
      <c r="G322" s="17" t="n"/>
      <c r="H322" s="34" t="n"/>
      <c r="I322" s="46" t="n">
        <v>4</v>
      </c>
      <c r="J322" s="114">
        <f>I322</f>
        <v/>
      </c>
      <c r="K322" s="45" t="n">
        <v>1620</v>
      </c>
      <c r="L322" s="94">
        <f>K322*I322</f>
        <v/>
      </c>
      <c r="S322" s="182" t="n"/>
      <c r="T322" s="182" t="n"/>
      <c r="U322" s="182" t="n"/>
      <c r="V322" s="183" t="n"/>
      <c r="W322" s="183" t="n"/>
      <c r="Y322" s="182">
        <f>IF(X322="ок",N(L322),IF(ISNUMBER(M322),M322*J322,N(L322)))</f>
        <v/>
      </c>
      <c r="Z322" s="182">
        <f>Y322</f>
        <v/>
      </c>
    </row>
    <row r="323">
      <c r="A323" s="100" t="inlineStr">
        <is>
          <t>7,4</t>
        </is>
      </c>
      <c r="B323" s="19" t="inlineStr">
        <is>
          <t>Воздухоотводчик автоматический, Ду15 Airvent-R</t>
        </is>
      </c>
      <c r="C323" s="17" t="inlineStr">
        <is>
          <t>шт.</t>
        </is>
      </c>
      <c r="D323" s="17" t="n"/>
      <c r="E323" s="17" t="n"/>
      <c r="F323" s="17" t="n"/>
      <c r="G323" s="17" t="n"/>
      <c r="H323" s="34" t="n"/>
      <c r="I323" s="46" t="n">
        <v>4</v>
      </c>
      <c r="J323" s="114">
        <f>I323</f>
        <v/>
      </c>
      <c r="K323" s="129" t="n">
        <v>500</v>
      </c>
      <c r="L323" s="94">
        <f>K323*I323</f>
        <v/>
      </c>
      <c r="M323" s="124" t="n">
        <v>500</v>
      </c>
      <c r="N323" s="119" t="inlineStr">
        <is>
          <t>по договру</t>
        </is>
      </c>
      <c r="P323" s="186">
        <f>M323*J323</f>
        <v/>
      </c>
      <c r="Q323" s="186">
        <f>P323-L323</f>
        <v/>
      </c>
      <c r="S323" s="184" t="n">
        <v>650</v>
      </c>
      <c r="T323" s="184">
        <f>S323*J323</f>
        <v/>
      </c>
      <c r="U323" s="184">
        <f>T323-Y323</f>
        <v/>
      </c>
      <c r="V323" s="185" t="inlineStr">
        <is>
          <t>Компромисс</t>
        </is>
      </c>
      <c r="W323" s="185" t="n"/>
      <c r="Y323" s="182">
        <f>IF(X323="ок",N(L323),IF(ISNUMBER(M323),M323*J323,N(L323)))</f>
        <v/>
      </c>
      <c r="Z323" s="182">
        <f>T323</f>
        <v/>
      </c>
    </row>
    <row r="324">
      <c r="A324" s="100" t="inlineStr">
        <is>
          <t>7,5</t>
        </is>
      </c>
      <c r="B324" s="19" t="inlineStr">
        <is>
          <t>Комбинированный балансировочный клапан, Ду20</t>
        </is>
      </c>
      <c r="C324" s="17" t="inlineStr">
        <is>
          <t>шт.</t>
        </is>
      </c>
      <c r="D324" s="17" t="n"/>
      <c r="E324" s="17" t="n"/>
      <c r="F324" s="17" t="n"/>
      <c r="G324" s="17" t="n"/>
      <c r="H324" s="34" t="n"/>
      <c r="I324" s="46" t="n">
        <v>31</v>
      </c>
      <c r="J324" s="114">
        <f>I324</f>
        <v/>
      </c>
      <c r="K324" s="129" t="n">
        <v>1994</v>
      </c>
      <c r="L324" s="94">
        <f>K324*I324</f>
        <v/>
      </c>
      <c r="M324" s="127" t="n">
        <v>1994</v>
      </c>
      <c r="N324" s="119" t="inlineStr">
        <is>
          <t>в п.5.5 стоит 1944</t>
        </is>
      </c>
      <c r="P324" s="186">
        <f>M324*J324</f>
        <v/>
      </c>
      <c r="Q324" s="186">
        <f>P324-L324</f>
        <v/>
      </c>
      <c r="S324" s="184" t="n">
        <v>2268</v>
      </c>
      <c r="T324" s="184">
        <f>S324*J324</f>
        <v/>
      </c>
      <c r="U324" s="184">
        <f>T324-Y324</f>
        <v/>
      </c>
      <c r="V324" s="185" t="inlineStr">
        <is>
          <t>Компромисс</t>
        </is>
      </c>
      <c r="W324" s="185" t="n"/>
      <c r="Y324" s="182">
        <f>IF(X324="ок",N(L324),IF(ISNUMBER(M324),M324*J324,N(L324)))</f>
        <v/>
      </c>
      <c r="Z324" s="182">
        <f>T324</f>
        <v/>
      </c>
    </row>
    <row r="325" ht="30" customHeight="1" s="155">
      <c r="A325" s="100" t="inlineStr">
        <is>
          <t>7,6</t>
        </is>
      </c>
      <c r="B325" s="19" t="inlineStr">
        <is>
          <t>Комплект трехходовой клапан, запорные краны, медные патрубки</t>
        </is>
      </c>
      <c r="C325" s="17" t="inlineStr">
        <is>
          <t>шт.</t>
        </is>
      </c>
      <c r="D325" s="17" t="n"/>
      <c r="E325" s="17" t="n"/>
      <c r="F325" s="17" t="n"/>
      <c r="G325" s="17" t="n"/>
      <c r="H325" s="34" t="n"/>
      <c r="I325" s="46" t="n">
        <v>31</v>
      </c>
      <c r="J325" s="114">
        <f>I325</f>
        <v/>
      </c>
      <c r="K325" s="129" t="n">
        <v>1994</v>
      </c>
      <c r="L325" s="94">
        <f>K325*I325</f>
        <v/>
      </c>
      <c r="M325" s="127" t="n">
        <v>1994</v>
      </c>
      <c r="N325" s="119" t="inlineStr">
        <is>
          <t>в п.5.5 стоит 1944</t>
        </is>
      </c>
      <c r="P325" s="186">
        <f>M325*J325</f>
        <v/>
      </c>
      <c r="Q325" s="186">
        <f>P325-L325</f>
        <v/>
      </c>
      <c r="S325" s="184" t="n">
        <v>2268</v>
      </c>
      <c r="T325" s="184">
        <f>S325*J325</f>
        <v/>
      </c>
      <c r="U325" s="184">
        <f>T325-Y325</f>
        <v/>
      </c>
      <c r="V325" s="185" t="inlineStr">
        <is>
          <t>Компромисс</t>
        </is>
      </c>
      <c r="W325" s="185" t="n"/>
      <c r="Y325" s="182">
        <f>IF(X325="ок",N(L325),IF(ISNUMBER(M325),M325*J325,N(L325)))</f>
        <v/>
      </c>
      <c r="Z325" s="182">
        <f>T325</f>
        <v/>
      </c>
    </row>
    <row r="326" ht="26.45" customHeight="1" s="155">
      <c r="A326" s="100" t="inlineStr">
        <is>
          <t>7,7</t>
        </is>
      </c>
      <c r="B326" s="19" t="inlineStr">
        <is>
          <t>теплоизоляция труб</t>
        </is>
      </c>
      <c r="C326" s="17" t="inlineStr">
        <is>
          <t>м.п.</t>
        </is>
      </c>
      <c r="D326" s="17" t="n"/>
      <c r="E326" s="17" t="n"/>
      <c r="F326" s="17" t="n"/>
      <c r="G326" s="17" t="n"/>
      <c r="H326" s="34" t="n"/>
      <c r="I326" s="46" t="n">
        <v>30</v>
      </c>
      <c r="J326" s="114">
        <f>I326</f>
        <v/>
      </c>
      <c r="K326" s="129" t="n">
        <v>486</v>
      </c>
      <c r="L326" s="94">
        <f>K326*I326</f>
        <v/>
      </c>
      <c r="M326" s="170" t="n">
        <v>228</v>
      </c>
      <c r="N326" s="119" t="inlineStr">
        <is>
          <t>по договору</t>
        </is>
      </c>
      <c r="O326" s="125" t="inlineStr">
        <is>
          <t>Цена Согласована Марк</t>
        </is>
      </c>
      <c r="P326" s="186">
        <f>M326*J326</f>
        <v/>
      </c>
      <c r="Q326" s="186">
        <f>P326-L326</f>
        <v/>
      </c>
      <c r="S326" s="184" t="n">
        <v>295</v>
      </c>
      <c r="T326" s="184">
        <f>S326*J326</f>
        <v/>
      </c>
      <c r="U326" s="184">
        <f>T326-Y326</f>
        <v/>
      </c>
      <c r="V326" s="185" t="inlineStr">
        <is>
          <t>Компромисс</t>
        </is>
      </c>
      <c r="W326" s="185" t="n"/>
      <c r="X326" s="127" t="inlineStr">
        <is>
          <t>Внимательнее смотрите согласованные цены</t>
        </is>
      </c>
      <c r="Y326" s="182">
        <f>IF(X326="ок",N(L326),IF(ISNUMBER(M326),M326*J326,N(L326)))</f>
        <v/>
      </c>
      <c r="Z326" s="182">
        <f>T326</f>
        <v/>
      </c>
    </row>
    <row r="327" ht="14.45" customHeight="1" s="155" thickBot="1">
      <c r="A327" s="105" t="inlineStr">
        <is>
          <t>7,11</t>
        </is>
      </c>
      <c r="B327" s="106" t="inlineStr">
        <is>
          <t>ПНР 2й этаж</t>
        </is>
      </c>
      <c r="C327" s="107" t="inlineStr">
        <is>
          <t>к-т</t>
        </is>
      </c>
      <c r="D327" s="107" t="n"/>
      <c r="E327" s="107" t="n"/>
      <c r="F327" s="107" t="n"/>
      <c r="G327" s="107" t="n"/>
      <c r="H327" s="108" t="n"/>
      <c r="I327" s="109" t="n">
        <v>1</v>
      </c>
      <c r="J327" s="115">
        <f>I327</f>
        <v/>
      </c>
      <c r="K327" s="178" t="n">
        <v>120000</v>
      </c>
      <c r="L327" s="110">
        <f>K327*I327</f>
        <v/>
      </c>
      <c r="M327" s="127" t="n">
        <v>120000</v>
      </c>
      <c r="N327" s="119" t="inlineStr">
        <is>
          <t>по тип.эт</t>
        </is>
      </c>
      <c r="P327" s="186">
        <f>M327*J327</f>
        <v/>
      </c>
      <c r="Q327" s="186">
        <f>P327-L327</f>
        <v/>
      </c>
      <c r="S327" s="184" t="n">
        <v>156000</v>
      </c>
      <c r="T327" s="184">
        <f>S327*J327</f>
        <v/>
      </c>
      <c r="U327" s="184">
        <f>T327-Y327</f>
        <v/>
      </c>
      <c r="V327" s="185" t="inlineStr">
        <is>
          <t>Компромисс</t>
        </is>
      </c>
      <c r="W327" s="185" t="n"/>
      <c r="Y327" s="182">
        <f>IF(X327="ок",N(L327),IF(ISNUMBER(M327),M327*J327,N(L327)))</f>
        <v/>
      </c>
      <c r="Z327" s="182">
        <f>T327</f>
        <v/>
      </c>
    </row>
    <row r="328" ht="14.45" customHeight="1" s="155" thickBot="1">
      <c r="S328" s="180" t="n"/>
      <c r="T328" s="180" t="n"/>
      <c r="U328" s="180" t="n"/>
      <c r="V328" s="180" t="n"/>
      <c r="W328" s="180" t="n"/>
      <c r="Y328" s="180" t="n"/>
      <c r="Z328" s="180" t="n"/>
    </row>
    <row r="329" ht="18" customHeight="1" s="155" thickBot="1">
      <c r="A329" s="156" t="inlineStr">
        <is>
          <t>ИТОГО ОБЩАЯ СУММА РАБОТ 2,3,7,8,9,10 этажам</t>
        </is>
      </c>
      <c r="B329" s="157" t="n"/>
      <c r="C329" s="157" t="n"/>
      <c r="D329" s="157" t="n"/>
      <c r="E329" s="157" t="n"/>
      <c r="F329" s="157" t="n"/>
      <c r="G329" s="157" t="n"/>
      <c r="H329" s="157" t="n"/>
      <c r="I329" s="157" t="n"/>
      <c r="J329" s="157" t="n"/>
      <c r="K329" s="157" t="n"/>
      <c r="L329" s="111">
        <f>L320+L241+L205+L115+L84+L40+L5+L315+L200</f>
        <v/>
      </c>
      <c r="Q329" s="191">
        <f>SUM(Q5:Q327)</f>
        <v/>
      </c>
      <c r="S329" s="180" t="n"/>
      <c r="T329" s="180" t="n"/>
      <c r="U329" s="180" t="n"/>
      <c r="V329" s="180" t="n"/>
      <c r="W329" s="180" t="n"/>
      <c r="Y329" s="180" t="n"/>
      <c r="Z329" s="180" t="n"/>
    </row>
    <row r="330">
      <c r="S330" s="180" t="n"/>
      <c r="T330" s="180" t="n"/>
      <c r="U330" s="180" t="n"/>
      <c r="V330" s="180" t="n"/>
      <c r="W330" s="180" t="n"/>
      <c r="Y330" s="180" t="n"/>
      <c r="Z330" s="180" t="n"/>
    </row>
    <row r="331">
      <c r="S331" s="180" t="n"/>
      <c r="T331" s="180" t="n"/>
      <c r="U331" s="180" t="n"/>
      <c r="V331" s="180" t="n"/>
      <c r="W331" s="180" t="n"/>
      <c r="Y331" s="180" t="n"/>
      <c r="Z331" s="180" t="n"/>
    </row>
    <row r="332">
      <c r="A332" s="158" t="inlineStr">
        <is>
          <t>ПОЗИЦИИ, ИСКЛЮЧЁННЫЕ ИЗ КП БЕЗ КОММЕНТАРИЕВ - ПОДРЯДЧИК ПРОСИТ ВЕРНУТЬ</t>
        </is>
      </c>
      <c r="S332" s="180" t="n"/>
      <c r="T332" s="180" t="n"/>
      <c r="U332" s="180" t="n"/>
      <c r="V332" s="180" t="n"/>
      <c r="W332" s="180" t="n"/>
      <c r="Y332" s="180" t="n"/>
      <c r="Z332" s="180" t="n"/>
    </row>
    <row r="333" ht="51" customHeight="1" s="155">
      <c r="A333" s="147" t="inlineStr">
        <is>
          <t>№ п/п</t>
        </is>
      </c>
      <c r="B333" s="147" t="inlineStr">
        <is>
          <t>НАИМЕНОВАНИЕ</t>
        </is>
      </c>
      <c r="C333" s="147" t="inlineStr">
        <is>
          <t>Ед. изм</t>
        </is>
      </c>
      <c r="J333" s="147" t="inlineStr">
        <is>
          <t>Кол-во</t>
        </is>
      </c>
      <c r="K333" s="147" t="inlineStr">
        <is>
          <t>Цена за ед., руб.</t>
        </is>
      </c>
      <c r="L333" s="147" t="inlineStr">
        <is>
          <t>Всего, руб.</t>
        </is>
      </c>
      <c r="S333" s="192" t="n"/>
      <c r="T333" s="192" t="n"/>
      <c r="U333" s="192" t="n"/>
      <c r="V333" s="193" t="inlineStr">
        <is>
          <t>Решение</t>
        </is>
      </c>
      <c r="W333" s="193" t="inlineStr">
        <is>
          <t>Комментарий Подрядчика</t>
        </is>
      </c>
      <c r="Y333" s="180" t="n"/>
      <c r="Z333" s="180" t="n"/>
    </row>
    <row r="334" ht="51" customHeight="1" s="155">
      <c r="A334" s="149" t="inlineStr">
        <is>
          <t>5,35</t>
        </is>
      </c>
      <c r="B334" s="150" t="inlineStr">
        <is>
          <t>Дренаж (10 этаж)</t>
        </is>
      </c>
      <c r="C334" s="149" t="inlineStr">
        <is>
          <t>мп</t>
        </is>
      </c>
      <c r="J334" s="149" t="n">
        <v>100</v>
      </c>
      <c r="K334" s="194" t="n">
        <v>1092</v>
      </c>
      <c r="L334" s="194">
        <f>J334*K334</f>
        <v/>
      </c>
      <c r="S334" s="195" t="n"/>
      <c r="T334" s="195" t="n"/>
      <c r="U334" s="196" t="n"/>
      <c r="V334" s="190" t="inlineStr">
        <is>
          <t>Отдельное допсоглашение</t>
        </is>
      </c>
      <c r="W334" s="190" t="inlineStr">
        <is>
          <t>По Вашему замечанию распишем по позициям и оформим отдельным допсоглашением.</t>
        </is>
      </c>
      <c r="X334" s="174" t="inlineStr">
        <is>
          <t>Позиция одной строчкой не принмается, говорил уже много раз. Расписывайте каждую позицию, либо потом делайте отдебный Доп на эти работы</t>
        </is>
      </c>
      <c r="Y334" s="180" t="n"/>
      <c r="Z334" s="180" t="n"/>
    </row>
    <row r="335" ht="51" customHeight="1" s="155">
      <c r="A335" s="149" t="inlineStr">
        <is>
          <t>6,71</t>
        </is>
      </c>
      <c r="B335" s="150" t="inlineStr">
        <is>
          <t>Демонтаж воздуховодов (2 этаж)</t>
        </is>
      </c>
      <c r="C335" s="149" t="inlineStr">
        <is>
          <t>к-т</t>
        </is>
      </c>
      <c r="J335" s="149" t="n">
        <v>1</v>
      </c>
      <c r="K335" s="194" t="n">
        <v>388800</v>
      </c>
      <c r="L335" s="194">
        <f>J335*K335</f>
        <v/>
      </c>
      <c r="S335" s="195" t="n"/>
      <c r="T335" s="195" t="n"/>
      <c r="U335" s="196" t="n"/>
      <c r="V335" s="190" t="inlineStr">
        <is>
          <t>Отдельное допсоглашение</t>
        </is>
      </c>
      <c r="W335" s="190" t="inlineStr">
        <is>
          <t>По Вашему замечанию распишем по позициям и оформим отдельным допсоглашением.</t>
        </is>
      </c>
      <c r="X335" s="174" t="inlineStr">
        <is>
          <t>Позиция одной строчкой не принмается, говорил уже много раз. Расписывайте каждую позицию, либо потом делайте отдебный Доп на эти работы</t>
        </is>
      </c>
      <c r="Y335" s="180" t="n"/>
      <c r="Z335" s="180" t="n"/>
    </row>
    <row r="336" ht="51" customHeight="1" s="155">
      <c r="A336" s="149" t="inlineStr">
        <is>
          <t>7,2</t>
        </is>
      </c>
      <c r="B336" s="150" t="inlineStr">
        <is>
          <t>Подключение фанкойлов в радиусе 2,5 м (2 этаж)</t>
        </is>
      </c>
      <c r="C336" s="149" t="inlineStr">
        <is>
          <t>шт.</t>
        </is>
      </c>
      <c r="J336" s="149" t="n">
        <v>31</v>
      </c>
      <c r="K336" s="194" t="n">
        <v>5670</v>
      </c>
      <c r="L336" s="194">
        <f>J336*K336</f>
        <v/>
      </c>
      <c r="S336" s="195" t="n"/>
      <c r="T336" s="195" t="n"/>
      <c r="U336" s="196" t="n"/>
      <c r="V336" s="190" t="inlineStr">
        <is>
          <t>Отдельное допсоглашение</t>
        </is>
      </c>
      <c r="W336" s="190" t="inlineStr">
        <is>
          <t>По Вашему замечанию распишем по позициям и оформим отдельным допсоглашением.</t>
        </is>
      </c>
      <c r="X336" s="174" t="inlineStr">
        <is>
          <t>Позиция одной строчкой не принмается, говорил уже много раз. Расписывайте каждую позицию, либо потом делайте отдебный Доп на эти работы</t>
        </is>
      </c>
      <c r="Y336" s="180" t="n"/>
      <c r="Z336" s="180" t="n"/>
    </row>
    <row r="337" ht="51" customHeight="1" s="155">
      <c r="A337" s="149" t="inlineStr">
        <is>
          <t>7,8</t>
        </is>
      </c>
      <c r="B337" s="150" t="inlineStr">
        <is>
          <t>Дренаж (2 этаж)</t>
        </is>
      </c>
      <c r="C337" s="149" t="inlineStr">
        <is>
          <t>мп</t>
        </is>
      </c>
      <c r="J337" s="149" t="n">
        <v>200</v>
      </c>
      <c r="K337" s="194" t="n">
        <v>1092</v>
      </c>
      <c r="L337" s="194">
        <f>J337*K337</f>
        <v/>
      </c>
      <c r="S337" s="195" t="n"/>
      <c r="T337" s="195" t="n"/>
      <c r="U337" s="196" t="n"/>
      <c r="V337" s="190" t="inlineStr">
        <is>
          <t>Отдельное допсоглашение</t>
        </is>
      </c>
      <c r="W337" s="190" t="inlineStr">
        <is>
          <t>По Вашему замечанию распишем по позициям и оформим отдельным допсоглашением.</t>
        </is>
      </c>
      <c r="X337" s="174" t="inlineStr">
        <is>
          <t>Позиция одной строчкой не принмается, говорил уже много раз. Расписывайте каждую позицию, либо потом делайте отдебный Доп на эти работы</t>
        </is>
      </c>
      <c r="Y337" s="180" t="n"/>
      <c r="Z337" s="180" t="n"/>
    </row>
    <row r="338" ht="51" customHeight="1" s="155">
      <c r="A338" s="149" t="inlineStr">
        <is>
          <t>7,9</t>
        </is>
      </c>
      <c r="B338" s="150" t="inlineStr">
        <is>
          <t>Демонтаж холодоснабжения (2 этаж)</t>
        </is>
      </c>
      <c r="C338" s="149" t="inlineStr">
        <is>
          <t>к-т</t>
        </is>
      </c>
      <c r="J338" s="149" t="n">
        <v>1</v>
      </c>
      <c r="K338" s="194" t="n">
        <v>162000</v>
      </c>
      <c r="L338" s="194">
        <f>J338*K338</f>
        <v/>
      </c>
      <c r="S338" s="195" t="n"/>
      <c r="T338" s="195" t="n"/>
      <c r="U338" s="196" t="n"/>
      <c r="V338" s="190" t="inlineStr">
        <is>
          <t>Отдельное допсоглашение</t>
        </is>
      </c>
      <c r="W338" s="190" t="inlineStr">
        <is>
          <t>По Вашему замечанию распишем по позициям и оформим отдельным допсоглашением.</t>
        </is>
      </c>
      <c r="X338" s="174" t="inlineStr">
        <is>
          <t>Позиция одной строчкой не принмается, говорил уже много раз. Расписывайте каждую позицию, либо потом делайте отдебный Доп на эти работы</t>
        </is>
      </c>
      <c r="Y338" s="180" t="n"/>
      <c r="Z338" s="180" t="n"/>
    </row>
    <row r="339" ht="51" customHeight="1" s="155">
      <c r="A339" s="149" t="inlineStr">
        <is>
          <t>7,10</t>
        </is>
      </c>
      <c r="B339" s="150" t="inlineStr">
        <is>
          <t>Демонтаж дренажной системы (2 этаж)</t>
        </is>
      </c>
      <c r="C339" s="149" t="inlineStr">
        <is>
          <t>к-т</t>
        </is>
      </c>
      <c r="J339" s="149" t="n">
        <v>1</v>
      </c>
      <c r="K339" s="194" t="n">
        <v>97200</v>
      </c>
      <c r="L339" s="194">
        <f>J339*K339</f>
        <v/>
      </c>
      <c r="S339" s="195" t="n"/>
      <c r="T339" s="195" t="n"/>
      <c r="U339" s="196" t="n"/>
      <c r="V339" s="190" t="inlineStr">
        <is>
          <t>Отдельное допсоглашение</t>
        </is>
      </c>
      <c r="W339" s="190" t="inlineStr">
        <is>
          <t>По Вашему замечанию распишем по позициям и оформим отдельным допсоглашением.</t>
        </is>
      </c>
      <c r="X339" s="174" t="inlineStr">
        <is>
          <t>Позиция одной строчкой не принмается, говорил уже много раз. Расписывайте каждую позицию, либо потом делайте отдебный Доп на эти работы</t>
        </is>
      </c>
      <c r="Y339" s="180" t="n"/>
      <c r="Z339" s="180" t="n"/>
    </row>
    <row r="340">
      <c r="S340" s="180" t="n"/>
      <c r="T340" s="180" t="n"/>
      <c r="U340" s="180" t="n"/>
      <c r="V340" s="180" t="n"/>
      <c r="W340" s="180" t="n"/>
      <c r="Y340" s="180" t="n"/>
      <c r="Z340" s="180" t="n"/>
    </row>
    <row r="341">
      <c r="S341" s="180" t="n"/>
      <c r="T341" s="180" t="n"/>
      <c r="U341" s="180" t="n"/>
      <c r="V341" s="180" t="n"/>
      <c r="W341" s="180" t="n"/>
      <c r="Y341" s="180" t="n"/>
      <c r="Z341" s="180" t="n"/>
    </row>
    <row r="342" ht="28" customHeight="1" s="155">
      <c r="S342" s="197" t="inlineStr">
        <is>
          <t>Итого по Вашему варианту (с учётом "ок")</t>
        </is>
      </c>
      <c r="U342" s="198">
        <f>SUM(Y5:Y327)</f>
        <v/>
      </c>
      <c r="V342" s="180" t="n"/>
      <c r="W342" s="180" t="n"/>
      <c r="Y342" s="180" t="n"/>
      <c r="Z342" s="180" t="n"/>
    </row>
    <row r="343" ht="28" customHeight="1" s="155">
      <c r="S343" s="197" t="inlineStr">
        <is>
          <t>Итого по предложению Подрядчика</t>
        </is>
      </c>
      <c r="U343" s="198">
        <f>SUM(Z5:Z327)</f>
        <v/>
      </c>
      <c r="V343" s="180" t="n"/>
      <c r="W343" s="180" t="n"/>
      <c r="Y343" s="180" t="n"/>
      <c r="Z343" s="180" t="n"/>
    </row>
    <row r="344" ht="28" customHeight="1" s="155">
      <c r="S344" s="197" t="inlineStr">
        <is>
          <t>Разница</t>
        </is>
      </c>
      <c r="U344" s="198">
        <f>U343-U342</f>
        <v/>
      </c>
      <c r="V344" s="180" t="n"/>
      <c r="W344" s="180" t="n"/>
      <c r="Y344" s="180" t="n"/>
      <c r="Z344" s="180" t="n"/>
    </row>
    <row r="345" ht="28" customHeight="1" s="155">
      <c r="S345" s="197" t="inlineStr">
        <is>
          <t>Дымоудаление и демонтажи - отдельным КП / допсоглашением, в итог не входят</t>
        </is>
      </c>
      <c r="U345" s="199" t="n"/>
      <c r="V345" s="180" t="n"/>
      <c r="W345" s="180" t="n"/>
      <c r="Y345" s="180" t="n"/>
      <c r="Z345" s="180" t="n"/>
    </row>
    <row r="346" ht="27.95" customHeight="1" s="155">
      <c r="S346" s="200" t="n"/>
      <c r="T346" s="180" t="n"/>
      <c r="U346" s="199" t="n"/>
      <c r="V346" s="180" t="n"/>
      <c r="W346" s="180" t="n"/>
      <c r="Y346" s="180" t="n"/>
      <c r="Z346" s="180" t="n"/>
    </row>
    <row r="347" ht="27.95" customHeight="1" s="155">
      <c r="S347" s="201" t="n"/>
      <c r="T347" s="180" t="n"/>
      <c r="U347" s="199" t="n"/>
      <c r="V347" s="180" t="n"/>
      <c r="W347" s="180" t="n"/>
      <c r="Y347" s="180" t="n"/>
      <c r="Z347" s="180" t="n"/>
    </row>
    <row r="348">
      <c r="S348" s="180" t="n"/>
      <c r="T348" s="180" t="n"/>
      <c r="U348" s="180" t="n"/>
      <c r="V348" s="180" t="n"/>
      <c r="W348" s="180" t="n"/>
      <c r="Y348" s="180" t="n"/>
      <c r="Z348" s="180" t="n"/>
    </row>
    <row r="349" ht="80.09999999999999" customHeight="1" s="155">
      <c r="S349" s="200" t="n"/>
      <c r="T349" s="180" t="n"/>
      <c r="U349" s="180" t="n"/>
      <c r="V349" s="180" t="n"/>
      <c r="W349" s="180" t="n"/>
      <c r="Y349" s="180" t="n"/>
      <c r="Z349" s="180" t="n"/>
    </row>
  </sheetData>
  <autoFilter ref="A3:X327"/>
  <mergeCells count="11">
    <mergeCell ref="S343:T343"/>
    <mergeCell ref="A329:K329"/>
    <mergeCell ref="S342:T342"/>
    <mergeCell ref="A332:L332"/>
    <mergeCell ref="R1:U1"/>
    <mergeCell ref="S345:T345"/>
    <mergeCell ref="S2:W2"/>
    <mergeCell ref="A1:L1"/>
    <mergeCell ref="S344:T344"/>
    <mergeCell ref="V1:X1"/>
    <mergeCell ref="M1:Q1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:title xmlns:dc="http://purl.org/dc/elements/1.1/">Приложение к допсоглашению.xlsx</dc:title>
  <dcterms:created xmlns:dcterms="http://purl.org/dc/terms/" xmlns:xsi="http://www.w3.org/2001/XMLSchema-instance" xsi:type="dcterms:W3CDTF">2026-07-27T09:50:22Z</dcterms:created>
  <dcterms:modified xmlns:dcterms="http://purl.org/dc/terms/" xmlns:xsi="http://www.w3.org/2001/XMLSchema-instance" xsi:type="dcterms:W3CDTF">2026-10-15T14:11:57Z</dcterms:modified>
  <cp:lastModifiedBy>Акопян Марк</cp:lastModifiedBy>
</cp:coreProperties>
</file>

<file path=docProps/custom.xml><?xml version="1.0" encoding="utf-8"?>
<Properties xmlns="http://schemas.openxmlformats.org/officeDocument/2006/custom-properties">
  <property name="Converter" fmtid="{D5CDD505-2E9C-101B-9397-08002B2CF9AE}" pid="2">
    <vt:lpwstr xmlns:vt="http://schemas.openxmlformats.org/officeDocument/2006/docPropsVTypes">SolidFramework v10.0.19910.1</vt:lpwstr>
  </property>
  <property name="Created" fmtid="{D5CDD505-2E9C-101B-9397-08002B2CF9AE}" pid="3">
    <vt:filetime xmlns:vt="http://schemas.openxmlformats.org/officeDocument/2006/docPropsVTypes">2026-07-19T00:00:00Z</vt:filetime>
  </property>
  <property name="LastSaved" fmtid="{D5CDD505-2E9C-101B-9397-08002B2CF9AE}" pid="4">
    <vt:filetime xmlns:vt="http://schemas.openxmlformats.org/officeDocument/2006/docPropsVTypes">2026-07-27T00:00:00Z</vt:filetime>
  </property>
  <property name="Producer" fmtid="{D5CDD505-2E9C-101B-9397-08002B2CF9AE}" pid="5">
    <vt:lpwstr xmlns:vt="http://schemas.openxmlformats.org/officeDocument/2006/docPropsVTypes" xml:space="preserve">3.0.38 (5.1.21) </vt:lpwstr>
  </property>
</Properties>
</file>