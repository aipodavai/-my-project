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П" sheetId="1" state="visible" r:id="rId3"/>
  </sheets>
  <definedNames>
    <definedName function="false" hidden="false" localSheetId="0" name="_xlnm.Print_Titles" vbProcedure="false">КП!$3:$3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<sst xmlns="http://schemas.openxmlformats.org/spreadsheetml/2006/main" count="1019" uniqueCount="662">
  <si>
    <t xml:space="preserve">Коммерческое предложение к Договору подряда № СПБ-ГАЗЭ/ОВ/7-9 от 19.06.2026
г. Санкт-Петербург, ул. Стартовая, д. 6, к. 2, стр. 1. Офисные помещения, этажи 2, 3, 7-10</t>
  </si>
  <si>
    <t xml:space="preserve">№ п/п</t>
  </si>
  <si>
    <t xml:space="preserve">НАИМЕНОВАНИЕ</t>
  </si>
  <si>
    <t xml:space="preserve">Ед. изм</t>
  </si>
  <si>
    <t xml:space="preserve">7 этаж</t>
  </si>
  <si>
    <t xml:space="preserve">8 этаж</t>
  </si>
  <si>
    <t xml:space="preserve">9 этаж</t>
  </si>
  <si>
    <t xml:space="preserve">3 этаж</t>
  </si>
  <si>
    <t xml:space="preserve">10 этаж</t>
  </si>
  <si>
    <t xml:space="preserve">2 этаж</t>
  </si>
  <si>
    <t xml:space="preserve">Кол-во все этажи</t>
  </si>
  <si>
    <t xml:space="preserve">Стоимость за ед. работ, руб. без НДС</t>
  </si>
  <si>
    <t xml:space="preserve">Всего за работы, руб. без НДС</t>
  </si>
  <si>
    <t xml:space="preserve">1</t>
  </si>
  <si>
    <t xml:space="preserve">Вентиляция</t>
  </si>
  <si>
    <t xml:space="preserve">1.1</t>
  </si>
  <si>
    <t xml:space="preserve">Диффузор 160 мм</t>
  </si>
  <si>
    <t xml:space="preserve">шт</t>
  </si>
  <si>
    <t xml:space="preserve">1.2</t>
  </si>
  <si>
    <t xml:space="preserve">Диффузор 160 мм (сущ)</t>
  </si>
  <si>
    <t xml:space="preserve">1.3</t>
  </si>
  <si>
    <t xml:space="preserve">Диффузор 100 мм</t>
  </si>
  <si>
    <t xml:space="preserve">1.4</t>
  </si>
  <si>
    <t xml:space="preserve">Решетка щелевая SWANa 2-1200 (сущ)</t>
  </si>
  <si>
    <t xml:space="preserve">1.5</t>
  </si>
  <si>
    <t xml:space="preserve">Регулятор расхода воздуха, Ø100</t>
  </si>
  <si>
    <t xml:space="preserve">1.6</t>
  </si>
  <si>
    <t xml:space="preserve">Регулятор расхода воздуха, Ø160</t>
  </si>
  <si>
    <t xml:space="preserve">1.7</t>
  </si>
  <si>
    <t xml:space="preserve">Регулятор расхода воздуха, Ø200</t>
  </si>
  <si>
    <t xml:space="preserve">1.8</t>
  </si>
  <si>
    <t xml:space="preserve">Регулятор расхода воздуха, Ø250</t>
  </si>
  <si>
    <t xml:space="preserve">1.9</t>
  </si>
  <si>
    <t xml:space="preserve">Воздуховод гофрированный 160</t>
  </si>
  <si>
    <t xml:space="preserve">м</t>
  </si>
  <si>
    <t xml:space="preserve">1.10</t>
  </si>
  <si>
    <t xml:space="preserve">Воздуховод гофрированный 100</t>
  </si>
  <si>
    <t xml:space="preserve">1.11</t>
  </si>
  <si>
    <t xml:space="preserve">Воздуховод гофрированный Ø160 алюдек</t>
  </si>
  <si>
    <t xml:space="preserve">1.12</t>
  </si>
  <si>
    <t xml:space="preserve">Воздуховод гофрированный изолированный, Ø160 санодек</t>
  </si>
  <si>
    <t xml:space="preserve">1.13</t>
  </si>
  <si>
    <t xml:space="preserve">Воздуховод(класс герм. "В") толщина лист. стали b-0,5мм 100 -</t>
  </si>
  <si>
    <t xml:space="preserve">1.14</t>
  </si>
  <si>
    <t xml:space="preserve">Воздуховод(класс герм. "В") толщина лист. стали b-0,5мм 160</t>
  </si>
  <si>
    <t xml:space="preserve">1.15</t>
  </si>
  <si>
    <t xml:space="preserve">Воздуховод(класс герм. "В") толщина лист. стали b-0,5мм 200</t>
  </si>
  <si>
    <t xml:space="preserve">1.16</t>
  </si>
  <si>
    <t xml:space="preserve">Воздуховод(класс герм. "В") толщина лист. стали b-0,6мм 250</t>
  </si>
  <si>
    <t xml:space="preserve">1.17</t>
  </si>
  <si>
    <t xml:space="preserve">Тройник ф 160</t>
  </si>
  <si>
    <t xml:space="preserve">шт.</t>
  </si>
  <si>
    <t xml:space="preserve">1.18</t>
  </si>
  <si>
    <t xml:space="preserve">Тройник ф 200</t>
  </si>
  <si>
    <t xml:space="preserve">1.19</t>
  </si>
  <si>
    <t xml:space="preserve">Переход 160-200</t>
  </si>
  <si>
    <t xml:space="preserve">1.20</t>
  </si>
  <si>
    <t xml:space="preserve">Отвод 90 ф160</t>
  </si>
  <si>
    <t xml:space="preserve">1.21</t>
  </si>
  <si>
    <t xml:space="preserve">Отвод 45 Ф160</t>
  </si>
  <si>
    <t xml:space="preserve">1.22</t>
  </si>
  <si>
    <t xml:space="preserve">Тройник 200/160/200</t>
  </si>
  <si>
    <t xml:space="preserve">1.23</t>
  </si>
  <si>
    <t xml:space="preserve">КВК ф250</t>
  </si>
  <si>
    <t xml:space="preserve">1.24</t>
  </si>
  <si>
    <t xml:space="preserve">Переход с воздуховодов на врезку балки</t>
  </si>
  <si>
    <t xml:space="preserve">1.25</t>
  </si>
  <si>
    <t xml:space="preserve">Отвод 90 ф200</t>
  </si>
  <si>
    <t xml:space="preserve">1.26</t>
  </si>
  <si>
    <t xml:space="preserve">Отвод 45 ф 200</t>
  </si>
  <si>
    <t xml:space="preserve">1.27</t>
  </si>
  <si>
    <t xml:space="preserve">КВК ф 200</t>
  </si>
  <si>
    <t xml:space="preserve">1.28</t>
  </si>
  <si>
    <t xml:space="preserve">КВК160</t>
  </si>
  <si>
    <t xml:space="preserve">1.29</t>
  </si>
  <si>
    <t xml:space="preserve">Отвод 90 ф100</t>
  </si>
  <si>
    <t xml:space="preserve">1.30</t>
  </si>
  <si>
    <t xml:space="preserve">Переход 250\200</t>
  </si>
  <si>
    <t xml:space="preserve">1.31</t>
  </si>
  <si>
    <t xml:space="preserve">КВК ф100</t>
  </si>
  <si>
    <t xml:space="preserve">1.32</t>
  </si>
  <si>
    <t xml:space="preserve">Проделка отверстий</t>
  </si>
  <si>
    <t xml:space="preserve">1.33</t>
  </si>
  <si>
    <t xml:space="preserve">Универсальная теплоизоляция в виде рулонов, толщиной 6 мм K- Flex-ST</t>
  </si>
  <si>
    <t xml:space="preserve">м2</t>
  </si>
  <si>
    <t xml:space="preserve">1.34</t>
  </si>
  <si>
    <t xml:space="preserve">ПНР 3-10 эт</t>
  </si>
  <si>
    <t xml:space="preserve">комп</t>
  </si>
  <si>
    <t xml:space="preserve">2</t>
  </si>
  <si>
    <t xml:space="preserve">Кондиционирование</t>
  </si>
  <si>
    <t xml:space="preserve">2.1</t>
  </si>
  <si>
    <t xml:space="preserve">Климатическая балка Swegon PARASOL</t>
  </si>
  <si>
    <t xml:space="preserve">2.2</t>
  </si>
  <si>
    <t xml:space="preserve">Решетка защитная круглая, Ø160</t>
  </si>
  <si>
    <t xml:space="preserve">2.3</t>
  </si>
  <si>
    <t xml:space="preserve">Решетка защитная круглая, Ø200</t>
  </si>
  <si>
    <t xml:space="preserve">2.4</t>
  </si>
  <si>
    <t xml:space="preserve">Решетка защитная прямоугольная, 400х200</t>
  </si>
  <si>
    <t xml:space="preserve">2.5</t>
  </si>
  <si>
    <t xml:space="preserve">Ручной балансировочный клапан, Ду15 STAD ТА</t>
  </si>
  <si>
    <t xml:space="preserve">2.6</t>
  </si>
  <si>
    <t xml:space="preserve">Шаровый кран полнопроходной с накидной гайкой, Ду15 BVR- FR 065B8303RG Ридан</t>
  </si>
  <si>
    <t xml:space="preserve">2.7</t>
  </si>
  <si>
    <t xml:space="preserve">Узел регулирования климатической балки 1/2 Modulator ½</t>
  </si>
  <si>
    <t xml:space="preserve">2.8</t>
  </si>
  <si>
    <t xml:space="preserve">Автоматический воздухоотводчик, ½” Danfoss Airvent 065B8323R</t>
  </si>
  <si>
    <t xml:space="preserve">2.9</t>
  </si>
  <si>
    <t xml:space="preserve">Трубопровод из полимерных труб РЕХ-а, Дн25х3.5 REHAU Rautitan Flex 11303701006</t>
  </si>
  <si>
    <t xml:space="preserve">м.п.</t>
  </si>
  <si>
    <t xml:space="preserve">2.10</t>
  </si>
  <si>
    <t xml:space="preserve">Трубопровод из полимерных труб РЕХ-а, Дн32х3.5 REHAU Rautitan Flex</t>
  </si>
  <si>
    <t xml:space="preserve">2.11</t>
  </si>
  <si>
    <t xml:space="preserve">Трубопровод из полимерных труб РЕХ-а, Дн40х3.5 REHAU Rautitan Flex</t>
  </si>
  <si>
    <t xml:space="preserve">2.12</t>
  </si>
  <si>
    <t xml:space="preserve">Трубопровод из полимерных труб РЕХ-а, Дн50х6,9 REHAU Rautitan Flex</t>
  </si>
  <si>
    <t xml:space="preserve">2.13</t>
  </si>
  <si>
    <t xml:space="preserve">Трубопровод из полимерных труб РЕХ-а, Дн63х8,6 REHAU Rautitan Flex</t>
  </si>
  <si>
    <t xml:space="preserve">2.15</t>
  </si>
  <si>
    <t xml:space="preserve">Рехао тройник 63*8,7/32*4,4/63*8,7</t>
  </si>
  <si>
    <t xml:space="preserve">2.16</t>
  </si>
  <si>
    <t xml:space="preserve">Рехао тройник 32*4,4/25*3,5/32*4,4</t>
  </si>
  <si>
    <t xml:space="preserve">2.17</t>
  </si>
  <si>
    <t xml:space="preserve">Рехао Переходник 32*4,4 -25*3,5</t>
  </si>
  <si>
    <t xml:space="preserve">2.18</t>
  </si>
  <si>
    <t xml:space="preserve">Отвод 90 25*3,5</t>
  </si>
  <si>
    <t xml:space="preserve">2.19</t>
  </si>
  <si>
    <t xml:space="preserve">Отвод 90 32*4,4</t>
  </si>
  <si>
    <t xml:space="preserve">2.20</t>
  </si>
  <si>
    <t xml:space="preserve">Полуотвод 45 63*8,7</t>
  </si>
  <si>
    <t xml:space="preserve">2.21</t>
  </si>
  <si>
    <t xml:space="preserve">Переход 63*4,4/ 50*6,9</t>
  </si>
  <si>
    <t xml:space="preserve">2.22</t>
  </si>
  <si>
    <t xml:space="preserve">Рехао Тройник 50*6,9/32*4,4/50*6,9</t>
  </si>
  <si>
    <t xml:space="preserve">2.23</t>
  </si>
  <si>
    <t xml:space="preserve">Переход 50*6,9 / 40*5,5</t>
  </si>
  <si>
    <t xml:space="preserve">2.24</t>
  </si>
  <si>
    <t xml:space="preserve">Рехао тройник 40*5,5/32*4,4/40*5,5</t>
  </si>
  <si>
    <t xml:space="preserve">2.25</t>
  </si>
  <si>
    <t xml:space="preserve">полуотвод 25*3,5</t>
  </si>
  <si>
    <t xml:space="preserve">2.26</t>
  </si>
  <si>
    <t xml:space="preserve">полуотвод 32*4,4</t>
  </si>
  <si>
    <t xml:space="preserve">2.27</t>
  </si>
  <si>
    <t xml:space="preserve">переходник 40*5,5 32*4,4</t>
  </si>
  <si>
    <t xml:space="preserve">2.28</t>
  </si>
  <si>
    <t xml:space="preserve">Тройник 40*5,5/25*3,5/ 40*5,5</t>
  </si>
  <si>
    <t xml:space="preserve">2.29</t>
  </si>
  <si>
    <t xml:space="preserve">Отвод 90 50*6,9</t>
  </si>
  <si>
    <t xml:space="preserve">2.30</t>
  </si>
  <si>
    <t xml:space="preserve">Тройник 50*6,9/25*3,5/50*6,9</t>
  </si>
  <si>
    <t xml:space="preserve">2.31</t>
  </si>
  <si>
    <t xml:space="preserve">Тройник 63*8,7 /25*3,6/63*8,7</t>
  </si>
  <si>
    <t xml:space="preserve">2.32</t>
  </si>
  <si>
    <t xml:space="preserve">Полуотвод 63*8,7</t>
  </si>
  <si>
    <t xml:space="preserve">2.33</t>
  </si>
  <si>
    <t xml:space="preserve">Тройник 25*3,5</t>
  </si>
  <si>
    <t xml:space="preserve">2.34</t>
  </si>
  <si>
    <t xml:space="preserve">Отвод 90 63*8,7</t>
  </si>
  <si>
    <t xml:space="preserve">2.35</t>
  </si>
  <si>
    <t xml:space="preserve">Отвод 90 40*5,5</t>
  </si>
  <si>
    <t xml:space="preserve">2.36</t>
  </si>
  <si>
    <t xml:space="preserve">2.37</t>
  </si>
  <si>
    <t xml:space="preserve">Тепловая изоляция из вспененного каучука, толщиной 9 мм Armaflex АСЕ 28*13</t>
  </si>
  <si>
    <t xml:space="preserve">2.38</t>
  </si>
  <si>
    <t xml:space="preserve">Тепловая изоляция из вспененного каучука, толщиной 9 мм Armaflex АСЕ 35*13</t>
  </si>
  <si>
    <t xml:space="preserve">2.39</t>
  </si>
  <si>
    <t xml:space="preserve">Тепловая изоляция из вспененного каучука, толщиной 9 мм Armaflex АСЕ 42*13</t>
  </si>
  <si>
    <t xml:space="preserve">2.40</t>
  </si>
  <si>
    <t xml:space="preserve">Тепловая изоляция из вспененного каучука, толщиной 13 мм Armaflex АСЕ 50*13</t>
  </si>
  <si>
    <t xml:space="preserve">2.41</t>
  </si>
  <si>
    <t xml:space="preserve">Тепловая изоляция из вспененного каучука, толщиной 13 мм Armaflex АСЕ 63*13</t>
  </si>
  <si>
    <t xml:space="preserve">2.42</t>
  </si>
  <si>
    <t xml:space="preserve">Компл.</t>
  </si>
  <si>
    <t xml:space="preserve">3</t>
  </si>
  <si>
    <t xml:space="preserve">Дополнительные работы 3,7,8,9 этаж</t>
  </si>
  <si>
    <t xml:space="preserve">3.1</t>
  </si>
  <si>
    <t xml:space="preserve">Тройник ф 250</t>
  </si>
  <si>
    <t xml:space="preserve">3.2</t>
  </si>
  <si>
    <t xml:space="preserve">Отвод 45 ф 250</t>
  </si>
  <si>
    <t xml:space="preserve">3.3</t>
  </si>
  <si>
    <t xml:space="preserve">Врезка седлообразная ф160\160</t>
  </si>
  <si>
    <t xml:space="preserve">3.4</t>
  </si>
  <si>
    <t xml:space="preserve">Врезка седлообразная ф160\200</t>
  </si>
  <si>
    <t xml:space="preserve">3.5</t>
  </si>
  <si>
    <t xml:space="preserve">Врезка седлообразная ф200\200</t>
  </si>
  <si>
    <t xml:space="preserve">3.6</t>
  </si>
  <si>
    <t xml:space="preserve">Врезка прямая ф100</t>
  </si>
  <si>
    <t xml:space="preserve">3.7</t>
  </si>
  <si>
    <t xml:space="preserve">Изоляция изделий (отводы, тройники, переходы, клапана)</t>
  </si>
  <si>
    <t xml:space="preserve">3.8</t>
  </si>
  <si>
    <t xml:space="preserve">Ниппель ф160</t>
  </si>
  <si>
    <t xml:space="preserve">3.9</t>
  </si>
  <si>
    <t xml:space="preserve">Монтаж пожарного клапана</t>
  </si>
  <si>
    <t xml:space="preserve">к-т</t>
  </si>
  <si>
    <t xml:space="preserve">3.10</t>
  </si>
  <si>
    <t xml:space="preserve">Обрезка вытяжных воздуховодов</t>
  </si>
  <si>
    <t xml:space="preserve">3.11</t>
  </si>
  <si>
    <t xml:space="preserve">Демонтаж вытяжки 400*200</t>
  </si>
  <si>
    <t xml:space="preserve">мп</t>
  </si>
  <si>
    <t xml:space="preserve">3.12</t>
  </si>
  <si>
    <t xml:space="preserve">Демонтаж вытяжки ф200</t>
  </si>
  <si>
    <t xml:space="preserve">3.13</t>
  </si>
  <si>
    <t xml:space="preserve">Перемонтаж щелевых диффузоров</t>
  </si>
  <si>
    <t xml:space="preserve">3.14</t>
  </si>
  <si>
    <t xml:space="preserve">Перемонтаж вентканалов</t>
  </si>
  <si>
    <t xml:space="preserve">3.15</t>
  </si>
  <si>
    <t xml:space="preserve">Демонтаж диффузора, монтаж гибкой подводки, монтаж диффузора в гкл</t>
  </si>
  <si>
    <t xml:space="preserve">3.16</t>
  </si>
  <si>
    <t xml:space="preserve">Перемонтаж вентканалов (пересечение с АУПТ)</t>
  </si>
  <si>
    <t xml:space="preserve">3.17</t>
  </si>
  <si>
    <t xml:space="preserve">Демонтаж труб пожаротушения (сплинклер)</t>
  </si>
  <si>
    <t xml:space="preserve">3.18</t>
  </si>
  <si>
    <t xml:space="preserve">Устройство проходок (изоляция)</t>
  </si>
  <si>
    <t xml:space="preserve">3.19</t>
  </si>
  <si>
    <t xml:space="preserve">Демонтаж короба щелевой решетки</t>
  </si>
  <si>
    <t xml:space="preserve">3.20</t>
  </si>
  <si>
    <t xml:space="preserve">соединитель 63</t>
  </si>
  <si>
    <t xml:space="preserve">3.21</t>
  </si>
  <si>
    <t xml:space="preserve">соединитель 50</t>
  </si>
  <si>
    <t xml:space="preserve">3.22</t>
  </si>
  <si>
    <t xml:space="preserve">соединитель 40</t>
  </si>
  <si>
    <t xml:space="preserve">3.23</t>
  </si>
  <si>
    <t xml:space="preserve">соединитель 32</t>
  </si>
  <si>
    <t xml:space="preserve">3.24</t>
  </si>
  <si>
    <t xml:space="preserve">соединитель 25</t>
  </si>
  <si>
    <t xml:space="preserve">3.25</t>
  </si>
  <si>
    <t xml:space="preserve">тройник 63*63*63</t>
  </si>
  <si>
    <t xml:space="preserve">3.26</t>
  </si>
  <si>
    <t xml:space="preserve">тройник 32*32*32</t>
  </si>
  <si>
    <t xml:space="preserve">3.27</t>
  </si>
  <si>
    <t xml:space="preserve">подключение к вводу</t>
  </si>
  <si>
    <t xml:space="preserve">3.28</t>
  </si>
  <si>
    <t xml:space="preserve">перемонтаж кронштейнов (подвесов, хомутов)</t>
  </si>
  <si>
    <t xml:space="preserve">3.29</t>
  </si>
  <si>
    <t xml:space="preserve">переделка заготовок подвесов</t>
  </si>
  <si>
    <t xml:space="preserve">3.30</t>
  </si>
  <si>
    <t xml:space="preserve">монтаж узла подсоединения к магистрали</t>
  </si>
  <si>
    <t xml:space="preserve">4</t>
  </si>
  <si>
    <t xml:space="preserve">Вентиляция 10 этаж</t>
  </si>
  <si>
    <t xml:space="preserve">4.1</t>
  </si>
  <si>
    <t xml:space="preserve">Решетка защитная круглая, Ø100 БСК 100</t>
  </si>
  <si>
    <t xml:space="preserve">4.2</t>
  </si>
  <si>
    <t xml:space="preserve">Диффузор круглый со статической камерой и регулятором расхода, Ø100 ЛК 100 + КСД 0 100 100</t>
  </si>
  <si>
    <t xml:space="preserve">4.3</t>
  </si>
  <si>
    <t xml:space="preserve">Диффузор круглый со статической камерой и регулятором расхода, Ø125 ЛК 125 + КСД 0 125 125</t>
  </si>
  <si>
    <t xml:space="preserve">4.4</t>
  </si>
  <si>
    <t xml:space="preserve">Диффузор круглый со статической камерой и регулятором расхода, Ø200 ЛК 200 + КСД 0 200 200</t>
  </si>
  <si>
    <t xml:space="preserve">4.5</t>
  </si>
  <si>
    <t xml:space="preserve">Решетка щелевая, 1000мм ЛРЩ 22-1-1000-У1</t>
  </si>
  <si>
    <t xml:space="preserve">4.6</t>
  </si>
  <si>
    <t xml:space="preserve">Решетка щелевая, 1000мм ЛРЩ 22-1-1000-У2</t>
  </si>
  <si>
    <t xml:space="preserve">4.7</t>
  </si>
  <si>
    <t xml:space="preserve">Адаптер для щелевой решетки с регулятором расхода и увеличенным патрубком, 1000мм Адаптер для ЛРЩ 22-1-1000 y=67мм + заслонка</t>
  </si>
  <si>
    <t xml:space="preserve">4.8</t>
  </si>
  <si>
    <t xml:space="preserve">Решетка щелевая, 1400мм ЛРЩ 22-1-1400-У2</t>
  </si>
  <si>
    <t xml:space="preserve">4.9</t>
  </si>
  <si>
    <t xml:space="preserve">Адаптер для щелевой решетки с регулятором расхода, подключение 160мм два патрубка и увеличенным патрубком, 1000мм Адаптер для ЛРЩ 22-1-1400 y=67мм + подключение 2х160мм + заслонка</t>
  </si>
  <si>
    <t xml:space="preserve">4.10</t>
  </si>
  <si>
    <t xml:space="preserve">Решетка щелевая, 1500мм ЛРЩ 22-1-1500-У2</t>
  </si>
  <si>
    <t xml:space="preserve">4.11</t>
  </si>
  <si>
    <t xml:space="preserve">Адаптер для щелевой решетки с регулятором расхода, подключение 160мм два патрубка и увеличенным патрубком, 1000мм Адаптер для ЛРЩ 22-1-1500 y=67мм + подключение 2х160мм + заслонка</t>
  </si>
  <si>
    <t xml:space="preserve">4.12</t>
  </si>
  <si>
    <t xml:space="preserve">Решетка щелевая, 500мм ЛРЩ 22-1-8500-У2</t>
  </si>
  <si>
    <t xml:space="preserve">4.13</t>
  </si>
  <si>
    <t xml:space="preserve">Адаптер для щелевой решетки с регулятором расхода и увеличенным патрубком, 500мм Адаптер для ЛРЩ 22-1-500 y=67мм + заслонка</t>
  </si>
  <si>
    <t xml:space="preserve">4.14</t>
  </si>
  <si>
    <t xml:space="preserve">Регулятор расхода воздуха, Ø100 квк100</t>
  </si>
  <si>
    <t xml:space="preserve">4.15</t>
  </si>
  <si>
    <t xml:space="preserve">Воздуховод гофрированный, Ø100</t>
  </si>
  <si>
    <t xml:space="preserve">4.16</t>
  </si>
  <si>
    <t xml:space="preserve">Воздуховод гофрированный, Ø125</t>
  </si>
  <si>
    <t xml:space="preserve">4.17</t>
  </si>
  <si>
    <t xml:space="preserve">Воздуховод гофрированный, Ø160</t>
  </si>
  <si>
    <t xml:space="preserve">4.18</t>
  </si>
  <si>
    <t xml:space="preserve">Воздуховод гофрированный, Ø200</t>
  </si>
  <si>
    <t xml:space="preserve">4.19</t>
  </si>
  <si>
    <t xml:space="preserve">Воздуховод гофрированный изолированный, Ø100</t>
  </si>
  <si>
    <t xml:space="preserve">4.20</t>
  </si>
  <si>
    <t xml:space="preserve">Воздуховод гофрированный изолированный, Ø125</t>
  </si>
  <si>
    <t xml:space="preserve">4.21</t>
  </si>
  <si>
    <t xml:space="preserve">Воздуховод гофрированный изолированный, Ø160</t>
  </si>
  <si>
    <t xml:space="preserve">4.22</t>
  </si>
  <si>
    <t xml:space="preserve">Воздуховод гофрированный изолированный, Ø200</t>
  </si>
  <si>
    <t xml:space="preserve">4.23</t>
  </si>
  <si>
    <t xml:space="preserve">Воздуховод из оцинкованной стали толщиной 0,5мм, класса «В», Ø100</t>
  </si>
  <si>
    <t xml:space="preserve">4.24</t>
  </si>
  <si>
    <t xml:space="preserve">Воздуховод из оцинкованной стали толщиной 0,5мм, класса «В», Ø125</t>
  </si>
  <si>
    <t xml:space="preserve">4.25</t>
  </si>
  <si>
    <t xml:space="preserve">Воздуховод из оцинкованной стали толщиной 0,5мм, класса «В», Ø160</t>
  </si>
  <si>
    <t xml:space="preserve">4.26</t>
  </si>
  <si>
    <t xml:space="preserve">Воздуховод из оцинкованной стали толщиной 0,5мм, класса «В», Ø200</t>
  </si>
  <si>
    <t xml:space="preserve">4.27</t>
  </si>
  <si>
    <t xml:space="preserve">Воздуховод из оцинкованной стали толщиной 0,7мм, класса «В», 300x200</t>
  </si>
  <si>
    <t xml:space="preserve">4.28</t>
  </si>
  <si>
    <t xml:space="preserve">Воздуховод из оцинкованной стали толщиной 0,7мм, класса «В», 400x200</t>
  </si>
  <si>
    <t xml:space="preserve">4.29</t>
  </si>
  <si>
    <t xml:space="preserve">Воздуховод из оцинкованной стали толщиной 0,7мм, класса «В», 500x200</t>
  </si>
  <si>
    <t xml:space="preserve">4.30</t>
  </si>
  <si>
    <t xml:space="preserve">Воздуховод из оцинкованной стали толщиной 0,7мм, класса «В», 500x250</t>
  </si>
  <si>
    <t xml:space="preserve">4.31</t>
  </si>
  <si>
    <t xml:space="preserve">Воздуховод из оцинкованной стали толщиной 0,7мм, класса «В», 500x300</t>
  </si>
  <si>
    <t xml:space="preserve">4.32</t>
  </si>
  <si>
    <t xml:space="preserve">Воздуховод из оцинкованной стали толщиной 0,7мм, класса «В», 600x200</t>
  </si>
  <si>
    <t xml:space="preserve">4.33</t>
  </si>
  <si>
    <t xml:space="preserve">Воздуховод из оцинкованной стали толщиной 0,7мм, класса «В», 600x250</t>
  </si>
  <si>
    <t xml:space="preserve">4.34</t>
  </si>
  <si>
    <t xml:space="preserve">Воздуховод из оцинкованной стали толщиной 0,7мм, класса «В», 700x250</t>
  </si>
  <si>
    <t xml:space="preserve">4.35</t>
  </si>
  <si>
    <t xml:space="preserve">Отвод 150 из оцинкованной стали толщиной 0,5мм, класса «В», Ø160</t>
  </si>
  <si>
    <t xml:space="preserve">4.36</t>
  </si>
  <si>
    <t xml:space="preserve">Отвод 300 из оцинкованной стали толщиной 0,5мм, класса «В», Ø200</t>
  </si>
  <si>
    <t xml:space="preserve">4.37</t>
  </si>
  <si>
    <t xml:space="preserve">Отвод 300 из оцинкованной стали толщиной 0,7мм, класса «В», 200x300</t>
  </si>
  <si>
    <t xml:space="preserve">4.38</t>
  </si>
  <si>
    <t xml:space="preserve">Отвод 300 из оцинкованной стали толщиной 0,7мм, класса «В», 250x700</t>
  </si>
  <si>
    <t xml:space="preserve">4.39</t>
  </si>
  <si>
    <t xml:space="preserve">Отвод 300 из оцинкованной стали толщиной 0,7мм, класса «В», 300x500</t>
  </si>
  <si>
    <t xml:space="preserve">4.40</t>
  </si>
  <si>
    <t xml:space="preserve">Отвод 300 из оцинкованной стали толщиной 0,7мм, класса «В», 600x200</t>
  </si>
  <si>
    <t xml:space="preserve">4.41</t>
  </si>
  <si>
    <t xml:space="preserve">Отвод 450 из оцинкованной стали толщиной 0,5мм, класса «В», Ø160</t>
  </si>
  <si>
    <t xml:space="preserve">4.42</t>
  </si>
  <si>
    <t xml:space="preserve">Отвод 450 из оцинкованной стали толщиной 0,7мм, класса «В», 300x200</t>
  </si>
  <si>
    <t xml:space="preserve">4.43</t>
  </si>
  <si>
    <t xml:space="preserve">Отвод 450 из оцинкованной стали толщиной 0,7мм, класса «В», 500x200</t>
  </si>
  <si>
    <t xml:space="preserve">4.44</t>
  </si>
  <si>
    <t xml:space="preserve">Отвод 600 из оцинкованной стали толщиной 0,7мм, класса «В», 600x200</t>
  </si>
  <si>
    <t xml:space="preserve">4.45</t>
  </si>
  <si>
    <t xml:space="preserve">Отвод 900 из оцинкованной стали толщиной 0,5мм, класса «В», Ø100</t>
  </si>
  <si>
    <t xml:space="preserve">4.46</t>
  </si>
  <si>
    <t xml:space="preserve">Отвод 900 из оцинкованной стали толщиной 0,5мм, класса «В», Ø125</t>
  </si>
  <si>
    <t xml:space="preserve">4.47</t>
  </si>
  <si>
    <t xml:space="preserve">Отвод 900 из оцинкованной стали толщиной 0,5мм, класса «В», Ø160</t>
  </si>
  <si>
    <t xml:space="preserve">4.48</t>
  </si>
  <si>
    <t xml:space="preserve">Отвод 900 из оцинкованной стали толщиной 0,5мм, класса «В», Ø200</t>
  </si>
  <si>
    <t xml:space="preserve">4.49</t>
  </si>
  <si>
    <t xml:space="preserve">Отвод 900 из оцинкованной стали толщиной 0,7мм, класса «В», 300x200</t>
  </si>
  <si>
    <t xml:space="preserve">4.50</t>
  </si>
  <si>
    <t xml:space="preserve">Отвод 900 из оцинкованной стали толщиной 0,7мм, класса «В», 400x200</t>
  </si>
  <si>
    <t xml:space="preserve">4.51</t>
  </si>
  <si>
    <t xml:space="preserve">Отвод 900 из оцинкованной стали толщиной 0,7мм, класса «В», 500x250</t>
  </si>
  <si>
    <t xml:space="preserve">4.52</t>
  </si>
  <si>
    <t xml:space="preserve">Отвод 900 из оцинкованной стали толщиной 0,7мм, класса «В», 500x300</t>
  </si>
  <si>
    <t xml:space="preserve">4.53</t>
  </si>
  <si>
    <t xml:space="preserve">Отвод 900 из оцинкованной стали толщиной 0,7мм, класса «В», 600x200</t>
  </si>
  <si>
    <t xml:space="preserve">4.54</t>
  </si>
  <si>
    <t xml:space="preserve">Отвод 900 из оцинкованной стали толщиной 0,7мм, класса «В», 600x250</t>
  </si>
  <si>
    <t xml:space="preserve">4.55</t>
  </si>
  <si>
    <t xml:space="preserve">Отвод 900 из оцинкованной стали толщиной 0,7мм, класса «В», 700x250</t>
  </si>
  <si>
    <t xml:space="preserve">4.56</t>
  </si>
  <si>
    <t xml:space="preserve">Врезка плоская из оцинкованной стали толщиной 0,5мм, класса «В», Ø100</t>
  </si>
  <si>
    <t xml:space="preserve">4.57</t>
  </si>
  <si>
    <t xml:space="preserve">Врезка плоская из оцинкованной стали толщиной 0,5мм, класса «В», Ø160</t>
  </si>
  <si>
    <t xml:space="preserve">4.58</t>
  </si>
  <si>
    <t xml:space="preserve">Врезка плоская из оцинкованной стали толщиной 0,5мм, класса «В», Ø200</t>
  </si>
  <si>
    <t xml:space="preserve">4.59</t>
  </si>
  <si>
    <t xml:space="preserve">Врезка-седло из оцинкованной стали толщиной 0,5мм, класса «В», Ø160/Ø100</t>
  </si>
  <si>
    <t xml:space="preserve">4.60</t>
  </si>
  <si>
    <t xml:space="preserve">Врезка-седло из оцинкованной стали толщиной 0,5мм, класса «В», Ø160/Ø125</t>
  </si>
  <si>
    <t xml:space="preserve">4.61</t>
  </si>
  <si>
    <t xml:space="preserve">Врезка-седло из оцинкованной стали толщиной 0,5мм, класса «В», Ø200/Ø160</t>
  </si>
  <si>
    <t xml:space="preserve">4.62</t>
  </si>
  <si>
    <t xml:space="preserve">Тройник из оцинкованной стали толщиной 0,5мм, класса «В», Ø125/Ø125/Ø125</t>
  </si>
  <si>
    <t xml:space="preserve">4.63</t>
  </si>
  <si>
    <t xml:space="preserve">Переход из оцинкованной стали толщиной 0,5мм, класса «В», Ø125/Ø100</t>
  </si>
  <si>
    <t xml:space="preserve">4.64</t>
  </si>
  <si>
    <t xml:space="preserve">Переход из оцинкованной стали толщиной 0,5мм, класса «В», Ø160/Ø100</t>
  </si>
  <si>
    <t xml:space="preserve">4.65</t>
  </si>
  <si>
    <t xml:space="preserve">Переход из оцинкованной стали толщиной 0,5мм, класса «В», Ø160/Ø125</t>
  </si>
  <si>
    <t xml:space="preserve">4.66</t>
  </si>
  <si>
    <t xml:space="preserve">Переход из оцинкованной стали толщиной 0,5мм, класса «В», Ø200/Ø160</t>
  </si>
  <si>
    <t xml:space="preserve">4.67</t>
  </si>
  <si>
    <t xml:space="preserve">Переход из оцинкованной стали толщиной 0,7мм, класса «В», 300x200/Ø160</t>
  </si>
  <si>
    <t xml:space="preserve">4.68</t>
  </si>
  <si>
    <t xml:space="preserve">Переход из оцинкованной стали толщиной 0,7мм, класса «В», 400x200/Ø200</t>
  </si>
  <si>
    <t xml:space="preserve">4.69</t>
  </si>
  <si>
    <t xml:space="preserve">Переход из оцинкованной стали толщиной 0,7мм, класса «В», 500x200/300x200</t>
  </si>
  <si>
    <t xml:space="preserve">4.70</t>
  </si>
  <si>
    <t xml:space="preserve">Переход из оцинкованной стали толщиной 0,7мм, класса «В», 500x200/400x200</t>
  </si>
  <si>
    <t xml:space="preserve">4.71</t>
  </si>
  <si>
    <t xml:space="preserve">Переход из оцинкованной стали толщиной 0,7мм, класса «В», 500x250/500x200</t>
  </si>
  <si>
    <t xml:space="preserve">4.72</t>
  </si>
  <si>
    <t xml:space="preserve">Переход из оцинкованной стали толщиной 0,7мм, класса «В», 500x300/500x200</t>
  </si>
  <si>
    <t xml:space="preserve">4.73</t>
  </si>
  <si>
    <t xml:space="preserve">Переход из оцинкованной стали толщиной 0,7мм, класса «В», 600x200/500x200</t>
  </si>
  <si>
    <t xml:space="preserve">4.74</t>
  </si>
  <si>
    <t xml:space="preserve">Переход из оцинкованной стали толщиной 0,7мм, класса «В», 600x250/500x300</t>
  </si>
  <si>
    <t xml:space="preserve">4.75</t>
  </si>
  <si>
    <t xml:space="preserve">Переход из оцинкованной стали толщиной 0,7мм, класса «В», 700x250/600x200</t>
  </si>
  <si>
    <t xml:space="preserve">4.76</t>
  </si>
  <si>
    <t xml:space="preserve">Ниппель из оцинкованной стали толщиной 0,5мм, класса «В», Ø100</t>
  </si>
  <si>
    <t xml:space="preserve">4.77</t>
  </si>
  <si>
    <t xml:space="preserve">Ниппель из оцинкованной стали толщиной 0,5мм, класса «В», Ø125</t>
  </si>
  <si>
    <t xml:space="preserve">4.78</t>
  </si>
  <si>
    <t xml:space="preserve">Ниппель из оцинкованной стали толщиной 0,5мм, класса «В», Ø160</t>
  </si>
  <si>
    <t xml:space="preserve">4.79</t>
  </si>
  <si>
    <t xml:space="preserve">Ниппель из оцинкованной стали толщиной 0,5мм, класса «В», Ø200</t>
  </si>
  <si>
    <t xml:space="preserve">4.80</t>
  </si>
  <si>
    <t xml:space="preserve">Изоляция круглого изделия от Ф100-ф250</t>
  </si>
  <si>
    <t xml:space="preserve">4.81</t>
  </si>
  <si>
    <t xml:space="preserve">Изоляция прямоугольного изделия</t>
  </si>
  <si>
    <t xml:space="preserve">4.82</t>
  </si>
  <si>
    <t xml:space="preserve">Изоляция прямоугольных воздуховодов</t>
  </si>
  <si>
    <t xml:space="preserve">4.83</t>
  </si>
  <si>
    <t xml:space="preserve">Изоляция круглых воздуховодов</t>
  </si>
  <si>
    <t xml:space="preserve">4.84</t>
  </si>
  <si>
    <t xml:space="preserve">ПНР10этаж</t>
  </si>
  <si>
    <t xml:space="preserve">5</t>
  </si>
  <si>
    <t xml:space="preserve">Холодоснабжение 10 этаж</t>
  </si>
  <si>
    <t xml:space="preserve">5.1</t>
  </si>
  <si>
    <t xml:space="preserve">Фанкойл кассетный, 600x600 SK-32</t>
  </si>
  <si>
    <t xml:space="preserve">5.2</t>
  </si>
  <si>
    <t xml:space="preserve">Шаровый кран полнопроходной с накидной гайкой, Ду15 BVR-FR</t>
  </si>
  <si>
    <t xml:space="preserve">5.3</t>
  </si>
  <si>
    <t xml:space="preserve">Воздухоотводчик автоматический, Ду15 Airvent-R</t>
  </si>
  <si>
    <t xml:space="preserve">5.4</t>
  </si>
  <si>
    <t xml:space="preserve">Комбинированный балансировочный клапан, Ду20</t>
  </si>
  <si>
    <t xml:space="preserve">5.5</t>
  </si>
  <si>
    <t xml:space="preserve">Комплект трехходовой клапан, запорные краны, медные патрубк</t>
  </si>
  <si>
    <t xml:space="preserve">5.6</t>
  </si>
  <si>
    <t xml:space="preserve">Кран шаровый со спускным элементом, Ду20 BVR-DR</t>
  </si>
  <si>
    <t xml:space="preserve">5.7</t>
  </si>
  <si>
    <t xml:space="preserve">Фильтр сетчатый с пробкой, Ду20 FVR-R</t>
  </si>
  <si>
    <t xml:space="preserve">5.8</t>
  </si>
  <si>
    <t xml:space="preserve">Ниппель 3/4"</t>
  </si>
  <si>
    <t xml:space="preserve">5.9</t>
  </si>
  <si>
    <t xml:space="preserve">Муфта переходная 3/4"x 1/2"</t>
  </si>
  <si>
    <t xml:space="preserve">5.10</t>
  </si>
  <si>
    <t xml:space="preserve">Гибкая подводка 3/4" гайка/штуцер, длиной 500мм</t>
  </si>
  <si>
    <t xml:space="preserve">5.11</t>
  </si>
  <si>
    <t xml:space="preserve">Ниппель переходной 3/4"</t>
  </si>
  <si>
    <t xml:space="preserve">5.12</t>
  </si>
  <si>
    <t xml:space="preserve">Переходник 32-R 3/4</t>
  </si>
  <si>
    <t xml:space="preserve">5.13</t>
  </si>
  <si>
    <t xml:space="preserve">Монтажная гильза 32 LX</t>
  </si>
  <si>
    <t xml:space="preserve">5.14</t>
  </si>
  <si>
    <t xml:space="preserve">Муфта полипропиленовая 32 x 1/2"</t>
  </si>
  <si>
    <t xml:space="preserve">5.15</t>
  </si>
  <si>
    <t xml:space="preserve">Штуцер 1/2" x 14мм</t>
  </si>
  <si>
    <t xml:space="preserve">5.16</t>
  </si>
  <si>
    <t xml:space="preserve">Труба из сшитого полиэтилена PEX-a, Ø32х4,4</t>
  </si>
  <si>
    <t xml:space="preserve">5.17</t>
  </si>
  <si>
    <t xml:space="preserve">Труба из сшитого полиэтилена PEX-a, Ø40х5,5</t>
  </si>
  <si>
    <t xml:space="preserve">5.18</t>
  </si>
  <si>
    <t xml:space="preserve">Труба из сшитого полиэтилена PEX-a, Ø50х6,9</t>
  </si>
  <si>
    <t xml:space="preserve">5.19</t>
  </si>
  <si>
    <t xml:space="preserve">Трубки теплоизоляционные для трубы Ø32х4,4 толщиной 9мм</t>
  </si>
  <si>
    <t xml:space="preserve">5.20</t>
  </si>
  <si>
    <t xml:space="preserve">Трубки теплоизоляционные для трубы Ø40х5,5 толщиной 9мм</t>
  </si>
  <si>
    <t xml:space="preserve">5.21</t>
  </si>
  <si>
    <t xml:space="preserve">Трубки теплоизоляционные для трубы Ø50х6,9 толщиной 13мм</t>
  </si>
  <si>
    <t xml:space="preserve">5.22</t>
  </si>
  <si>
    <t xml:space="preserve">Муфта полипропиленовая, 32</t>
  </si>
  <si>
    <t xml:space="preserve">5.23</t>
  </si>
  <si>
    <t xml:space="preserve">Муфта полипропиленовая, 40</t>
  </si>
  <si>
    <t xml:space="preserve">5.24</t>
  </si>
  <si>
    <t xml:space="preserve">Муфта переходная полипропиленовая, 40/32</t>
  </si>
  <si>
    <t xml:space="preserve">5.25</t>
  </si>
  <si>
    <t xml:space="preserve">Угольник 450 полипропиленовый, 32</t>
  </si>
  <si>
    <t xml:space="preserve">5.26</t>
  </si>
  <si>
    <t xml:space="preserve">Угольник 450 полипропиленовый, 40</t>
  </si>
  <si>
    <t xml:space="preserve">5.27</t>
  </si>
  <si>
    <t xml:space="preserve">Угольник 900 полипропиленовый, 32</t>
  </si>
  <si>
    <t xml:space="preserve">5.28</t>
  </si>
  <si>
    <t xml:space="preserve">Угольник 900 полипропиленовый, 40</t>
  </si>
  <si>
    <t xml:space="preserve">5.29</t>
  </si>
  <si>
    <t xml:space="preserve">Тройник полипропиленовый, 32</t>
  </si>
  <si>
    <t xml:space="preserve">5.30</t>
  </si>
  <si>
    <t xml:space="preserve">Тройник полипропиленовый, 40</t>
  </si>
  <si>
    <t xml:space="preserve">5.31</t>
  </si>
  <si>
    <t xml:space="preserve">Труба полипропиленовая, Ø32х5,4</t>
  </si>
  <si>
    <t xml:space="preserve">5.32</t>
  </si>
  <si>
    <t xml:space="preserve">Труба полипропиленовая, Ø40х6,7</t>
  </si>
  <si>
    <t xml:space="preserve">5.33</t>
  </si>
  <si>
    <t xml:space="preserve">Трубки теплоизоляционные для трубы Ø32х5,4 толщиной 6мм</t>
  </si>
  <si>
    <t xml:space="preserve">5.34</t>
  </si>
  <si>
    <t xml:space="preserve">Трубки теплоизоляционные для трубы Ø40х6,7 толщиной 6мм</t>
  </si>
  <si>
    <t xml:space="preserve">5.35</t>
  </si>
  <si>
    <t xml:space="preserve">Дренаж</t>
  </si>
  <si>
    <t xml:space="preserve">5.36</t>
  </si>
  <si>
    <t xml:space="preserve">ПНР 10й этаж</t>
  </si>
  <si>
    <t xml:space="preserve">6</t>
  </si>
  <si>
    <t xml:space="preserve">Вентиляция 2 этаж</t>
  </si>
  <si>
    <t xml:space="preserve">6.1</t>
  </si>
  <si>
    <t xml:space="preserve">6.2</t>
  </si>
  <si>
    <t xml:space="preserve">Решетка защитная круглая, Ø160 БСК 160</t>
  </si>
  <si>
    <t xml:space="preserve">6.3</t>
  </si>
  <si>
    <t xml:space="preserve">Решетка защитная круглая, Ø200 БСК 200</t>
  </si>
  <si>
    <t xml:space="preserve">6.4</t>
  </si>
  <si>
    <t xml:space="preserve">Диффузор круглый, Ø100 ЛК 100</t>
  </si>
  <si>
    <t xml:space="preserve">6.5</t>
  </si>
  <si>
    <t xml:space="preserve">Диффузор круглый, Ø125 ЛК 125</t>
  </si>
  <si>
    <t xml:space="preserve">6.6</t>
  </si>
  <si>
    <t xml:space="preserve">Диффузор круглый, Ø160 ЛК 160</t>
  </si>
  <si>
    <t xml:space="preserve">6.7</t>
  </si>
  <si>
    <t xml:space="preserve">Диффузор круглый, Ø160 VE 160</t>
  </si>
  <si>
    <t xml:space="preserve">6.8</t>
  </si>
  <si>
    <t xml:space="preserve">Регулятор расхода воздуха, Ø100 КВК 100</t>
  </si>
  <si>
    <t xml:space="preserve">6.9</t>
  </si>
  <si>
    <t xml:space="preserve">Регулятор расхода воздуха, Ø125 КВК 125</t>
  </si>
  <si>
    <t xml:space="preserve">6.10</t>
  </si>
  <si>
    <t xml:space="preserve">Регулятор расхода воздуха, Ø160 КВК 160</t>
  </si>
  <si>
    <t xml:space="preserve">6.11</t>
  </si>
  <si>
    <t xml:space="preserve">6.12</t>
  </si>
  <si>
    <t xml:space="preserve">6.13</t>
  </si>
  <si>
    <t xml:space="preserve">6.14</t>
  </si>
  <si>
    <t xml:space="preserve">6.15</t>
  </si>
  <si>
    <t xml:space="preserve">6.16</t>
  </si>
  <si>
    <t xml:space="preserve">6.17</t>
  </si>
  <si>
    <t xml:space="preserve">6.18</t>
  </si>
  <si>
    <t xml:space="preserve">6.19</t>
  </si>
  <si>
    <t xml:space="preserve">Воздуховод из оцинкованной стали толщиной 0,6мм, класса «В», Ø250</t>
  </si>
  <si>
    <t xml:space="preserve">6.20</t>
  </si>
  <si>
    <t xml:space="preserve">6.21</t>
  </si>
  <si>
    <t xml:space="preserve">Воздуховод из оцинкованной стали толщиной 0,7мм, класса «В», 300x250</t>
  </si>
  <si>
    <t xml:space="preserve">6.22</t>
  </si>
  <si>
    <t xml:space="preserve">6.23</t>
  </si>
  <si>
    <t xml:space="preserve">6.24</t>
  </si>
  <si>
    <t xml:space="preserve">Воздуховод из оцинкованной стали толщиной 0,7мм, класса «В», 700x200</t>
  </si>
  <si>
    <t xml:space="preserve">6.25</t>
  </si>
  <si>
    <t xml:space="preserve">Отвод 150 из оцинкованной стали толщиной 0,5мм, класса «В», Ø200</t>
  </si>
  <si>
    <t xml:space="preserve">6.26</t>
  </si>
  <si>
    <t xml:space="preserve">Отвод 150 из оцинкованной стали толщиной 0,7мм, класса «В», 600x250</t>
  </si>
  <si>
    <t xml:space="preserve">6.27</t>
  </si>
  <si>
    <t xml:space="preserve">Отвод 300 из оцинкованной стали толщиной 0,5мм, класса «В», Ø100</t>
  </si>
  <si>
    <t xml:space="preserve">6.28</t>
  </si>
  <si>
    <t xml:space="preserve">Отвод 300 из оцинкованной стали толщиной 0,5мм, класса «В», Ø125</t>
  </si>
  <si>
    <t xml:space="preserve">6.29</t>
  </si>
  <si>
    <t xml:space="preserve">6.30</t>
  </si>
  <si>
    <t xml:space="preserve">Отвод 300 из оцинкованной стали толщиной 0,6мм, класса «В», Ø250</t>
  </si>
  <si>
    <t xml:space="preserve">6.31</t>
  </si>
  <si>
    <t xml:space="preserve">Отвод 300 из оцинкованной стали толщиной 0,7мм, класса «В», 300x200</t>
  </si>
  <si>
    <t xml:space="preserve">6.32</t>
  </si>
  <si>
    <t xml:space="preserve">Отвод 300 из оцинкованной стали толщиной 0,7мм, класса «В», 300x250</t>
  </si>
  <si>
    <t xml:space="preserve">6.33</t>
  </si>
  <si>
    <t xml:space="preserve">Отвод 450 из оцинкованной стали толщиной 0,5мм, класса «В», Ø100</t>
  </si>
  <si>
    <t xml:space="preserve">6.34</t>
  </si>
  <si>
    <t xml:space="preserve">Отвод 450 из оцинкованной стали толщиной 0,5мм, класса «В», Ø125</t>
  </si>
  <si>
    <t xml:space="preserve">6.35</t>
  </si>
  <si>
    <t xml:space="preserve">Отвод 450 из оцинкованной стали толщиной 0,5мм, класса «В», Ø200</t>
  </si>
  <si>
    <t xml:space="preserve">6.36</t>
  </si>
  <si>
    <t xml:space="preserve">Отвод 450 из оцинкованной стали толщиной 0,7мм, класса «В», 200x300</t>
  </si>
  <si>
    <t xml:space="preserve">6.37</t>
  </si>
  <si>
    <t xml:space="preserve">Отвод 450 из оцинкованной стали толщиной 0,7мм, класса «В», 200x400</t>
  </si>
  <si>
    <t xml:space="preserve">6.38</t>
  </si>
  <si>
    <t xml:space="preserve">Отвод 600 из оцинкованной стали толщиной 0,5мм, класса «В», Ø200</t>
  </si>
  <si>
    <t xml:space="preserve">6.39</t>
  </si>
  <si>
    <t xml:space="preserve">6.40</t>
  </si>
  <si>
    <t xml:space="preserve">6.41</t>
  </si>
  <si>
    <t xml:space="preserve">6.42</t>
  </si>
  <si>
    <t xml:space="preserve">Отвод 900 из оцинкованной стали толщиной 0,6мм, класса «В», Ø250</t>
  </si>
  <si>
    <t xml:space="preserve">6.43</t>
  </si>
  <si>
    <t xml:space="preserve">Отвод 900 из оцинкованной стали толщиной 0,7мм, класса «В», 200x300</t>
  </si>
  <si>
    <t xml:space="preserve">6.44</t>
  </si>
  <si>
    <t xml:space="preserve">Отвод 900 из оцинкованной стали толщиной 0,7мм, класса «В», 200x400</t>
  </si>
  <si>
    <t xml:space="preserve">6.45</t>
  </si>
  <si>
    <t xml:space="preserve">6.46</t>
  </si>
  <si>
    <t xml:space="preserve">6.47</t>
  </si>
  <si>
    <t xml:space="preserve">6.48</t>
  </si>
  <si>
    <t xml:space="preserve">6.49</t>
  </si>
  <si>
    <t xml:space="preserve">Врезка плоская из оцинкованной стали толщиной 0,5мм, класса «В», Ø125</t>
  </si>
  <si>
    <t xml:space="preserve">6.50</t>
  </si>
  <si>
    <t xml:space="preserve">6.51</t>
  </si>
  <si>
    <t xml:space="preserve">6.52</t>
  </si>
  <si>
    <t xml:space="preserve">6.53</t>
  </si>
  <si>
    <t xml:space="preserve">Врезка-седло из оцинкованной стали толщиной 0,6мм, класса «В», Ø250/Ø100</t>
  </si>
  <si>
    <t xml:space="preserve">6.54</t>
  </si>
  <si>
    <t xml:space="preserve">6.55</t>
  </si>
  <si>
    <t xml:space="preserve">Переход из оцинкованной стали толщиной 0,5мм, класса «В», Ø200/Ø125</t>
  </si>
  <si>
    <t xml:space="preserve">6.56</t>
  </si>
  <si>
    <t xml:space="preserve">Переход из оцинкованной стали толщиной 0,6мм, класса «В», Ø250/Ø200</t>
  </si>
  <si>
    <t xml:space="preserve">6.57</t>
  </si>
  <si>
    <t xml:space="preserve">Переход из оцинкованной стали толщиной 0,7мм, класса «В», 300x200/Ø200</t>
  </si>
  <si>
    <t xml:space="preserve">6.58</t>
  </si>
  <si>
    <t xml:space="preserve">Переход из оцинкованной стали толщиной 0,7мм, класса «В», 300x250/Ø200</t>
  </si>
  <si>
    <t xml:space="preserve">6.59</t>
  </si>
  <si>
    <t xml:space="preserve">Переход из оцинкованной стали толщиной 0,7мм, класса «В», 400x200/Ø250</t>
  </si>
  <si>
    <t xml:space="preserve">6.60</t>
  </si>
  <si>
    <t xml:space="preserve">Переход из оцинкованной стали толщиной 0,7мм, класса «В», 400x200/300x200</t>
  </si>
  <si>
    <t xml:space="preserve">6.61</t>
  </si>
  <si>
    <t xml:space="preserve">Переход из оцинкованной стали толщиной 0,7мм, класса «В», 600x250/400x200</t>
  </si>
  <si>
    <t xml:space="preserve">6.62</t>
  </si>
  <si>
    <t xml:space="preserve">Переход из оцинкованной стали толщиной 0,7мм, класса «В», 700x200/600x250</t>
  </si>
  <si>
    <t xml:space="preserve">6.63</t>
  </si>
  <si>
    <t xml:space="preserve">Заглушка из оцинкованной стали толщиной 0,5мм, класса «В», Ø200</t>
  </si>
  <si>
    <t xml:space="preserve">6.64</t>
  </si>
  <si>
    <t xml:space="preserve">Заглушка из оцинкованной стали толщиной 0,7мм, класса «В», 400x200</t>
  </si>
  <si>
    <t xml:space="preserve">6.65</t>
  </si>
  <si>
    <t xml:space="preserve">6.66</t>
  </si>
  <si>
    <t xml:space="preserve">6.67</t>
  </si>
  <si>
    <t xml:space="preserve">6.68</t>
  </si>
  <si>
    <t xml:space="preserve">6.69</t>
  </si>
  <si>
    <t xml:space="preserve">6.70</t>
  </si>
  <si>
    <t xml:space="preserve">6.71.1</t>
  </si>
  <si>
    <t xml:space="preserve">Демонтаж воздуховода прямоугольного 300x250, изолированного</t>
  </si>
  <si>
    <t xml:space="preserve">6.71.2</t>
  </si>
  <si>
    <t xml:space="preserve">Демонтаж воздуховода прямоугольного 300x250, без изоляции</t>
  </si>
  <si>
    <t xml:space="preserve">6.71.3</t>
  </si>
  <si>
    <t xml:space="preserve">Демонтаж воздуховода прямоугольного 400x200, изолированного</t>
  </si>
  <si>
    <t xml:space="preserve">6.71.4</t>
  </si>
  <si>
    <t xml:space="preserve">Демонтаж воздуховода прямоугольного 400x200, без изоляции</t>
  </si>
  <si>
    <t xml:space="preserve">6.71.5</t>
  </si>
  <si>
    <t xml:space="preserve">Демонтаж воздуховода прямоугольного 500x250, изолированного</t>
  </si>
  <si>
    <t xml:space="preserve">6.71.6</t>
  </si>
  <si>
    <t xml:space="preserve">Демонтаж воздуховода прямоугольного 500x250, без изоляции</t>
  </si>
  <si>
    <t xml:space="preserve">6.71.7</t>
  </si>
  <si>
    <t xml:space="preserve">Демонтаж воздуховода прямоугольного 600x250, изолированного</t>
  </si>
  <si>
    <t xml:space="preserve">6.71.8</t>
  </si>
  <si>
    <t xml:space="preserve">Демонтаж воздуховода прямоугольного 600x250, без изоляции</t>
  </si>
  <si>
    <t xml:space="preserve">6.71.9</t>
  </si>
  <si>
    <t xml:space="preserve">Демонтаж воздуховода круглого Ø100, изолированного</t>
  </si>
  <si>
    <t xml:space="preserve">6.71.10</t>
  </si>
  <si>
    <t xml:space="preserve">Демонтаж воздуховода круглого Ø100, без изоляции</t>
  </si>
  <si>
    <t xml:space="preserve">6.71.11</t>
  </si>
  <si>
    <t xml:space="preserve">Демонтаж воздуховода круглого Ø125, изолированного</t>
  </si>
  <si>
    <t xml:space="preserve">6.71.12</t>
  </si>
  <si>
    <t xml:space="preserve">Демонтаж воздуховода круглого Ø125, без изоляции</t>
  </si>
  <si>
    <t xml:space="preserve">6.71.13</t>
  </si>
  <si>
    <t xml:space="preserve">Демонтаж воздуховода круглого Ø200, изолированного (с КВК)</t>
  </si>
  <si>
    <t xml:space="preserve">6.71.14</t>
  </si>
  <si>
    <t xml:space="preserve">Демонтаж воздуховода круглого Ø200, без изоляции (с КВК)</t>
  </si>
  <si>
    <t xml:space="preserve">6.71.15</t>
  </si>
  <si>
    <t xml:space="preserve">Демонтаж воздуховода круглого Ø250, изолированного</t>
  </si>
  <si>
    <t xml:space="preserve">6.71.16</t>
  </si>
  <si>
    <t xml:space="preserve">Демонтаж воздуховода круглого Ø250, без изоляции</t>
  </si>
  <si>
    <t xml:space="preserve">6.71.17</t>
  </si>
  <si>
    <t xml:space="preserve">Обрезка шпилек</t>
  </si>
  <si>
    <t xml:space="preserve">6.71.18</t>
  </si>
  <si>
    <t xml:space="preserve">Демонтаж кронштейнов</t>
  </si>
  <si>
    <t xml:space="preserve">6.71.19</t>
  </si>
  <si>
    <t xml:space="preserve">Герметизация отверстий воздуховодов</t>
  </si>
  <si>
    <t xml:space="preserve">6.71.20</t>
  </si>
  <si>
    <t xml:space="preserve">Демонтаж проходок (обрезка ГКЛ, выемка из межстенового пространства)</t>
  </si>
  <si>
    <t xml:space="preserve">6.71.21</t>
  </si>
  <si>
    <t xml:space="preserve">Подрезка и фиксация существующей изоляции на стыке с новой системой ОВ</t>
  </si>
  <si>
    <t xml:space="preserve">6.71.22</t>
  </si>
  <si>
    <t xml:space="preserve">Сбор и перенос демонтированного к месту временного складирования</t>
  </si>
  <si>
    <t xml:space="preserve">т</t>
  </si>
  <si>
    <t xml:space="preserve">6.72</t>
  </si>
  <si>
    <t xml:space="preserve">6.73</t>
  </si>
  <si>
    <t xml:space="preserve">6.74</t>
  </si>
  <si>
    <t xml:space="preserve">ПНР 2й этаж</t>
  </si>
  <si>
    <t xml:space="preserve">7</t>
  </si>
  <si>
    <t xml:space="preserve">Холодоснабжение 2 этаж</t>
  </si>
  <si>
    <t xml:space="preserve">7.1</t>
  </si>
  <si>
    <t xml:space="preserve">Фанкойл кассетный, 600x600 SK-12</t>
  </si>
  <si>
    <t xml:space="preserve">7.2</t>
  </si>
  <si>
    <t xml:space="preserve">Подключение фанкойлов в радиусе 2,5 м (подача, обратка, 3-ходовой клапан, запорная арматура, гибкие подводки)</t>
  </si>
  <si>
    <t xml:space="preserve">7.3</t>
  </si>
  <si>
    <t xml:space="preserve">7.4</t>
  </si>
  <si>
    <t xml:space="preserve">7.5</t>
  </si>
  <si>
    <t xml:space="preserve">7.6</t>
  </si>
  <si>
    <t xml:space="preserve">Комплект трехходовой клапан, запорные краны, медные патрубки</t>
  </si>
  <si>
    <t xml:space="preserve">7.7</t>
  </si>
  <si>
    <t xml:space="preserve">теплоизоляция труб</t>
  </si>
  <si>
    <t xml:space="preserve">7.8</t>
  </si>
  <si>
    <t xml:space="preserve">7.11</t>
  </si>
  <si>
    <t xml:space="preserve">ИТОГО ОБЩАЯ СУММА РАБОТ 2, 3, 7, 8, 9, 10 этажи, руб. (НДС не облагается в связи с применением УСН)</t>
  </si>
  <si>
    <t xml:space="preserve">Не включено в настоящее КП: дымоудаление 2 и 10 этажей; демонтаж холодоснабжения и дренажной системы 2 этажа.</t>
  </si>
  <si>
    <t xml:space="preserve">Заказчик: ООО «Компания Реновель»</t>
  </si>
  <si>
    <t xml:space="preserve">Подрядчик: ИП Краснощеков П.А.</t>
  </si>
  <si>
    <t xml:space="preserve">Генеральный директор ______________ / Опарин А.В. /</t>
  </si>
  <si>
    <t xml:space="preserve">______________ / Краснощеков П.А. 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</si>
</sst>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.##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i val="true"/>
      <sz val="1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9" min="3" style="0" width="8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7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4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customFormat="false" ht="15" hidden="false" customHeight="false" outlineLevel="0" collapsed="false">
      <c r="A4" s="3" t="s">
        <v>13</v>
      </c>
      <c r="B4" s="3" t="s">
        <v>14</v>
      </c>
      <c r="C4" s="3"/>
      <c r="D4" s="3"/>
      <c r="E4" s="3"/>
      <c r="F4" s="3"/>
      <c r="G4" s="3"/>
      <c r="H4" s="3"/>
      <c r="I4" s="3"/>
      <c r="J4" s="3"/>
      <c r="K4" s="3"/>
      <c r="L4" s="4" t="n">
        <f aca="false">SUM(L5:L38)</f>
        <v>3404461.341</v>
      </c>
    </row>
    <row r="5" customFormat="false" ht="15" hidden="false" customHeight="false" outlineLevel="0" collapsed="false">
      <c r="A5" s="5" t="s">
        <v>15</v>
      </c>
      <c r="B5" s="6" t="s">
        <v>16</v>
      </c>
      <c r="C5" s="5" t="s">
        <v>17</v>
      </c>
      <c r="D5" s="7" t="n">
        <v>18</v>
      </c>
      <c r="E5" s="7" t="n">
        <v>18</v>
      </c>
      <c r="F5" s="7" t="n">
        <v>18</v>
      </c>
      <c r="G5" s="7" t="n">
        <v>18</v>
      </c>
      <c r="H5" s="7"/>
      <c r="I5" s="7"/>
      <c r="J5" s="8" t="n">
        <f aca="false">SUM(D5:I5)</f>
        <v>72</v>
      </c>
      <c r="K5" s="9" t="n">
        <v>600</v>
      </c>
      <c r="L5" s="9" t="n">
        <f aca="false">J5*K5</f>
        <v>43200</v>
      </c>
    </row>
    <row r="6" customFormat="false" ht="15" hidden="false" customHeight="false" outlineLevel="0" collapsed="false">
      <c r="A6" s="5" t="s">
        <v>18</v>
      </c>
      <c r="B6" s="6" t="s">
        <v>19</v>
      </c>
      <c r="C6" s="5" t="s">
        <v>17</v>
      </c>
      <c r="D6" s="7" t="n">
        <v>4</v>
      </c>
      <c r="E6" s="7" t="n">
        <v>4</v>
      </c>
      <c r="F6" s="7" t="n">
        <v>4</v>
      </c>
      <c r="G6" s="7" t="n">
        <v>4</v>
      </c>
      <c r="H6" s="7"/>
      <c r="I6" s="7"/>
      <c r="J6" s="8" t="n">
        <f aca="false">SUM(D6:I6)</f>
        <v>16</v>
      </c>
      <c r="K6" s="9" t="n">
        <v>600</v>
      </c>
      <c r="L6" s="9" t="n">
        <f aca="false">J6*K6</f>
        <v>9600</v>
      </c>
    </row>
    <row r="7" customFormat="false" ht="15" hidden="false" customHeight="false" outlineLevel="0" collapsed="false">
      <c r="A7" s="5" t="s">
        <v>20</v>
      </c>
      <c r="B7" s="6" t="s">
        <v>21</v>
      </c>
      <c r="C7" s="5" t="s">
        <v>17</v>
      </c>
      <c r="D7" s="7" t="n">
        <v>2</v>
      </c>
      <c r="E7" s="7" t="n">
        <v>2</v>
      </c>
      <c r="F7" s="7" t="n">
        <v>2</v>
      </c>
      <c r="G7" s="7" t="n">
        <v>2</v>
      </c>
      <c r="H7" s="7"/>
      <c r="I7" s="7"/>
      <c r="J7" s="8" t="n">
        <f aca="false">SUM(D7:I7)</f>
        <v>8</v>
      </c>
      <c r="K7" s="9" t="n">
        <v>600</v>
      </c>
      <c r="L7" s="9" t="n">
        <f aca="false">J7*K7</f>
        <v>4800</v>
      </c>
    </row>
    <row r="8" customFormat="false" ht="15" hidden="false" customHeight="false" outlineLevel="0" collapsed="false">
      <c r="A8" s="5" t="s">
        <v>22</v>
      </c>
      <c r="B8" s="6" t="s">
        <v>23</v>
      </c>
      <c r="C8" s="5" t="s">
        <v>17</v>
      </c>
      <c r="D8" s="7" t="n">
        <v>2</v>
      </c>
      <c r="E8" s="7" t="n">
        <v>2</v>
      </c>
      <c r="F8" s="7" t="n">
        <v>2</v>
      </c>
      <c r="G8" s="7" t="n">
        <v>2</v>
      </c>
      <c r="H8" s="7"/>
      <c r="I8" s="7"/>
      <c r="J8" s="8" t="n">
        <f aca="false">SUM(D8:I8)</f>
        <v>8</v>
      </c>
      <c r="K8" s="9" t="n">
        <v>4000</v>
      </c>
      <c r="L8" s="9" t="n">
        <f aca="false">J8*K8</f>
        <v>32000</v>
      </c>
    </row>
    <row r="9" customFormat="false" ht="15" hidden="false" customHeight="false" outlineLevel="0" collapsed="false">
      <c r="A9" s="5" t="s">
        <v>24</v>
      </c>
      <c r="B9" s="6" t="s">
        <v>25</v>
      </c>
      <c r="C9" s="5" t="s">
        <v>17</v>
      </c>
      <c r="D9" s="7" t="n">
        <v>3</v>
      </c>
      <c r="E9" s="7" t="n">
        <v>3</v>
      </c>
      <c r="F9" s="7" t="n">
        <v>3</v>
      </c>
      <c r="G9" s="7" t="n">
        <v>3</v>
      </c>
      <c r="H9" s="7"/>
      <c r="I9" s="7"/>
      <c r="J9" s="8" t="n">
        <f aca="false">SUM(D9:I9)</f>
        <v>12</v>
      </c>
      <c r="K9" s="9" t="n">
        <v>950</v>
      </c>
      <c r="L9" s="9" t="n">
        <f aca="false">J9*K9</f>
        <v>11400</v>
      </c>
    </row>
    <row r="10" customFormat="false" ht="15" hidden="false" customHeight="false" outlineLevel="0" collapsed="false">
      <c r="A10" s="5" t="s">
        <v>26</v>
      </c>
      <c r="B10" s="6" t="s">
        <v>27</v>
      </c>
      <c r="C10" s="5" t="s">
        <v>17</v>
      </c>
      <c r="D10" s="7" t="n">
        <v>15</v>
      </c>
      <c r="E10" s="7" t="n">
        <v>15</v>
      </c>
      <c r="F10" s="7" t="n">
        <v>15</v>
      </c>
      <c r="G10" s="7" t="n">
        <v>15</v>
      </c>
      <c r="H10" s="7"/>
      <c r="I10" s="7"/>
      <c r="J10" s="8" t="n">
        <f aca="false">SUM(D10:I10)</f>
        <v>60</v>
      </c>
      <c r="K10" s="9" t="n">
        <v>950</v>
      </c>
      <c r="L10" s="9" t="n">
        <f aca="false">J10*K10</f>
        <v>57000</v>
      </c>
    </row>
    <row r="11" customFormat="false" ht="15" hidden="false" customHeight="false" outlineLevel="0" collapsed="false">
      <c r="A11" s="5" t="s">
        <v>28</v>
      </c>
      <c r="B11" s="6" t="s">
        <v>29</v>
      </c>
      <c r="C11" s="5" t="s">
        <v>17</v>
      </c>
      <c r="D11" s="7" t="n">
        <v>16</v>
      </c>
      <c r="E11" s="7" t="n">
        <v>16</v>
      </c>
      <c r="F11" s="7" t="n">
        <v>16</v>
      </c>
      <c r="G11" s="7" t="n">
        <v>16</v>
      </c>
      <c r="H11" s="7"/>
      <c r="I11" s="7"/>
      <c r="J11" s="8" t="n">
        <f aca="false">SUM(D11:I11)</f>
        <v>64</v>
      </c>
      <c r="K11" s="9" t="n">
        <v>950</v>
      </c>
      <c r="L11" s="9" t="n">
        <f aca="false">J11*K11</f>
        <v>60800</v>
      </c>
    </row>
    <row r="12" customFormat="false" ht="15" hidden="false" customHeight="false" outlineLevel="0" collapsed="false">
      <c r="A12" s="5" t="s">
        <v>30</v>
      </c>
      <c r="B12" s="6" t="s">
        <v>31</v>
      </c>
      <c r="C12" s="5" t="s">
        <v>17</v>
      </c>
      <c r="D12" s="7" t="n">
        <v>2</v>
      </c>
      <c r="E12" s="7" t="n">
        <v>2</v>
      </c>
      <c r="F12" s="7" t="n">
        <v>2</v>
      </c>
      <c r="G12" s="7" t="n">
        <v>2</v>
      </c>
      <c r="H12" s="7"/>
      <c r="I12" s="7"/>
      <c r="J12" s="8" t="n">
        <f aca="false">SUM(D12:I12)</f>
        <v>8</v>
      </c>
      <c r="K12" s="9" t="n">
        <v>950</v>
      </c>
      <c r="L12" s="9" t="n">
        <f aca="false">J12*K12</f>
        <v>7600</v>
      </c>
    </row>
    <row r="13" customFormat="false" ht="15" hidden="false" customHeight="false" outlineLevel="0" collapsed="false">
      <c r="A13" s="5" t="s">
        <v>32</v>
      </c>
      <c r="B13" s="6" t="s">
        <v>33</v>
      </c>
      <c r="C13" s="5" t="s">
        <v>34</v>
      </c>
      <c r="D13" s="7" t="n">
        <v>10</v>
      </c>
      <c r="E13" s="7" t="n">
        <v>10</v>
      </c>
      <c r="F13" s="7" t="n">
        <v>10</v>
      </c>
      <c r="G13" s="7" t="n">
        <v>10</v>
      </c>
      <c r="H13" s="7"/>
      <c r="I13" s="7"/>
      <c r="J13" s="8" t="n">
        <f aca="false">SUM(D13:I13)</f>
        <v>40</v>
      </c>
      <c r="K13" s="9" t="n">
        <v>474.36</v>
      </c>
      <c r="L13" s="9" t="n">
        <f aca="false">J13*K13</f>
        <v>18974.4</v>
      </c>
    </row>
    <row r="14" customFormat="false" ht="15" hidden="false" customHeight="false" outlineLevel="0" collapsed="false">
      <c r="A14" s="5" t="s">
        <v>35</v>
      </c>
      <c r="B14" s="6" t="s">
        <v>36</v>
      </c>
      <c r="C14" s="5" t="s">
        <v>34</v>
      </c>
      <c r="D14" s="7" t="n">
        <v>4</v>
      </c>
      <c r="E14" s="7" t="n">
        <v>4</v>
      </c>
      <c r="F14" s="7" t="n">
        <v>4</v>
      </c>
      <c r="G14" s="7" t="n">
        <v>1.5</v>
      </c>
      <c r="H14" s="7"/>
      <c r="I14" s="7"/>
      <c r="J14" s="8" t="n">
        <f aca="false">SUM(D14:I14)</f>
        <v>13.5</v>
      </c>
      <c r="K14" s="9" t="n">
        <v>760</v>
      </c>
      <c r="L14" s="9" t="n">
        <f aca="false">J14*K14</f>
        <v>10260</v>
      </c>
    </row>
    <row r="15" customFormat="false" ht="15" hidden="false" customHeight="false" outlineLevel="0" collapsed="false">
      <c r="A15" s="5" t="s">
        <v>37</v>
      </c>
      <c r="B15" s="6" t="s">
        <v>38</v>
      </c>
      <c r="C15" s="5" t="s">
        <v>34</v>
      </c>
      <c r="D15" s="7" t="n">
        <v>6</v>
      </c>
      <c r="E15" s="7" t="n">
        <v>6</v>
      </c>
      <c r="F15" s="7" t="n">
        <v>6</v>
      </c>
      <c r="G15" s="7" t="n">
        <v>8.5</v>
      </c>
      <c r="H15" s="7"/>
      <c r="I15" s="7"/>
      <c r="J15" s="8" t="n">
        <f aca="false">SUM(D15:I15)</f>
        <v>26.5</v>
      </c>
      <c r="K15" s="9" t="n">
        <v>760</v>
      </c>
      <c r="L15" s="9" t="n">
        <f aca="false">J15*K15</f>
        <v>20140</v>
      </c>
    </row>
    <row r="16" customFormat="false" ht="15" hidden="false" customHeight="false" outlineLevel="0" collapsed="false">
      <c r="A16" s="5" t="s">
        <v>39</v>
      </c>
      <c r="B16" s="6" t="s">
        <v>40</v>
      </c>
      <c r="C16" s="5" t="s">
        <v>34</v>
      </c>
      <c r="D16" s="7" t="n">
        <v>10</v>
      </c>
      <c r="E16" s="7" t="n">
        <v>10</v>
      </c>
      <c r="F16" s="7" t="n">
        <v>15</v>
      </c>
      <c r="G16" s="7" t="n">
        <v>15</v>
      </c>
      <c r="H16" s="7"/>
      <c r="I16" s="7"/>
      <c r="J16" s="8" t="n">
        <f aca="false">SUM(D16:I16)</f>
        <v>50</v>
      </c>
      <c r="K16" s="9" t="n">
        <v>760</v>
      </c>
      <c r="L16" s="9" t="n">
        <f aca="false">J16*K16</f>
        <v>38000</v>
      </c>
    </row>
    <row r="17" customFormat="false" ht="15" hidden="false" customHeight="false" outlineLevel="0" collapsed="false">
      <c r="A17" s="5" t="s">
        <v>41</v>
      </c>
      <c r="B17" s="6" t="s">
        <v>42</v>
      </c>
      <c r="C17" s="5" t="s">
        <v>34</v>
      </c>
      <c r="D17" s="7" t="n">
        <v>1</v>
      </c>
      <c r="E17" s="7" t="n">
        <v>2</v>
      </c>
      <c r="F17" s="7" t="n">
        <v>1</v>
      </c>
      <c r="G17" s="7" t="n">
        <v>1.2</v>
      </c>
      <c r="H17" s="7"/>
      <c r="I17" s="7"/>
      <c r="J17" s="8" t="n">
        <f aca="false">SUM(D17:I17)</f>
        <v>5.2</v>
      </c>
      <c r="K17" s="9" t="n">
        <v>950</v>
      </c>
      <c r="L17" s="9" t="n">
        <f aca="false">J17*K17</f>
        <v>4940</v>
      </c>
    </row>
    <row r="18" customFormat="false" ht="15" hidden="false" customHeight="false" outlineLevel="0" collapsed="false">
      <c r="A18" s="5" t="s">
        <v>43</v>
      </c>
      <c r="B18" s="6" t="s">
        <v>44</v>
      </c>
      <c r="C18" s="5" t="s">
        <v>34</v>
      </c>
      <c r="D18" s="7" t="n">
        <v>190</v>
      </c>
      <c r="E18" s="7" t="n">
        <v>190</v>
      </c>
      <c r="F18" s="7" t="n">
        <v>190</v>
      </c>
      <c r="G18" s="7" t="n">
        <v>201.3</v>
      </c>
      <c r="H18" s="7"/>
      <c r="I18" s="7"/>
      <c r="J18" s="8" t="n">
        <f aca="false">SUM(D18:I18)</f>
        <v>771.3</v>
      </c>
      <c r="K18" s="9" t="n">
        <v>689.79</v>
      </c>
      <c r="L18" s="9" t="n">
        <f aca="false">J18*K18</f>
        <v>532035.027</v>
      </c>
    </row>
    <row r="19" customFormat="false" ht="15" hidden="false" customHeight="false" outlineLevel="0" collapsed="false">
      <c r="A19" s="5" t="s">
        <v>45</v>
      </c>
      <c r="B19" s="6" t="s">
        <v>46</v>
      </c>
      <c r="C19" s="5" t="s">
        <v>34</v>
      </c>
      <c r="D19" s="7" t="n">
        <v>50</v>
      </c>
      <c r="E19" s="7" t="n">
        <v>50</v>
      </c>
      <c r="F19" s="7" t="n">
        <v>50.6</v>
      </c>
      <c r="G19" s="7" t="n">
        <v>54</v>
      </c>
      <c r="H19" s="7"/>
      <c r="I19" s="7"/>
      <c r="J19" s="8" t="n">
        <f aca="false">SUM(D19:I19)</f>
        <v>204.6</v>
      </c>
      <c r="K19" s="9" t="n">
        <v>862.23</v>
      </c>
      <c r="L19" s="9" t="n">
        <f aca="false">J19*K19</f>
        <v>176412.258</v>
      </c>
    </row>
    <row r="20" customFormat="false" ht="15" hidden="false" customHeight="false" outlineLevel="0" collapsed="false">
      <c r="A20" s="5" t="s">
        <v>47</v>
      </c>
      <c r="B20" s="6" t="s">
        <v>48</v>
      </c>
      <c r="C20" s="5" t="s">
        <v>34</v>
      </c>
      <c r="D20" s="7" t="n">
        <v>1</v>
      </c>
      <c r="E20" s="7" t="n">
        <v>1</v>
      </c>
      <c r="F20" s="7" t="n">
        <v>1</v>
      </c>
      <c r="G20" s="7" t="n">
        <v>1.4</v>
      </c>
      <c r="H20" s="7"/>
      <c r="I20" s="7"/>
      <c r="J20" s="8" t="n">
        <f aca="false">SUM(D20:I20)</f>
        <v>4.4</v>
      </c>
      <c r="K20" s="9" t="n">
        <v>1077.79</v>
      </c>
      <c r="L20" s="9" t="n">
        <f aca="false">J20*K20</f>
        <v>4742.276</v>
      </c>
    </row>
    <row r="21" customFormat="false" ht="15" hidden="false" customHeight="false" outlineLevel="0" collapsed="false">
      <c r="A21" s="5" t="s">
        <v>49</v>
      </c>
      <c r="B21" s="6" t="s">
        <v>50</v>
      </c>
      <c r="C21" s="5" t="s">
        <v>51</v>
      </c>
      <c r="D21" s="7" t="n">
        <v>40</v>
      </c>
      <c r="E21" s="7" t="n">
        <v>50</v>
      </c>
      <c r="F21" s="7" t="n">
        <v>45</v>
      </c>
      <c r="G21" s="7" t="n">
        <v>20</v>
      </c>
      <c r="H21" s="7"/>
      <c r="I21" s="7"/>
      <c r="J21" s="8" t="n">
        <f aca="false">SUM(D21:I21)</f>
        <v>155</v>
      </c>
      <c r="K21" s="9" t="n">
        <v>855</v>
      </c>
      <c r="L21" s="9" t="n">
        <f aca="false">J21*K21</f>
        <v>132525</v>
      </c>
    </row>
    <row r="22" customFormat="false" ht="15" hidden="false" customHeight="false" outlineLevel="0" collapsed="false">
      <c r="A22" s="5" t="s">
        <v>52</v>
      </c>
      <c r="B22" s="6" t="s">
        <v>53</v>
      </c>
      <c r="C22" s="5" t="s">
        <v>51</v>
      </c>
      <c r="D22" s="7" t="n">
        <v>2</v>
      </c>
      <c r="E22" s="7" t="n">
        <v>2</v>
      </c>
      <c r="F22" s="7" t="n">
        <v>2</v>
      </c>
      <c r="G22" s="7" t="n">
        <v>1</v>
      </c>
      <c r="H22" s="7"/>
      <c r="I22" s="7"/>
      <c r="J22" s="8" t="n">
        <f aca="false">SUM(D22:I22)</f>
        <v>7</v>
      </c>
      <c r="K22" s="9" t="n">
        <v>855</v>
      </c>
      <c r="L22" s="9" t="n">
        <f aca="false">J22*K22</f>
        <v>5985</v>
      </c>
    </row>
    <row r="23" customFormat="false" ht="15" hidden="false" customHeight="false" outlineLevel="0" collapsed="false">
      <c r="A23" s="5" t="s">
        <v>54</v>
      </c>
      <c r="B23" s="6" t="s">
        <v>55</v>
      </c>
      <c r="C23" s="5" t="s">
        <v>51</v>
      </c>
      <c r="D23" s="7" t="n">
        <v>25</v>
      </c>
      <c r="E23" s="7" t="n">
        <v>25</v>
      </c>
      <c r="F23" s="7" t="n">
        <v>25</v>
      </c>
      <c r="G23" s="7" t="n">
        <v>29</v>
      </c>
      <c r="H23" s="7"/>
      <c r="I23" s="7"/>
      <c r="J23" s="8" t="n">
        <f aca="false">SUM(D23:I23)</f>
        <v>104</v>
      </c>
      <c r="K23" s="9" t="n">
        <v>855</v>
      </c>
      <c r="L23" s="9" t="n">
        <f aca="false">J23*K23</f>
        <v>88920</v>
      </c>
    </row>
    <row r="24" customFormat="false" ht="15" hidden="false" customHeight="false" outlineLevel="0" collapsed="false">
      <c r="A24" s="5" t="s">
        <v>56</v>
      </c>
      <c r="B24" s="6" t="s">
        <v>57</v>
      </c>
      <c r="C24" s="5" t="s">
        <v>51</v>
      </c>
      <c r="D24" s="7" t="n">
        <v>72</v>
      </c>
      <c r="E24" s="7" t="n">
        <v>70</v>
      </c>
      <c r="F24" s="7" t="n">
        <v>60</v>
      </c>
      <c r="G24" s="7" t="n">
        <v>70</v>
      </c>
      <c r="H24" s="7"/>
      <c r="I24" s="7"/>
      <c r="J24" s="8" t="n">
        <f aca="false">SUM(D24:I24)</f>
        <v>272</v>
      </c>
      <c r="K24" s="9" t="n">
        <v>855</v>
      </c>
      <c r="L24" s="9" t="n">
        <f aca="false">J24*K24</f>
        <v>232560</v>
      </c>
    </row>
    <row r="25" customFormat="false" ht="15" hidden="false" customHeight="false" outlineLevel="0" collapsed="false">
      <c r="A25" s="5" t="s">
        <v>58</v>
      </c>
      <c r="B25" s="6" t="s">
        <v>59</v>
      </c>
      <c r="C25" s="5" t="s">
        <v>51</v>
      </c>
      <c r="D25" s="7" t="n">
        <v>63</v>
      </c>
      <c r="E25" s="7" t="n">
        <v>60</v>
      </c>
      <c r="F25" s="7" t="n">
        <v>60</v>
      </c>
      <c r="G25" s="7" t="n">
        <v>60</v>
      </c>
      <c r="H25" s="7"/>
      <c r="I25" s="7"/>
      <c r="J25" s="8" t="n">
        <f aca="false">SUM(D25:I25)</f>
        <v>243</v>
      </c>
      <c r="K25" s="9" t="n">
        <v>855</v>
      </c>
      <c r="L25" s="9" t="n">
        <f aca="false">J25*K25</f>
        <v>207765</v>
      </c>
    </row>
    <row r="26" customFormat="false" ht="15" hidden="false" customHeight="false" outlineLevel="0" collapsed="false">
      <c r="A26" s="5" t="s">
        <v>60</v>
      </c>
      <c r="B26" s="6" t="s">
        <v>61</v>
      </c>
      <c r="C26" s="5" t="s">
        <v>51</v>
      </c>
      <c r="D26" s="7" t="n">
        <v>27</v>
      </c>
      <c r="E26" s="7" t="n">
        <v>27</v>
      </c>
      <c r="F26" s="7" t="n">
        <v>27</v>
      </c>
      <c r="G26" s="7" t="n">
        <v>27</v>
      </c>
      <c r="H26" s="7"/>
      <c r="I26" s="7"/>
      <c r="J26" s="8" t="n">
        <f aca="false">SUM(D26:I26)</f>
        <v>108</v>
      </c>
      <c r="K26" s="9" t="n">
        <v>855</v>
      </c>
      <c r="L26" s="9" t="n">
        <f aca="false">J26*K26</f>
        <v>92340</v>
      </c>
    </row>
    <row r="27" customFormat="false" ht="15" hidden="false" customHeight="false" outlineLevel="0" collapsed="false">
      <c r="A27" s="5" t="s">
        <v>62</v>
      </c>
      <c r="B27" s="6" t="s">
        <v>63</v>
      </c>
      <c r="C27" s="5" t="s">
        <v>51</v>
      </c>
      <c r="D27" s="7" t="n">
        <v>1</v>
      </c>
      <c r="E27" s="7" t="n">
        <v>1</v>
      </c>
      <c r="F27" s="7" t="n">
        <v>1</v>
      </c>
      <c r="G27" s="7" t="n">
        <v>1</v>
      </c>
      <c r="H27" s="7"/>
      <c r="I27" s="7"/>
      <c r="J27" s="8" t="n">
        <f aca="false">SUM(D27:I27)</f>
        <v>4</v>
      </c>
      <c r="K27" s="9" t="n">
        <v>950</v>
      </c>
      <c r="L27" s="9" t="n">
        <f aca="false">J27*K27</f>
        <v>3800</v>
      </c>
    </row>
    <row r="28" customFormat="false" ht="15" hidden="false" customHeight="false" outlineLevel="0" collapsed="false">
      <c r="A28" s="5" t="s">
        <v>64</v>
      </c>
      <c r="B28" s="6" t="s">
        <v>65</v>
      </c>
      <c r="C28" s="5" t="s">
        <v>51</v>
      </c>
      <c r="D28" s="7" t="n">
        <v>85</v>
      </c>
      <c r="E28" s="7" t="n">
        <v>85</v>
      </c>
      <c r="F28" s="7" t="n">
        <v>85</v>
      </c>
      <c r="G28" s="7" t="n">
        <v>85</v>
      </c>
      <c r="H28" s="7"/>
      <c r="I28" s="7"/>
      <c r="J28" s="8" t="n">
        <f aca="false">SUM(D28:I28)</f>
        <v>340</v>
      </c>
      <c r="K28" s="9" t="n">
        <v>950</v>
      </c>
      <c r="L28" s="9" t="n">
        <f aca="false">J28*K28</f>
        <v>323000</v>
      </c>
    </row>
    <row r="29" customFormat="false" ht="15" hidden="false" customHeight="false" outlineLevel="0" collapsed="false">
      <c r="A29" s="5" t="s">
        <v>66</v>
      </c>
      <c r="B29" s="6" t="s">
        <v>67</v>
      </c>
      <c r="C29" s="5" t="s">
        <v>51</v>
      </c>
      <c r="D29" s="7" t="n">
        <v>8</v>
      </c>
      <c r="E29" s="7" t="n">
        <v>8</v>
      </c>
      <c r="F29" s="7" t="n">
        <v>8</v>
      </c>
      <c r="G29" s="7" t="n">
        <v>8</v>
      </c>
      <c r="H29" s="7"/>
      <c r="I29" s="7"/>
      <c r="J29" s="8" t="n">
        <f aca="false">SUM(D29:I29)</f>
        <v>32</v>
      </c>
      <c r="K29" s="9" t="n">
        <v>855</v>
      </c>
      <c r="L29" s="9" t="n">
        <f aca="false">J29*K29</f>
        <v>27360</v>
      </c>
    </row>
    <row r="30" customFormat="false" ht="15" hidden="false" customHeight="false" outlineLevel="0" collapsed="false">
      <c r="A30" s="5" t="s">
        <v>68</v>
      </c>
      <c r="B30" s="6" t="s">
        <v>69</v>
      </c>
      <c r="C30" s="5" t="s">
        <v>51</v>
      </c>
      <c r="D30" s="7" t="n">
        <v>25</v>
      </c>
      <c r="E30" s="7" t="n">
        <v>30</v>
      </c>
      <c r="F30" s="7" t="n">
        <v>30</v>
      </c>
      <c r="G30" s="7" t="n">
        <v>28</v>
      </c>
      <c r="H30" s="7"/>
      <c r="I30" s="7"/>
      <c r="J30" s="8" t="n">
        <f aca="false">SUM(D30:I30)</f>
        <v>113</v>
      </c>
      <c r="K30" s="9" t="n">
        <v>855</v>
      </c>
      <c r="L30" s="9" t="n">
        <f aca="false">J30*K30</f>
        <v>96615</v>
      </c>
    </row>
    <row r="31" customFormat="false" ht="15" hidden="false" customHeight="false" outlineLevel="0" collapsed="false">
      <c r="A31" s="5" t="s">
        <v>70</v>
      </c>
      <c r="B31" s="6" t="s">
        <v>71</v>
      </c>
      <c r="C31" s="5" t="s">
        <v>51</v>
      </c>
      <c r="D31" s="7" t="n">
        <v>22</v>
      </c>
      <c r="E31" s="7" t="n">
        <v>22</v>
      </c>
      <c r="F31" s="7" t="n">
        <v>22</v>
      </c>
      <c r="G31" s="7" t="n">
        <v>22</v>
      </c>
      <c r="H31" s="7"/>
      <c r="I31" s="7"/>
      <c r="J31" s="8" t="n">
        <f aca="false">SUM(D31:I31)</f>
        <v>88</v>
      </c>
      <c r="K31" s="9" t="n">
        <v>950</v>
      </c>
      <c r="L31" s="9" t="n">
        <f aca="false">J31*K31</f>
        <v>83600</v>
      </c>
    </row>
    <row r="32" customFormat="false" ht="15" hidden="false" customHeight="false" outlineLevel="0" collapsed="false">
      <c r="A32" s="5" t="s">
        <v>72</v>
      </c>
      <c r="B32" s="6" t="s">
        <v>73</v>
      </c>
      <c r="C32" s="5" t="s">
        <v>51</v>
      </c>
      <c r="D32" s="7" t="n">
        <v>6</v>
      </c>
      <c r="E32" s="7" t="n">
        <v>6</v>
      </c>
      <c r="F32" s="7" t="n">
        <v>6</v>
      </c>
      <c r="G32" s="7" t="n">
        <v>6</v>
      </c>
      <c r="H32" s="7"/>
      <c r="I32" s="7"/>
      <c r="J32" s="8" t="n">
        <f aca="false">SUM(D32:I32)</f>
        <v>24</v>
      </c>
      <c r="K32" s="9" t="n">
        <v>950</v>
      </c>
      <c r="L32" s="9" t="n">
        <f aca="false">J32*K32</f>
        <v>22800</v>
      </c>
    </row>
    <row r="33" customFormat="false" ht="15" hidden="false" customHeight="false" outlineLevel="0" collapsed="false">
      <c r="A33" s="5" t="s">
        <v>74</v>
      </c>
      <c r="B33" s="6" t="s">
        <v>75</v>
      </c>
      <c r="C33" s="5" t="s">
        <v>51</v>
      </c>
      <c r="D33" s="7" t="n">
        <v>1</v>
      </c>
      <c r="E33" s="7"/>
      <c r="F33" s="7" t="n">
        <v>1</v>
      </c>
      <c r="G33" s="7"/>
      <c r="H33" s="7"/>
      <c r="I33" s="7"/>
      <c r="J33" s="8" t="n">
        <f aca="false">SUM(D33:I33)</f>
        <v>2</v>
      </c>
      <c r="K33" s="9" t="n">
        <v>855</v>
      </c>
      <c r="L33" s="9" t="n">
        <f aca="false">J33*K33</f>
        <v>1710</v>
      </c>
    </row>
    <row r="34" customFormat="false" ht="15" hidden="false" customHeight="false" outlineLevel="0" collapsed="false">
      <c r="A34" s="5" t="s">
        <v>76</v>
      </c>
      <c r="B34" s="6" t="s">
        <v>77</v>
      </c>
      <c r="C34" s="5" t="s">
        <v>51</v>
      </c>
      <c r="D34" s="7" t="n">
        <v>2</v>
      </c>
      <c r="E34" s="7" t="n">
        <v>3</v>
      </c>
      <c r="F34" s="7" t="n">
        <v>3</v>
      </c>
      <c r="G34" s="7" t="n">
        <v>2</v>
      </c>
      <c r="H34" s="7"/>
      <c r="I34" s="7"/>
      <c r="J34" s="8" t="n">
        <f aca="false">SUM(D34:I34)</f>
        <v>10</v>
      </c>
      <c r="K34" s="9" t="n">
        <v>855</v>
      </c>
      <c r="L34" s="9" t="n">
        <f aca="false">J34*K34</f>
        <v>8550</v>
      </c>
    </row>
    <row r="35" customFormat="false" ht="15" hidden="false" customHeight="false" outlineLevel="0" collapsed="false">
      <c r="A35" s="5" t="s">
        <v>78</v>
      </c>
      <c r="B35" s="6" t="s">
        <v>79</v>
      </c>
      <c r="C35" s="5" t="s">
        <v>51</v>
      </c>
      <c r="D35" s="7" t="n">
        <v>1</v>
      </c>
      <c r="E35" s="7" t="n">
        <v>1</v>
      </c>
      <c r="F35" s="7" t="n">
        <v>1</v>
      </c>
      <c r="G35" s="7" t="n">
        <v>1</v>
      </c>
      <c r="H35" s="7"/>
      <c r="I35" s="7"/>
      <c r="J35" s="8" t="n">
        <f aca="false">SUM(D35:I35)</f>
        <v>4</v>
      </c>
      <c r="K35" s="9" t="n">
        <v>950</v>
      </c>
      <c r="L35" s="9" t="n">
        <f aca="false">J35*K35</f>
        <v>3800</v>
      </c>
    </row>
    <row r="36" customFormat="false" ht="15" hidden="false" customHeight="false" outlineLevel="0" collapsed="false">
      <c r="A36" s="5" t="s">
        <v>80</v>
      </c>
      <c r="B36" s="6" t="s">
        <v>81</v>
      </c>
      <c r="C36" s="5" t="s">
        <v>51</v>
      </c>
      <c r="D36" s="7" t="n">
        <v>32</v>
      </c>
      <c r="E36" s="7" t="n">
        <v>32</v>
      </c>
      <c r="F36" s="7" t="n">
        <v>32</v>
      </c>
      <c r="G36" s="7" t="n">
        <v>32</v>
      </c>
      <c r="H36" s="7"/>
      <c r="I36" s="7"/>
      <c r="J36" s="8" t="n">
        <f aca="false">SUM(D36:I36)</f>
        <v>128</v>
      </c>
      <c r="K36" s="9" t="n">
        <v>570</v>
      </c>
      <c r="L36" s="9" t="n">
        <f aca="false">J36*K36</f>
        <v>72960</v>
      </c>
    </row>
    <row r="37" customFormat="false" ht="25.35" hidden="false" customHeight="false" outlineLevel="0" collapsed="false">
      <c r="A37" s="5" t="s">
        <v>82</v>
      </c>
      <c r="B37" s="6" t="s">
        <v>83</v>
      </c>
      <c r="C37" s="5" t="s">
        <v>84</v>
      </c>
      <c r="D37" s="7" t="n">
        <v>220</v>
      </c>
      <c r="E37" s="7" t="n">
        <v>220</v>
      </c>
      <c r="F37" s="7" t="n">
        <v>220</v>
      </c>
      <c r="G37" s="7" t="n">
        <v>222</v>
      </c>
      <c r="H37" s="7"/>
      <c r="I37" s="7"/>
      <c r="J37" s="8" t="n">
        <f aca="false">SUM(D37:I37)</f>
        <v>882</v>
      </c>
      <c r="K37" s="9" t="n">
        <v>665.89</v>
      </c>
      <c r="L37" s="9" t="n">
        <f aca="false">J37*K37</f>
        <v>587314.98</v>
      </c>
    </row>
    <row r="38" customFormat="false" ht="15" hidden="false" customHeight="false" outlineLevel="0" collapsed="false">
      <c r="A38" s="5" t="s">
        <v>85</v>
      </c>
      <c r="B38" s="6" t="s">
        <v>86</v>
      </c>
      <c r="C38" s="5" t="s">
        <v>87</v>
      </c>
      <c r="D38" s="7" t="n">
        <v>1</v>
      </c>
      <c r="E38" s="7" t="n">
        <v>1</v>
      </c>
      <c r="F38" s="7" t="n">
        <v>1</v>
      </c>
      <c r="G38" s="7" t="n">
        <v>1</v>
      </c>
      <c r="H38" s="7"/>
      <c r="I38" s="7"/>
      <c r="J38" s="8" t="n">
        <f aca="false">SUM(D38:I38)</f>
        <v>4</v>
      </c>
      <c r="K38" s="9" t="n">
        <v>95238.1</v>
      </c>
      <c r="L38" s="9" t="n">
        <f aca="false">J38*K38</f>
        <v>380952.4</v>
      </c>
    </row>
    <row r="39" customFormat="false" ht="15" hidden="false" customHeight="false" outlineLevel="0" collapsed="false">
      <c r="A39" s="3" t="s">
        <v>88</v>
      </c>
      <c r="B39" s="3" t="s">
        <v>89</v>
      </c>
      <c r="C39" s="3"/>
      <c r="D39" s="3"/>
      <c r="E39" s="3"/>
      <c r="F39" s="3"/>
      <c r="G39" s="3"/>
      <c r="H39" s="3"/>
      <c r="I39" s="3"/>
      <c r="J39" s="3"/>
      <c r="K39" s="3"/>
      <c r="L39" s="4" t="n">
        <f aca="false">SUM(L40:L80)</f>
        <v>9590752</v>
      </c>
    </row>
    <row r="40" customFormat="false" ht="15" hidden="false" customHeight="false" outlineLevel="0" collapsed="false">
      <c r="A40" s="5" t="s">
        <v>90</v>
      </c>
      <c r="B40" s="6" t="s">
        <v>91</v>
      </c>
      <c r="C40" s="5" t="s">
        <v>51</v>
      </c>
      <c r="D40" s="7" t="n">
        <v>85</v>
      </c>
      <c r="E40" s="7" t="n">
        <v>85</v>
      </c>
      <c r="F40" s="7" t="n">
        <v>85</v>
      </c>
      <c r="G40" s="7" t="n">
        <v>85</v>
      </c>
      <c r="H40" s="7"/>
      <c r="I40" s="7"/>
      <c r="J40" s="8" t="n">
        <f aca="false">SUM(D40:I40)</f>
        <v>340</v>
      </c>
      <c r="K40" s="9" t="n">
        <v>10000</v>
      </c>
      <c r="L40" s="9" t="n">
        <f aca="false">J40*K40</f>
        <v>3400000</v>
      </c>
    </row>
    <row r="41" customFormat="false" ht="15" hidden="false" customHeight="false" outlineLevel="0" collapsed="false">
      <c r="A41" s="5" t="s">
        <v>92</v>
      </c>
      <c r="B41" s="6" t="s">
        <v>93</v>
      </c>
      <c r="C41" s="5" t="s">
        <v>51</v>
      </c>
      <c r="D41" s="7" t="n">
        <v>18</v>
      </c>
      <c r="E41" s="7" t="n">
        <v>18</v>
      </c>
      <c r="F41" s="7" t="n">
        <v>18</v>
      </c>
      <c r="G41" s="7" t="n">
        <v>18</v>
      </c>
      <c r="H41" s="7"/>
      <c r="I41" s="7"/>
      <c r="J41" s="8" t="n">
        <f aca="false">SUM(D41:I41)</f>
        <v>72</v>
      </c>
      <c r="K41" s="9" t="n">
        <v>1425</v>
      </c>
      <c r="L41" s="9" t="n">
        <f aca="false">J41*K41</f>
        <v>102600</v>
      </c>
    </row>
    <row r="42" customFormat="false" ht="15" hidden="false" customHeight="false" outlineLevel="0" collapsed="false">
      <c r="A42" s="5" t="s">
        <v>94</v>
      </c>
      <c r="B42" s="6" t="s">
        <v>95</v>
      </c>
      <c r="C42" s="5" t="s">
        <v>51</v>
      </c>
      <c r="D42" s="7" t="n">
        <v>6</v>
      </c>
      <c r="E42" s="7" t="n">
        <v>6</v>
      </c>
      <c r="F42" s="7" t="n">
        <v>6</v>
      </c>
      <c r="G42" s="7" t="n">
        <v>6</v>
      </c>
      <c r="H42" s="7"/>
      <c r="I42" s="7"/>
      <c r="J42" s="8" t="n">
        <f aca="false">SUM(D42:I42)</f>
        <v>24</v>
      </c>
      <c r="K42" s="9" t="n">
        <v>1425</v>
      </c>
      <c r="L42" s="9" t="n">
        <f aca="false">J42*K42</f>
        <v>34200</v>
      </c>
    </row>
    <row r="43" customFormat="false" ht="15" hidden="false" customHeight="false" outlineLevel="0" collapsed="false">
      <c r="A43" s="5" t="s">
        <v>96</v>
      </c>
      <c r="B43" s="6" t="s">
        <v>97</v>
      </c>
      <c r="C43" s="5" t="s">
        <v>51</v>
      </c>
      <c r="D43" s="7" t="n">
        <v>1</v>
      </c>
      <c r="E43" s="7" t="n">
        <v>1</v>
      </c>
      <c r="F43" s="7" t="n">
        <v>1</v>
      </c>
      <c r="G43" s="7" t="n">
        <v>1</v>
      </c>
      <c r="H43" s="7"/>
      <c r="I43" s="7"/>
      <c r="J43" s="8" t="n">
        <f aca="false">SUM(D43:I43)</f>
        <v>4</v>
      </c>
      <c r="K43" s="9" t="n">
        <v>1710</v>
      </c>
      <c r="L43" s="9" t="n">
        <f aca="false">J43*K43</f>
        <v>6840</v>
      </c>
    </row>
    <row r="44" customFormat="false" ht="15" hidden="false" customHeight="false" outlineLevel="0" collapsed="false">
      <c r="A44" s="5" t="s">
        <v>98</v>
      </c>
      <c r="B44" s="6" t="s">
        <v>99</v>
      </c>
      <c r="C44" s="5" t="s">
        <v>51</v>
      </c>
      <c r="D44" s="7" t="n">
        <v>5</v>
      </c>
      <c r="E44" s="7" t="n">
        <v>5</v>
      </c>
      <c r="F44" s="7" t="n">
        <v>5</v>
      </c>
      <c r="G44" s="7" t="n">
        <v>5</v>
      </c>
      <c r="H44" s="7"/>
      <c r="I44" s="7"/>
      <c r="J44" s="8" t="n">
        <f aca="false">SUM(D44:I44)</f>
        <v>20</v>
      </c>
      <c r="K44" s="9" t="n">
        <v>1900</v>
      </c>
      <c r="L44" s="9" t="n">
        <f aca="false">J44*K44</f>
        <v>38000</v>
      </c>
    </row>
    <row r="45" customFormat="false" ht="25.35" hidden="false" customHeight="false" outlineLevel="0" collapsed="false">
      <c r="A45" s="5" t="s">
        <v>100</v>
      </c>
      <c r="B45" s="6" t="s">
        <v>101</v>
      </c>
      <c r="C45" s="5" t="s">
        <v>51</v>
      </c>
      <c r="D45" s="7" t="n">
        <v>10</v>
      </c>
      <c r="E45" s="7" t="n">
        <v>10</v>
      </c>
      <c r="F45" s="7" t="n">
        <v>10</v>
      </c>
      <c r="G45" s="7" t="n">
        <v>10</v>
      </c>
      <c r="H45" s="7"/>
      <c r="I45" s="7"/>
      <c r="J45" s="8" t="n">
        <f aca="false">SUM(D45:I45)</f>
        <v>40</v>
      </c>
      <c r="K45" s="9" t="n">
        <v>1710</v>
      </c>
      <c r="L45" s="9" t="n">
        <f aca="false">J45*K45</f>
        <v>68400</v>
      </c>
    </row>
    <row r="46" customFormat="false" ht="15" hidden="false" customHeight="false" outlineLevel="0" collapsed="false">
      <c r="A46" s="5" t="s">
        <v>102</v>
      </c>
      <c r="B46" s="6" t="s">
        <v>103</v>
      </c>
      <c r="C46" s="5" t="s">
        <v>51</v>
      </c>
      <c r="D46" s="7" t="n">
        <v>85</v>
      </c>
      <c r="E46" s="7" t="n">
        <v>85</v>
      </c>
      <c r="F46" s="7" t="n">
        <v>85</v>
      </c>
      <c r="G46" s="7" t="n">
        <v>85</v>
      </c>
      <c r="H46" s="7"/>
      <c r="I46" s="7"/>
      <c r="J46" s="8" t="n">
        <f aca="false">SUM(D46:I46)</f>
        <v>340</v>
      </c>
      <c r="K46" s="9" t="n">
        <v>6650</v>
      </c>
      <c r="L46" s="9" t="n">
        <f aca="false">J46*K46</f>
        <v>2261000</v>
      </c>
    </row>
    <row r="47" customFormat="false" ht="15" hidden="false" customHeight="false" outlineLevel="0" collapsed="false">
      <c r="A47" s="5" t="s">
        <v>104</v>
      </c>
      <c r="B47" s="6" t="s">
        <v>105</v>
      </c>
      <c r="C47" s="5" t="s">
        <v>51</v>
      </c>
      <c r="D47" s="7" t="n">
        <v>10</v>
      </c>
      <c r="E47" s="7" t="n">
        <v>10</v>
      </c>
      <c r="F47" s="7" t="n">
        <v>10</v>
      </c>
      <c r="G47" s="7" t="n">
        <v>10</v>
      </c>
      <c r="H47" s="7"/>
      <c r="I47" s="7"/>
      <c r="J47" s="8" t="n">
        <f aca="false">SUM(D47:I47)</f>
        <v>40</v>
      </c>
      <c r="K47" s="9" t="n">
        <v>500</v>
      </c>
      <c r="L47" s="9" t="n">
        <f aca="false">J47*K47</f>
        <v>20000</v>
      </c>
    </row>
    <row r="48" customFormat="false" ht="25.35" hidden="false" customHeight="false" outlineLevel="0" collapsed="false">
      <c r="A48" s="5" t="s">
        <v>106</v>
      </c>
      <c r="B48" s="6" t="s">
        <v>107</v>
      </c>
      <c r="C48" s="5" t="s">
        <v>108</v>
      </c>
      <c r="D48" s="7" t="n">
        <v>320</v>
      </c>
      <c r="E48" s="7" t="n">
        <v>320</v>
      </c>
      <c r="F48" s="7" t="n">
        <v>320</v>
      </c>
      <c r="G48" s="7" t="n">
        <v>320</v>
      </c>
      <c r="H48" s="7"/>
      <c r="I48" s="7"/>
      <c r="J48" s="8" t="n">
        <f aca="false">SUM(D48:I48)</f>
        <v>1280</v>
      </c>
      <c r="K48" s="9" t="n">
        <v>400</v>
      </c>
      <c r="L48" s="9" t="n">
        <f aca="false">J48*K48</f>
        <v>512000</v>
      </c>
    </row>
    <row r="49" customFormat="false" ht="25.35" hidden="false" customHeight="false" outlineLevel="0" collapsed="false">
      <c r="A49" s="5" t="s">
        <v>109</v>
      </c>
      <c r="B49" s="6" t="s">
        <v>110</v>
      </c>
      <c r="C49" s="5" t="s">
        <v>108</v>
      </c>
      <c r="D49" s="7" t="n">
        <v>200</v>
      </c>
      <c r="E49" s="7" t="n">
        <v>200</v>
      </c>
      <c r="F49" s="7" t="n">
        <v>200</v>
      </c>
      <c r="G49" s="7" t="n">
        <v>200</v>
      </c>
      <c r="H49" s="7"/>
      <c r="I49" s="7"/>
      <c r="J49" s="8" t="n">
        <f aca="false">SUM(D49:I49)</f>
        <v>800</v>
      </c>
      <c r="K49" s="9" t="n">
        <v>400</v>
      </c>
      <c r="L49" s="9" t="n">
        <f aca="false">J49*K49</f>
        <v>320000</v>
      </c>
    </row>
    <row r="50" customFormat="false" ht="25.35" hidden="false" customHeight="false" outlineLevel="0" collapsed="false">
      <c r="A50" s="5" t="s">
        <v>111</v>
      </c>
      <c r="B50" s="6" t="s">
        <v>112</v>
      </c>
      <c r="C50" s="5" t="s">
        <v>108</v>
      </c>
      <c r="D50" s="7" t="n">
        <v>50</v>
      </c>
      <c r="E50" s="7" t="n">
        <v>50</v>
      </c>
      <c r="F50" s="7" t="n">
        <v>50</v>
      </c>
      <c r="G50" s="7" t="n">
        <v>50</v>
      </c>
      <c r="H50" s="7"/>
      <c r="I50" s="7"/>
      <c r="J50" s="8" t="n">
        <f aca="false">SUM(D50:I50)</f>
        <v>200</v>
      </c>
      <c r="K50" s="9" t="n">
        <v>684</v>
      </c>
      <c r="L50" s="9" t="n">
        <f aca="false">J50*K50</f>
        <v>136800</v>
      </c>
    </row>
    <row r="51" customFormat="false" ht="25.35" hidden="false" customHeight="false" outlineLevel="0" collapsed="false">
      <c r="A51" s="5" t="s">
        <v>113</v>
      </c>
      <c r="B51" s="6" t="s">
        <v>114</v>
      </c>
      <c r="C51" s="5" t="s">
        <v>108</v>
      </c>
      <c r="D51" s="7" t="n">
        <v>60</v>
      </c>
      <c r="E51" s="7" t="n">
        <v>60</v>
      </c>
      <c r="F51" s="7" t="n">
        <v>60</v>
      </c>
      <c r="G51" s="7" t="n">
        <v>60</v>
      </c>
      <c r="H51" s="7"/>
      <c r="I51" s="7"/>
      <c r="J51" s="8" t="n">
        <f aca="false">SUM(D51:I51)</f>
        <v>240</v>
      </c>
      <c r="K51" s="9" t="n">
        <v>874</v>
      </c>
      <c r="L51" s="9" t="n">
        <f aca="false">J51*K51</f>
        <v>209760</v>
      </c>
    </row>
    <row r="52" customFormat="false" ht="25.35" hidden="false" customHeight="false" outlineLevel="0" collapsed="false">
      <c r="A52" s="5" t="s">
        <v>115</v>
      </c>
      <c r="B52" s="6" t="s">
        <v>116</v>
      </c>
      <c r="C52" s="5" t="s">
        <v>108</v>
      </c>
      <c r="D52" s="7" t="n">
        <v>160</v>
      </c>
      <c r="E52" s="7" t="n">
        <v>160</v>
      </c>
      <c r="F52" s="7" t="n">
        <v>160</v>
      </c>
      <c r="G52" s="7" t="n">
        <v>160</v>
      </c>
      <c r="H52" s="7"/>
      <c r="I52" s="7"/>
      <c r="J52" s="8" t="n">
        <f aca="false">SUM(D52:I52)</f>
        <v>640</v>
      </c>
      <c r="K52" s="9" t="n">
        <v>500</v>
      </c>
      <c r="L52" s="9" t="n">
        <f aca="false">J52*K52</f>
        <v>320000</v>
      </c>
    </row>
    <row r="53" customFormat="false" ht="15" hidden="false" customHeight="false" outlineLevel="0" collapsed="false">
      <c r="A53" s="5" t="s">
        <v>117</v>
      </c>
      <c r="B53" s="6" t="s">
        <v>118</v>
      </c>
      <c r="C53" s="5" t="s">
        <v>51</v>
      </c>
      <c r="D53" s="7" t="n">
        <v>34</v>
      </c>
      <c r="E53" s="7" t="n">
        <v>34</v>
      </c>
      <c r="F53" s="7" t="n">
        <v>34</v>
      </c>
      <c r="G53" s="7" t="n">
        <v>34</v>
      </c>
      <c r="H53" s="7"/>
      <c r="I53" s="7"/>
      <c r="J53" s="8" t="n">
        <f aca="false">SUM(D53:I53)</f>
        <v>136</v>
      </c>
      <c r="K53" s="9" t="n">
        <v>798</v>
      </c>
      <c r="L53" s="9" t="n">
        <f aca="false">J53*K53</f>
        <v>108528</v>
      </c>
    </row>
    <row r="54" customFormat="false" ht="15" hidden="false" customHeight="false" outlineLevel="0" collapsed="false">
      <c r="A54" s="5" t="s">
        <v>119</v>
      </c>
      <c r="B54" s="6" t="s">
        <v>120</v>
      </c>
      <c r="C54" s="5" t="s">
        <v>51</v>
      </c>
      <c r="D54" s="7" t="n">
        <v>72</v>
      </c>
      <c r="E54" s="7" t="n">
        <v>72</v>
      </c>
      <c r="F54" s="7" t="n">
        <v>72</v>
      </c>
      <c r="G54" s="7" t="n">
        <v>72</v>
      </c>
      <c r="H54" s="7"/>
      <c r="I54" s="7"/>
      <c r="J54" s="8" t="n">
        <f aca="false">SUM(D54:I54)</f>
        <v>288</v>
      </c>
      <c r="K54" s="9" t="n">
        <v>798</v>
      </c>
      <c r="L54" s="9" t="n">
        <f aca="false">J54*K54</f>
        <v>229824</v>
      </c>
    </row>
    <row r="55" customFormat="false" ht="15" hidden="false" customHeight="false" outlineLevel="0" collapsed="false">
      <c r="A55" s="5" t="s">
        <v>121</v>
      </c>
      <c r="B55" s="6" t="s">
        <v>122</v>
      </c>
      <c r="C55" s="5" t="s">
        <v>51</v>
      </c>
      <c r="D55" s="7" t="n">
        <v>54</v>
      </c>
      <c r="E55" s="7" t="n">
        <v>54</v>
      </c>
      <c r="F55" s="7" t="n">
        <v>54</v>
      </c>
      <c r="G55" s="7" t="n">
        <v>54</v>
      </c>
      <c r="H55" s="7"/>
      <c r="I55" s="7"/>
      <c r="J55" s="8" t="n">
        <f aca="false">SUM(D55:I55)</f>
        <v>216</v>
      </c>
      <c r="K55" s="9" t="n">
        <v>798</v>
      </c>
      <c r="L55" s="9" t="n">
        <f aca="false">J55*K55</f>
        <v>172368</v>
      </c>
    </row>
    <row r="56" customFormat="false" ht="15" hidden="false" customHeight="false" outlineLevel="0" collapsed="false">
      <c r="A56" s="5" t="s">
        <v>123</v>
      </c>
      <c r="B56" s="6" t="s">
        <v>124</v>
      </c>
      <c r="C56" s="5" t="s">
        <v>51</v>
      </c>
      <c r="D56" s="7" t="n">
        <v>68</v>
      </c>
      <c r="E56" s="7" t="n">
        <v>68</v>
      </c>
      <c r="F56" s="7" t="n">
        <v>68</v>
      </c>
      <c r="G56" s="7" t="n">
        <v>68</v>
      </c>
      <c r="H56" s="7"/>
      <c r="I56" s="7"/>
      <c r="J56" s="8" t="n">
        <f aca="false">SUM(D56:I56)</f>
        <v>272</v>
      </c>
      <c r="K56" s="9" t="n">
        <v>798</v>
      </c>
      <c r="L56" s="9" t="n">
        <f aca="false">J56*K56</f>
        <v>217056</v>
      </c>
    </row>
    <row r="57" customFormat="false" ht="15" hidden="false" customHeight="false" outlineLevel="0" collapsed="false">
      <c r="A57" s="5" t="s">
        <v>125</v>
      </c>
      <c r="B57" s="6" t="s">
        <v>126</v>
      </c>
      <c r="C57" s="5" t="s">
        <v>51</v>
      </c>
      <c r="D57" s="7" t="n">
        <v>24</v>
      </c>
      <c r="E57" s="7" t="n">
        <v>24</v>
      </c>
      <c r="F57" s="7" t="n">
        <v>24</v>
      </c>
      <c r="G57" s="7" t="n">
        <v>24</v>
      </c>
      <c r="H57" s="7"/>
      <c r="I57" s="7"/>
      <c r="J57" s="8" t="n">
        <f aca="false">SUM(D57:I57)</f>
        <v>96</v>
      </c>
      <c r="K57" s="9" t="n">
        <v>798</v>
      </c>
      <c r="L57" s="9" t="n">
        <f aca="false">J57*K57</f>
        <v>76608</v>
      </c>
    </row>
    <row r="58" customFormat="false" ht="15" hidden="false" customHeight="false" outlineLevel="0" collapsed="false">
      <c r="A58" s="5" t="s">
        <v>127</v>
      </c>
      <c r="B58" s="6" t="s">
        <v>128</v>
      </c>
      <c r="C58" s="5" t="s">
        <v>51</v>
      </c>
      <c r="D58" s="7" t="n">
        <v>2</v>
      </c>
      <c r="E58" s="7" t="n">
        <v>2</v>
      </c>
      <c r="F58" s="7" t="n">
        <v>2</v>
      </c>
      <c r="G58" s="7" t="n">
        <v>2</v>
      </c>
      <c r="H58" s="7"/>
      <c r="I58" s="7"/>
      <c r="J58" s="8" t="n">
        <f aca="false">SUM(D58:I58)</f>
        <v>8</v>
      </c>
      <c r="K58" s="9" t="n">
        <v>798</v>
      </c>
      <c r="L58" s="9" t="n">
        <f aca="false">J58*K58</f>
        <v>6384</v>
      </c>
    </row>
    <row r="59" customFormat="false" ht="15" hidden="false" customHeight="false" outlineLevel="0" collapsed="false">
      <c r="A59" s="5" t="s">
        <v>129</v>
      </c>
      <c r="B59" s="6" t="s">
        <v>130</v>
      </c>
      <c r="C59" s="5" t="s">
        <v>51</v>
      </c>
      <c r="D59" s="7" t="n">
        <v>6</v>
      </c>
      <c r="E59" s="7" t="n">
        <v>6</v>
      </c>
      <c r="F59" s="7" t="n">
        <v>6</v>
      </c>
      <c r="G59" s="7" t="n">
        <v>6</v>
      </c>
      <c r="H59" s="7"/>
      <c r="I59" s="7"/>
      <c r="J59" s="8" t="n">
        <f aca="false">SUM(D59:I59)</f>
        <v>24</v>
      </c>
      <c r="K59" s="9" t="n">
        <v>798</v>
      </c>
      <c r="L59" s="9" t="n">
        <f aca="false">J59*K59</f>
        <v>19152</v>
      </c>
    </row>
    <row r="60" customFormat="false" ht="15" hidden="false" customHeight="false" outlineLevel="0" collapsed="false">
      <c r="A60" s="5" t="s">
        <v>131</v>
      </c>
      <c r="B60" s="6" t="s">
        <v>132</v>
      </c>
      <c r="C60" s="5" t="s">
        <v>51</v>
      </c>
      <c r="D60" s="7" t="n">
        <v>12</v>
      </c>
      <c r="E60" s="7" t="n">
        <v>12</v>
      </c>
      <c r="F60" s="7" t="n">
        <v>12</v>
      </c>
      <c r="G60" s="7" t="n">
        <v>12</v>
      </c>
      <c r="H60" s="7"/>
      <c r="I60" s="7"/>
      <c r="J60" s="8" t="n">
        <f aca="false">SUM(D60:I60)</f>
        <v>48</v>
      </c>
      <c r="K60" s="9" t="n">
        <v>798</v>
      </c>
      <c r="L60" s="9" t="n">
        <f aca="false">J60*K60</f>
        <v>38304</v>
      </c>
    </row>
    <row r="61" customFormat="false" ht="15" hidden="false" customHeight="false" outlineLevel="0" collapsed="false">
      <c r="A61" s="5" t="s">
        <v>133</v>
      </c>
      <c r="B61" s="6" t="s">
        <v>134</v>
      </c>
      <c r="C61" s="5" t="s">
        <v>51</v>
      </c>
      <c r="D61" s="7" t="n">
        <v>4</v>
      </c>
      <c r="E61" s="7" t="n">
        <v>4</v>
      </c>
      <c r="F61" s="7" t="n">
        <v>4</v>
      </c>
      <c r="G61" s="7" t="n">
        <v>4</v>
      </c>
      <c r="H61" s="7"/>
      <c r="I61" s="7"/>
      <c r="J61" s="8" t="n">
        <f aca="false">SUM(D61:I61)</f>
        <v>16</v>
      </c>
      <c r="K61" s="9" t="n">
        <v>798</v>
      </c>
      <c r="L61" s="9" t="n">
        <f aca="false">J61*K61</f>
        <v>12768</v>
      </c>
    </row>
    <row r="62" customFormat="false" ht="15" hidden="false" customHeight="false" outlineLevel="0" collapsed="false">
      <c r="A62" s="5" t="s">
        <v>135</v>
      </c>
      <c r="B62" s="6" t="s">
        <v>136</v>
      </c>
      <c r="C62" s="5" t="s">
        <v>51</v>
      </c>
      <c r="D62" s="7" t="n">
        <v>8</v>
      </c>
      <c r="E62" s="7" t="n">
        <v>8</v>
      </c>
      <c r="F62" s="7" t="n">
        <v>8</v>
      </c>
      <c r="G62" s="7" t="n">
        <v>8</v>
      </c>
      <c r="H62" s="7"/>
      <c r="I62" s="7"/>
      <c r="J62" s="8" t="n">
        <f aca="false">SUM(D62:I62)</f>
        <v>32</v>
      </c>
      <c r="K62" s="9" t="n">
        <v>798</v>
      </c>
      <c r="L62" s="9" t="n">
        <f aca="false">J62*K62</f>
        <v>25536</v>
      </c>
    </row>
    <row r="63" customFormat="false" ht="15" hidden="false" customHeight="false" outlineLevel="0" collapsed="false">
      <c r="A63" s="5" t="s">
        <v>137</v>
      </c>
      <c r="B63" s="6" t="s">
        <v>138</v>
      </c>
      <c r="C63" s="5" t="s">
        <v>51</v>
      </c>
      <c r="D63" s="7" t="n">
        <v>10</v>
      </c>
      <c r="E63" s="7" t="n">
        <v>10</v>
      </c>
      <c r="F63" s="7" t="n">
        <v>10</v>
      </c>
      <c r="G63" s="7" t="n">
        <v>10</v>
      </c>
      <c r="H63" s="7"/>
      <c r="I63" s="7"/>
      <c r="J63" s="8" t="n">
        <f aca="false">SUM(D63:I63)</f>
        <v>40</v>
      </c>
      <c r="K63" s="9" t="n">
        <v>798</v>
      </c>
      <c r="L63" s="9" t="n">
        <f aca="false">J63*K63</f>
        <v>31920</v>
      </c>
    </row>
    <row r="64" customFormat="false" ht="15" hidden="false" customHeight="false" outlineLevel="0" collapsed="false">
      <c r="A64" s="5" t="s">
        <v>139</v>
      </c>
      <c r="B64" s="6" t="s">
        <v>140</v>
      </c>
      <c r="C64" s="5" t="s">
        <v>51</v>
      </c>
      <c r="D64" s="7" t="n">
        <v>6</v>
      </c>
      <c r="E64" s="7" t="n">
        <v>6</v>
      </c>
      <c r="F64" s="7" t="n">
        <v>6</v>
      </c>
      <c r="G64" s="7" t="n">
        <v>6</v>
      </c>
      <c r="H64" s="7"/>
      <c r="I64" s="7"/>
      <c r="J64" s="8" t="n">
        <f aca="false">SUM(D64:I64)</f>
        <v>24</v>
      </c>
      <c r="K64" s="9" t="n">
        <v>798</v>
      </c>
      <c r="L64" s="9" t="n">
        <f aca="false">J64*K64</f>
        <v>19152</v>
      </c>
    </row>
    <row r="65" customFormat="false" ht="15" hidden="false" customHeight="false" outlineLevel="0" collapsed="false">
      <c r="A65" s="5" t="s">
        <v>141</v>
      </c>
      <c r="B65" s="6" t="s">
        <v>142</v>
      </c>
      <c r="C65" s="5" t="s">
        <v>51</v>
      </c>
      <c r="D65" s="7" t="n">
        <v>6</v>
      </c>
      <c r="E65" s="7" t="n">
        <v>6</v>
      </c>
      <c r="F65" s="7" t="n">
        <v>6</v>
      </c>
      <c r="G65" s="7" t="n">
        <v>6</v>
      </c>
      <c r="H65" s="7"/>
      <c r="I65" s="7"/>
      <c r="J65" s="8" t="n">
        <f aca="false">SUM(D65:I65)</f>
        <v>24</v>
      </c>
      <c r="K65" s="9" t="n">
        <v>798</v>
      </c>
      <c r="L65" s="9" t="n">
        <f aca="false">J65*K65</f>
        <v>19152</v>
      </c>
    </row>
    <row r="66" customFormat="false" ht="15" hidden="false" customHeight="false" outlineLevel="0" collapsed="false">
      <c r="A66" s="5" t="s">
        <v>143</v>
      </c>
      <c r="B66" s="6" t="s">
        <v>144</v>
      </c>
      <c r="C66" s="5" t="s">
        <v>51</v>
      </c>
      <c r="D66" s="7" t="n">
        <v>4</v>
      </c>
      <c r="E66" s="7" t="n">
        <v>4</v>
      </c>
      <c r="F66" s="7" t="n">
        <v>4</v>
      </c>
      <c r="G66" s="7" t="n">
        <v>4</v>
      </c>
      <c r="H66" s="7"/>
      <c r="I66" s="7"/>
      <c r="J66" s="8" t="n">
        <f aca="false">SUM(D66:I66)</f>
        <v>16</v>
      </c>
      <c r="K66" s="9" t="n">
        <v>798</v>
      </c>
      <c r="L66" s="9" t="n">
        <f aca="false">J66*K66</f>
        <v>12768</v>
      </c>
    </row>
    <row r="67" customFormat="false" ht="15" hidden="false" customHeight="false" outlineLevel="0" collapsed="false">
      <c r="A67" s="5" t="s">
        <v>145</v>
      </c>
      <c r="B67" s="6" t="s">
        <v>146</v>
      </c>
      <c r="C67" s="5" t="s">
        <v>51</v>
      </c>
      <c r="D67" s="7" t="n">
        <v>12</v>
      </c>
      <c r="E67" s="7" t="n">
        <v>12</v>
      </c>
      <c r="F67" s="7" t="n">
        <v>12</v>
      </c>
      <c r="G67" s="7" t="n">
        <v>12</v>
      </c>
      <c r="H67" s="7"/>
      <c r="I67" s="7"/>
      <c r="J67" s="8" t="n">
        <f aca="false">SUM(D67:I67)</f>
        <v>48</v>
      </c>
      <c r="K67" s="9" t="n">
        <v>798</v>
      </c>
      <c r="L67" s="9" t="n">
        <f aca="false">J67*K67</f>
        <v>38304</v>
      </c>
    </row>
    <row r="68" customFormat="false" ht="15" hidden="false" customHeight="false" outlineLevel="0" collapsed="false">
      <c r="A68" s="5" t="s">
        <v>147</v>
      </c>
      <c r="B68" s="6" t="s">
        <v>148</v>
      </c>
      <c r="C68" s="5" t="s">
        <v>51</v>
      </c>
      <c r="D68" s="7" t="n">
        <v>6</v>
      </c>
      <c r="E68" s="7" t="n">
        <v>6</v>
      </c>
      <c r="F68" s="7" t="n">
        <v>6</v>
      </c>
      <c r="G68" s="7" t="n">
        <v>6</v>
      </c>
      <c r="H68" s="7"/>
      <c r="I68" s="7"/>
      <c r="J68" s="8" t="n">
        <f aca="false">SUM(D68:I68)</f>
        <v>24</v>
      </c>
      <c r="K68" s="9" t="n">
        <v>798</v>
      </c>
      <c r="L68" s="9" t="n">
        <f aca="false">J68*K68</f>
        <v>19152</v>
      </c>
    </row>
    <row r="69" customFormat="false" ht="15" hidden="false" customHeight="false" outlineLevel="0" collapsed="false">
      <c r="A69" s="5" t="s">
        <v>149</v>
      </c>
      <c r="B69" s="6" t="s">
        <v>150</v>
      </c>
      <c r="C69" s="5" t="s">
        <v>51</v>
      </c>
      <c r="D69" s="7" t="n">
        <v>10</v>
      </c>
      <c r="E69" s="7" t="n">
        <v>10</v>
      </c>
      <c r="F69" s="7" t="n">
        <v>10</v>
      </c>
      <c r="G69" s="7" t="n">
        <v>10</v>
      </c>
      <c r="H69" s="7"/>
      <c r="I69" s="7"/>
      <c r="J69" s="8" t="n">
        <f aca="false">SUM(D69:I69)</f>
        <v>40</v>
      </c>
      <c r="K69" s="9" t="n">
        <v>798</v>
      </c>
      <c r="L69" s="9" t="n">
        <f aca="false">J69*K69</f>
        <v>31920</v>
      </c>
    </row>
    <row r="70" customFormat="false" ht="15" hidden="false" customHeight="false" outlineLevel="0" collapsed="false">
      <c r="A70" s="5" t="s">
        <v>151</v>
      </c>
      <c r="B70" s="6" t="s">
        <v>152</v>
      </c>
      <c r="C70" s="5" t="s">
        <v>51</v>
      </c>
      <c r="D70" s="7" t="n">
        <v>6</v>
      </c>
      <c r="E70" s="7" t="n">
        <v>6</v>
      </c>
      <c r="F70" s="7" t="n">
        <v>6</v>
      </c>
      <c r="G70" s="7" t="n">
        <v>6</v>
      </c>
      <c r="H70" s="7"/>
      <c r="I70" s="7"/>
      <c r="J70" s="8" t="n">
        <f aca="false">SUM(D70:I70)</f>
        <v>24</v>
      </c>
      <c r="K70" s="9" t="n">
        <v>798</v>
      </c>
      <c r="L70" s="9" t="n">
        <f aca="false">J70*K70</f>
        <v>19152</v>
      </c>
    </row>
    <row r="71" customFormat="false" ht="15" hidden="false" customHeight="false" outlineLevel="0" collapsed="false">
      <c r="A71" s="5" t="s">
        <v>153</v>
      </c>
      <c r="B71" s="6" t="s">
        <v>154</v>
      </c>
      <c r="C71" s="5" t="s">
        <v>51</v>
      </c>
      <c r="D71" s="7" t="n">
        <v>6</v>
      </c>
      <c r="E71" s="7" t="n">
        <v>6</v>
      </c>
      <c r="F71" s="7" t="n">
        <v>6</v>
      </c>
      <c r="G71" s="7" t="n">
        <v>6</v>
      </c>
      <c r="H71" s="7"/>
      <c r="I71" s="7"/>
      <c r="J71" s="8" t="n">
        <f aca="false">SUM(D71:I71)</f>
        <v>24</v>
      </c>
      <c r="K71" s="9" t="n">
        <v>798</v>
      </c>
      <c r="L71" s="9" t="n">
        <f aca="false">J71*K71</f>
        <v>19152</v>
      </c>
    </row>
    <row r="72" customFormat="false" ht="15" hidden="false" customHeight="false" outlineLevel="0" collapsed="false">
      <c r="A72" s="5" t="s">
        <v>155</v>
      </c>
      <c r="B72" s="6" t="s">
        <v>156</v>
      </c>
      <c r="C72" s="5" t="s">
        <v>51</v>
      </c>
      <c r="D72" s="7" t="n">
        <v>4</v>
      </c>
      <c r="E72" s="7" t="n">
        <v>4</v>
      </c>
      <c r="F72" s="7" t="n">
        <v>4</v>
      </c>
      <c r="G72" s="7" t="n">
        <v>4</v>
      </c>
      <c r="H72" s="7"/>
      <c r="I72" s="7"/>
      <c r="J72" s="8" t="n">
        <f aca="false">SUM(D72:I72)</f>
        <v>16</v>
      </c>
      <c r="K72" s="9" t="n">
        <v>798</v>
      </c>
      <c r="L72" s="9" t="n">
        <f aca="false">J72*K72</f>
        <v>12768</v>
      </c>
    </row>
    <row r="73" customFormat="false" ht="15" hidden="false" customHeight="false" outlineLevel="0" collapsed="false">
      <c r="A73" s="5" t="s">
        <v>157</v>
      </c>
      <c r="B73" s="6" t="s">
        <v>158</v>
      </c>
      <c r="C73" s="5" t="s">
        <v>51</v>
      </c>
      <c r="D73" s="7" t="n">
        <v>2</v>
      </c>
      <c r="E73" s="7" t="n">
        <v>2</v>
      </c>
      <c r="F73" s="7" t="n">
        <v>2</v>
      </c>
      <c r="G73" s="7" t="n">
        <v>2</v>
      </c>
      <c r="H73" s="7"/>
      <c r="I73" s="7"/>
      <c r="J73" s="8" t="n">
        <f aca="false">SUM(D73:I73)</f>
        <v>8</v>
      </c>
      <c r="K73" s="9" t="n">
        <v>798</v>
      </c>
      <c r="L73" s="9" t="n">
        <f aca="false">J73*K73</f>
        <v>6384</v>
      </c>
    </row>
    <row r="74" customFormat="false" ht="15" hidden="false" customHeight="false" outlineLevel="0" collapsed="false">
      <c r="A74" s="5" t="s">
        <v>159</v>
      </c>
      <c r="B74" s="6" t="s">
        <v>81</v>
      </c>
      <c r="C74" s="5" t="s">
        <v>51</v>
      </c>
      <c r="D74" s="7" t="n">
        <v>32</v>
      </c>
      <c r="E74" s="7" t="n">
        <v>32</v>
      </c>
      <c r="F74" s="7" t="n">
        <v>32</v>
      </c>
      <c r="G74" s="7" t="n">
        <v>32</v>
      </c>
      <c r="H74" s="7"/>
      <c r="I74" s="7"/>
      <c r="J74" s="8" t="n">
        <f aca="false">SUM(D74:I74)</f>
        <v>128</v>
      </c>
      <c r="K74" s="9" t="n">
        <v>285</v>
      </c>
      <c r="L74" s="9" t="n">
        <f aca="false">J74*K74</f>
        <v>36480</v>
      </c>
    </row>
    <row r="75" customFormat="false" ht="25.35" hidden="false" customHeight="false" outlineLevel="0" collapsed="false">
      <c r="A75" s="5" t="s">
        <v>160</v>
      </c>
      <c r="B75" s="6" t="s">
        <v>161</v>
      </c>
      <c r="C75" s="5" t="s">
        <v>108</v>
      </c>
      <c r="D75" s="7" t="n">
        <v>320</v>
      </c>
      <c r="E75" s="7" t="n">
        <v>320</v>
      </c>
      <c r="F75" s="7" t="n">
        <v>320</v>
      </c>
      <c r="G75" s="7" t="n">
        <v>320</v>
      </c>
      <c r="H75" s="7"/>
      <c r="I75" s="7"/>
      <c r="J75" s="8" t="n">
        <f aca="false">SUM(D75:I75)</f>
        <v>1280</v>
      </c>
      <c r="K75" s="9" t="n">
        <v>150</v>
      </c>
      <c r="L75" s="9" t="n">
        <f aca="false">J75*K75</f>
        <v>192000</v>
      </c>
    </row>
    <row r="76" customFormat="false" ht="25.35" hidden="false" customHeight="false" outlineLevel="0" collapsed="false">
      <c r="A76" s="5" t="s">
        <v>162</v>
      </c>
      <c r="B76" s="6" t="s">
        <v>163</v>
      </c>
      <c r="C76" s="5" t="s">
        <v>108</v>
      </c>
      <c r="D76" s="7" t="n">
        <v>200</v>
      </c>
      <c r="E76" s="7" t="n">
        <v>200</v>
      </c>
      <c r="F76" s="7" t="n">
        <v>200</v>
      </c>
      <c r="G76" s="7" t="n">
        <v>200</v>
      </c>
      <c r="H76" s="7"/>
      <c r="I76" s="7"/>
      <c r="J76" s="8" t="n">
        <f aca="false">SUM(D76:I76)</f>
        <v>800</v>
      </c>
      <c r="K76" s="9" t="n">
        <v>150</v>
      </c>
      <c r="L76" s="9" t="n">
        <f aca="false">J76*K76</f>
        <v>120000</v>
      </c>
    </row>
    <row r="77" customFormat="false" ht="25.35" hidden="false" customHeight="false" outlineLevel="0" collapsed="false">
      <c r="A77" s="5" t="s">
        <v>164</v>
      </c>
      <c r="B77" s="6" t="s">
        <v>165</v>
      </c>
      <c r="C77" s="5" t="s">
        <v>108</v>
      </c>
      <c r="D77" s="7" t="n">
        <v>50</v>
      </c>
      <c r="E77" s="7" t="n">
        <v>50</v>
      </c>
      <c r="F77" s="7" t="n">
        <v>50</v>
      </c>
      <c r="G77" s="7" t="n">
        <v>50</v>
      </c>
      <c r="H77" s="7"/>
      <c r="I77" s="7"/>
      <c r="J77" s="8" t="n">
        <f aca="false">SUM(D77:I77)</f>
        <v>200</v>
      </c>
      <c r="K77" s="9" t="n">
        <v>228</v>
      </c>
      <c r="L77" s="9" t="n">
        <f aca="false">J77*K77</f>
        <v>45600</v>
      </c>
    </row>
    <row r="78" customFormat="false" ht="25.35" hidden="false" customHeight="false" outlineLevel="0" collapsed="false">
      <c r="A78" s="5" t="s">
        <v>166</v>
      </c>
      <c r="B78" s="6" t="s">
        <v>167</v>
      </c>
      <c r="C78" s="5"/>
      <c r="D78" s="7" t="n">
        <v>60</v>
      </c>
      <c r="E78" s="7" t="n">
        <v>60</v>
      </c>
      <c r="F78" s="7" t="n">
        <v>60</v>
      </c>
      <c r="G78" s="7" t="n">
        <v>60</v>
      </c>
      <c r="H78" s="7"/>
      <c r="I78" s="7"/>
      <c r="J78" s="8" t="n">
        <f aca="false">SUM(D78:I78)</f>
        <v>240</v>
      </c>
      <c r="K78" s="9" t="n">
        <v>228</v>
      </c>
      <c r="L78" s="9" t="n">
        <f aca="false">J78*K78</f>
        <v>54720</v>
      </c>
    </row>
    <row r="79" customFormat="false" ht="25.35" hidden="false" customHeight="false" outlineLevel="0" collapsed="false">
      <c r="A79" s="5" t="s">
        <v>168</v>
      </c>
      <c r="B79" s="6" t="s">
        <v>169</v>
      </c>
      <c r="C79" s="5" t="s">
        <v>108</v>
      </c>
      <c r="D79" s="7" t="n">
        <v>160</v>
      </c>
      <c r="E79" s="7" t="n">
        <v>160</v>
      </c>
      <c r="F79" s="7" t="n">
        <v>160</v>
      </c>
      <c r="G79" s="7" t="n">
        <v>160</v>
      </c>
      <c r="H79" s="7"/>
      <c r="I79" s="7"/>
      <c r="J79" s="8" t="n">
        <f aca="false">SUM(D79:I79)</f>
        <v>640</v>
      </c>
      <c r="K79" s="9" t="n">
        <v>150</v>
      </c>
      <c r="L79" s="9" t="n">
        <f aca="false">J79*K79</f>
        <v>96000</v>
      </c>
    </row>
    <row r="80" customFormat="false" ht="15" hidden="false" customHeight="false" outlineLevel="0" collapsed="false">
      <c r="A80" s="5" t="s">
        <v>170</v>
      </c>
      <c r="B80" s="6" t="s">
        <v>86</v>
      </c>
      <c r="C80" s="5" t="s">
        <v>171</v>
      </c>
      <c r="D80" s="7" t="n">
        <v>1</v>
      </c>
      <c r="E80" s="7" t="n">
        <v>1</v>
      </c>
      <c r="F80" s="7" t="n">
        <v>1</v>
      </c>
      <c r="G80" s="7" t="n">
        <v>1</v>
      </c>
      <c r="H80" s="7"/>
      <c r="I80" s="7"/>
      <c r="J80" s="8" t="n">
        <f aca="false">SUM(D80:I80)</f>
        <v>4</v>
      </c>
      <c r="K80" s="9" t="n">
        <v>120000</v>
      </c>
      <c r="L80" s="9" t="n">
        <f aca="false">J80*K80</f>
        <v>480000</v>
      </c>
    </row>
    <row r="81" customFormat="false" ht="15" hidden="false" customHeight="false" outlineLevel="0" collapsed="false">
      <c r="A81" s="3" t="s">
        <v>172</v>
      </c>
      <c r="B81" s="3" t="s">
        <v>173</v>
      </c>
      <c r="C81" s="3"/>
      <c r="D81" s="3"/>
      <c r="E81" s="3"/>
      <c r="F81" s="3"/>
      <c r="G81" s="3"/>
      <c r="H81" s="3"/>
      <c r="I81" s="3"/>
      <c r="J81" s="3"/>
      <c r="K81" s="3"/>
      <c r="L81" s="4" t="n">
        <f aca="false">SUM(L82:L111)</f>
        <v>1464684</v>
      </c>
    </row>
    <row r="82" customFormat="false" ht="15" hidden="false" customHeight="false" outlineLevel="0" collapsed="false">
      <c r="A82" s="5" t="s">
        <v>174</v>
      </c>
      <c r="B82" s="6" t="s">
        <v>175</v>
      </c>
      <c r="C82" s="5" t="s">
        <v>51</v>
      </c>
      <c r="D82" s="7"/>
      <c r="E82" s="7"/>
      <c r="F82" s="7" t="n">
        <v>1</v>
      </c>
      <c r="G82" s="7" t="n">
        <v>1</v>
      </c>
      <c r="H82" s="7"/>
      <c r="I82" s="7"/>
      <c r="J82" s="8" t="n">
        <f aca="false">SUM(D82:I82)</f>
        <v>2</v>
      </c>
      <c r="K82" s="9" t="n">
        <v>630</v>
      </c>
      <c r="L82" s="9" t="n">
        <f aca="false">J82*K82</f>
        <v>1260</v>
      </c>
    </row>
    <row r="83" customFormat="false" ht="15" hidden="false" customHeight="false" outlineLevel="0" collapsed="false">
      <c r="A83" s="5" t="s">
        <v>176</v>
      </c>
      <c r="B83" s="6" t="s">
        <v>177</v>
      </c>
      <c r="C83" s="5" t="s">
        <v>51</v>
      </c>
      <c r="D83" s="7"/>
      <c r="E83" s="7" t="n">
        <v>2</v>
      </c>
      <c r="F83" s="7" t="n">
        <v>2</v>
      </c>
      <c r="G83" s="7" t="n">
        <v>2</v>
      </c>
      <c r="H83" s="7"/>
      <c r="I83" s="7"/>
      <c r="J83" s="8" t="n">
        <f aca="false">SUM(D83:I83)</f>
        <v>6</v>
      </c>
      <c r="K83" s="9" t="n">
        <v>630</v>
      </c>
      <c r="L83" s="9" t="n">
        <f aca="false">J83*K83</f>
        <v>3780</v>
      </c>
    </row>
    <row r="84" customFormat="false" ht="15" hidden="false" customHeight="false" outlineLevel="0" collapsed="false">
      <c r="A84" s="5" t="s">
        <v>178</v>
      </c>
      <c r="B84" s="6" t="s">
        <v>179</v>
      </c>
      <c r="C84" s="5" t="s">
        <v>51</v>
      </c>
      <c r="D84" s="7" t="n">
        <v>10</v>
      </c>
      <c r="E84" s="7" t="n">
        <v>12</v>
      </c>
      <c r="F84" s="7" t="n">
        <v>10</v>
      </c>
      <c r="G84" s="7" t="n">
        <v>15</v>
      </c>
      <c r="H84" s="7"/>
      <c r="I84" s="7"/>
      <c r="J84" s="8" t="n">
        <f aca="false">SUM(D84:I84)</f>
        <v>47</v>
      </c>
      <c r="K84" s="9" t="n">
        <v>630</v>
      </c>
      <c r="L84" s="9" t="n">
        <f aca="false">J84*K84</f>
        <v>29610</v>
      </c>
    </row>
    <row r="85" customFormat="false" ht="15" hidden="false" customHeight="false" outlineLevel="0" collapsed="false">
      <c r="A85" s="5" t="s">
        <v>180</v>
      </c>
      <c r="B85" s="6" t="s">
        <v>181</v>
      </c>
      <c r="C85" s="5" t="s">
        <v>51</v>
      </c>
      <c r="D85" s="7" t="n">
        <v>8</v>
      </c>
      <c r="E85" s="7" t="n">
        <v>7</v>
      </c>
      <c r="F85" s="7" t="n">
        <v>6</v>
      </c>
      <c r="G85" s="7" t="n">
        <v>10</v>
      </c>
      <c r="H85" s="7"/>
      <c r="I85" s="7"/>
      <c r="J85" s="8" t="n">
        <f aca="false">SUM(D85:I85)</f>
        <v>31</v>
      </c>
      <c r="K85" s="9" t="n">
        <v>630</v>
      </c>
      <c r="L85" s="9" t="n">
        <f aca="false">J85*K85</f>
        <v>19530</v>
      </c>
    </row>
    <row r="86" customFormat="false" ht="15" hidden="false" customHeight="false" outlineLevel="0" collapsed="false">
      <c r="A86" s="5" t="s">
        <v>182</v>
      </c>
      <c r="B86" s="6" t="s">
        <v>183</v>
      </c>
      <c r="C86" s="5" t="s">
        <v>51</v>
      </c>
      <c r="D86" s="7" t="n">
        <v>6</v>
      </c>
      <c r="E86" s="7" t="n">
        <v>9</v>
      </c>
      <c r="F86" s="7" t="n">
        <v>7</v>
      </c>
      <c r="G86" s="7" t="n">
        <v>7</v>
      </c>
      <c r="H86" s="7"/>
      <c r="I86" s="7"/>
      <c r="J86" s="8" t="n">
        <f aca="false">SUM(D86:I86)</f>
        <v>29</v>
      </c>
      <c r="K86" s="9" t="n">
        <v>630</v>
      </c>
      <c r="L86" s="9" t="n">
        <f aca="false">J86*K86</f>
        <v>18270</v>
      </c>
    </row>
    <row r="87" customFormat="false" ht="15" hidden="false" customHeight="false" outlineLevel="0" collapsed="false">
      <c r="A87" s="5" t="s">
        <v>184</v>
      </c>
      <c r="B87" s="6" t="s">
        <v>185</v>
      </c>
      <c r="C87" s="5" t="s">
        <v>51</v>
      </c>
      <c r="D87" s="7" t="n">
        <v>4</v>
      </c>
      <c r="E87" s="7" t="n">
        <v>3</v>
      </c>
      <c r="F87" s="7" t="n">
        <v>3</v>
      </c>
      <c r="G87" s="7" t="n">
        <v>4</v>
      </c>
      <c r="H87" s="7"/>
      <c r="I87" s="7"/>
      <c r="J87" s="8" t="n">
        <f aca="false">SUM(D87:I87)</f>
        <v>14</v>
      </c>
      <c r="K87" s="9" t="n">
        <v>630</v>
      </c>
      <c r="L87" s="9" t="n">
        <f aca="false">J87*K87</f>
        <v>8820</v>
      </c>
    </row>
    <row r="88" customFormat="false" ht="15" hidden="false" customHeight="false" outlineLevel="0" collapsed="false">
      <c r="A88" s="5" t="s">
        <v>186</v>
      </c>
      <c r="B88" s="6" t="s">
        <v>187</v>
      </c>
      <c r="C88" s="5" t="s">
        <v>51</v>
      </c>
      <c r="D88" s="7" t="n">
        <v>300</v>
      </c>
      <c r="E88" s="7" t="n">
        <v>300</v>
      </c>
      <c r="F88" s="7" t="n">
        <v>300</v>
      </c>
      <c r="G88" s="7" t="n">
        <v>295</v>
      </c>
      <c r="H88" s="7"/>
      <c r="I88" s="7"/>
      <c r="J88" s="8" t="n">
        <f aca="false">SUM(D88:I88)</f>
        <v>1195</v>
      </c>
      <c r="K88" s="9" t="n">
        <v>600</v>
      </c>
      <c r="L88" s="9" t="n">
        <f aca="false">J88*K88</f>
        <v>717000</v>
      </c>
    </row>
    <row r="89" customFormat="false" ht="15" hidden="false" customHeight="false" outlineLevel="0" collapsed="false">
      <c r="A89" s="5" t="s">
        <v>188</v>
      </c>
      <c r="B89" s="6" t="s">
        <v>189</v>
      </c>
      <c r="C89" s="5" t="s">
        <v>51</v>
      </c>
      <c r="D89" s="7" t="n">
        <v>5</v>
      </c>
      <c r="E89" s="7" t="n">
        <v>7</v>
      </c>
      <c r="F89" s="7" t="n">
        <v>7</v>
      </c>
      <c r="G89" s="7" t="n">
        <v>8</v>
      </c>
      <c r="H89" s="7"/>
      <c r="I89" s="7"/>
      <c r="J89" s="8" t="n">
        <f aca="false">SUM(D89:I89)</f>
        <v>27</v>
      </c>
      <c r="K89" s="9" t="n">
        <v>630</v>
      </c>
      <c r="L89" s="9" t="n">
        <f aca="false">J89*K89</f>
        <v>17010</v>
      </c>
    </row>
    <row r="90" customFormat="false" ht="15" hidden="false" customHeight="false" outlineLevel="0" collapsed="false">
      <c r="A90" s="5" t="s">
        <v>190</v>
      </c>
      <c r="B90" s="6" t="s">
        <v>191</v>
      </c>
      <c r="C90" s="5" t="s">
        <v>192</v>
      </c>
      <c r="D90" s="7"/>
      <c r="E90" s="7" t="n">
        <v>1</v>
      </c>
      <c r="F90" s="7" t="n">
        <v>1</v>
      </c>
      <c r="G90" s="7"/>
      <c r="H90" s="7"/>
      <c r="I90" s="7"/>
      <c r="J90" s="8" t="n">
        <f aca="false">SUM(D90:I90)</f>
        <v>2</v>
      </c>
      <c r="K90" s="9" t="n">
        <v>3100</v>
      </c>
      <c r="L90" s="9" t="n">
        <f aca="false">J90*K90</f>
        <v>6200</v>
      </c>
    </row>
    <row r="91" customFormat="false" ht="15" hidden="false" customHeight="false" outlineLevel="0" collapsed="false">
      <c r="A91" s="5" t="s">
        <v>193</v>
      </c>
      <c r="B91" s="6" t="s">
        <v>194</v>
      </c>
      <c r="C91" s="5" t="s">
        <v>17</v>
      </c>
      <c r="D91" s="7" t="n">
        <v>16</v>
      </c>
      <c r="E91" s="7" t="n">
        <v>16</v>
      </c>
      <c r="F91" s="7" t="n">
        <v>16</v>
      </c>
      <c r="G91" s="7" t="n">
        <v>16</v>
      </c>
      <c r="H91" s="7"/>
      <c r="I91" s="7"/>
      <c r="J91" s="8" t="n">
        <f aca="false">SUM(D91:I91)</f>
        <v>64</v>
      </c>
      <c r="K91" s="9" t="n">
        <v>1120</v>
      </c>
      <c r="L91" s="9" t="n">
        <f aca="false">J91*K91</f>
        <v>71680</v>
      </c>
    </row>
    <row r="92" customFormat="false" ht="15" hidden="false" customHeight="false" outlineLevel="0" collapsed="false">
      <c r="A92" s="5" t="s">
        <v>195</v>
      </c>
      <c r="B92" s="6" t="s">
        <v>196</v>
      </c>
      <c r="C92" s="5" t="s">
        <v>197</v>
      </c>
      <c r="D92" s="7" t="n">
        <v>8</v>
      </c>
      <c r="E92" s="7" t="n">
        <v>8</v>
      </c>
      <c r="F92" s="7" t="n">
        <v>8</v>
      </c>
      <c r="G92" s="7" t="n">
        <v>10.4</v>
      </c>
      <c r="H92" s="7"/>
      <c r="I92" s="7"/>
      <c r="J92" s="8" t="n">
        <f aca="false">SUM(D92:I92)</f>
        <v>34.4</v>
      </c>
      <c r="K92" s="9" t="n">
        <v>840</v>
      </c>
      <c r="L92" s="9" t="n">
        <f aca="false">J92*K92</f>
        <v>28896</v>
      </c>
    </row>
    <row r="93" customFormat="false" ht="15" hidden="false" customHeight="false" outlineLevel="0" collapsed="false">
      <c r="A93" s="5" t="s">
        <v>198</v>
      </c>
      <c r="B93" s="6" t="s">
        <v>199</v>
      </c>
      <c r="C93" s="5" t="s">
        <v>197</v>
      </c>
      <c r="D93" s="7" t="n">
        <v>8</v>
      </c>
      <c r="E93" s="7" t="n">
        <v>8</v>
      </c>
      <c r="F93" s="7" t="n">
        <v>8</v>
      </c>
      <c r="G93" s="7" t="n">
        <v>8.8</v>
      </c>
      <c r="H93" s="7"/>
      <c r="I93" s="7"/>
      <c r="J93" s="8" t="n">
        <f aca="false">SUM(D93:I93)</f>
        <v>32.8</v>
      </c>
      <c r="K93" s="9" t="n">
        <v>700</v>
      </c>
      <c r="L93" s="9" t="n">
        <f aca="false">J93*K93</f>
        <v>22960</v>
      </c>
    </row>
    <row r="94" customFormat="false" ht="15" hidden="false" customHeight="false" outlineLevel="0" collapsed="false">
      <c r="A94" s="5" t="s">
        <v>200</v>
      </c>
      <c r="B94" s="6" t="s">
        <v>201</v>
      </c>
      <c r="C94" s="5" t="s">
        <v>192</v>
      </c>
      <c r="D94" s="7" t="n">
        <v>2</v>
      </c>
      <c r="E94" s="7" t="n">
        <v>2</v>
      </c>
      <c r="F94" s="7" t="n">
        <v>2</v>
      </c>
      <c r="G94" s="7" t="n">
        <v>2</v>
      </c>
      <c r="H94" s="7"/>
      <c r="I94" s="7"/>
      <c r="J94" s="8" t="n">
        <f aca="false">SUM(D94:I94)</f>
        <v>8</v>
      </c>
      <c r="K94" s="9" t="n">
        <v>6240</v>
      </c>
      <c r="L94" s="9" t="n">
        <f aca="false">J94*K94</f>
        <v>49920</v>
      </c>
    </row>
    <row r="95" customFormat="false" ht="15" hidden="false" customHeight="false" outlineLevel="0" collapsed="false">
      <c r="A95" s="5" t="s">
        <v>202</v>
      </c>
      <c r="B95" s="6" t="s">
        <v>203</v>
      </c>
      <c r="C95" s="5" t="s">
        <v>197</v>
      </c>
      <c r="D95" s="7" t="n">
        <v>18</v>
      </c>
      <c r="E95" s="7" t="n">
        <v>18</v>
      </c>
      <c r="F95" s="7" t="n">
        <v>16</v>
      </c>
      <c r="G95" s="7" t="n">
        <v>9.6</v>
      </c>
      <c r="H95" s="7"/>
      <c r="I95" s="7"/>
      <c r="J95" s="8" t="n">
        <f aca="false">SUM(D95:I95)</f>
        <v>61.6</v>
      </c>
      <c r="K95" s="9" t="n">
        <v>920</v>
      </c>
      <c r="L95" s="9" t="n">
        <f aca="false">J95*K95</f>
        <v>56672</v>
      </c>
    </row>
    <row r="96" customFormat="false" ht="25.35" hidden="false" customHeight="false" outlineLevel="0" collapsed="false">
      <c r="A96" s="5" t="s">
        <v>204</v>
      </c>
      <c r="B96" s="6" t="s">
        <v>205</v>
      </c>
      <c r="C96" s="5" t="s">
        <v>192</v>
      </c>
      <c r="D96" s="7" t="n">
        <v>2</v>
      </c>
      <c r="E96" s="7" t="n">
        <v>1</v>
      </c>
      <c r="F96" s="7" t="n">
        <v>2</v>
      </c>
      <c r="G96" s="7" t="n">
        <v>1</v>
      </c>
      <c r="H96" s="7"/>
      <c r="I96" s="7"/>
      <c r="J96" s="8" t="n">
        <f aca="false">SUM(D96:I96)</f>
        <v>6</v>
      </c>
      <c r="K96" s="9" t="n">
        <v>1800</v>
      </c>
      <c r="L96" s="9" t="n">
        <f aca="false">J96*K96</f>
        <v>10800</v>
      </c>
    </row>
    <row r="97" customFormat="false" ht="15" hidden="false" customHeight="false" outlineLevel="0" collapsed="false">
      <c r="A97" s="5" t="s">
        <v>206</v>
      </c>
      <c r="B97" s="6" t="s">
        <v>207</v>
      </c>
      <c r="C97" s="5" t="s">
        <v>192</v>
      </c>
      <c r="D97" s="7"/>
      <c r="E97" s="7"/>
      <c r="F97" s="7" t="n">
        <v>1</v>
      </c>
      <c r="G97" s="7" t="n">
        <v>1</v>
      </c>
      <c r="H97" s="7"/>
      <c r="I97" s="7"/>
      <c r="J97" s="8" t="n">
        <f aca="false">SUM(D97:I97)</f>
        <v>2</v>
      </c>
      <c r="K97" s="9" t="n">
        <v>7000</v>
      </c>
      <c r="L97" s="9" t="n">
        <f aca="false">J97*K97</f>
        <v>14000</v>
      </c>
    </row>
    <row r="98" customFormat="false" ht="15" hidden="false" customHeight="false" outlineLevel="0" collapsed="false">
      <c r="A98" s="5" t="s">
        <v>208</v>
      </c>
      <c r="B98" s="6" t="s">
        <v>209</v>
      </c>
      <c r="C98" s="5" t="s">
        <v>197</v>
      </c>
      <c r="D98" s="7" t="n">
        <v>30</v>
      </c>
      <c r="E98" s="7" t="n">
        <v>30</v>
      </c>
      <c r="F98" s="7" t="n">
        <v>30</v>
      </c>
      <c r="G98" s="7" t="n">
        <v>30</v>
      </c>
      <c r="H98" s="7"/>
      <c r="I98" s="7"/>
      <c r="J98" s="8" t="n">
        <f aca="false">SUM(D98:I98)</f>
        <v>120</v>
      </c>
      <c r="K98" s="9" t="n">
        <v>700</v>
      </c>
      <c r="L98" s="9" t="n">
        <f aca="false">J98*K98</f>
        <v>84000</v>
      </c>
    </row>
    <row r="99" customFormat="false" ht="15" hidden="false" customHeight="false" outlineLevel="0" collapsed="false">
      <c r="A99" s="5" t="s">
        <v>210</v>
      </c>
      <c r="B99" s="6" t="s">
        <v>211</v>
      </c>
      <c r="C99" s="5" t="s">
        <v>17</v>
      </c>
      <c r="D99" s="7" t="n">
        <v>16</v>
      </c>
      <c r="E99" s="7" t="n">
        <v>16</v>
      </c>
      <c r="F99" s="7" t="n">
        <v>16</v>
      </c>
      <c r="G99" s="7" t="n">
        <v>16</v>
      </c>
      <c r="H99" s="7"/>
      <c r="I99" s="7"/>
      <c r="J99" s="8" t="n">
        <f aca="false">SUM(D99:I99)</f>
        <v>64</v>
      </c>
      <c r="K99" s="9" t="n">
        <v>420</v>
      </c>
      <c r="L99" s="9" t="n">
        <f aca="false">J99*K99</f>
        <v>26880</v>
      </c>
    </row>
    <row r="100" customFormat="false" ht="15" hidden="false" customHeight="false" outlineLevel="0" collapsed="false">
      <c r="A100" s="5" t="s">
        <v>212</v>
      </c>
      <c r="B100" s="6" t="s">
        <v>213</v>
      </c>
      <c r="C100" s="5" t="s">
        <v>17</v>
      </c>
      <c r="D100" s="7" t="n">
        <v>2</v>
      </c>
      <c r="E100" s="7" t="n">
        <v>2</v>
      </c>
      <c r="F100" s="7" t="n">
        <v>2</v>
      </c>
      <c r="G100" s="7" t="n">
        <v>2</v>
      </c>
      <c r="H100" s="7"/>
      <c r="I100" s="7"/>
      <c r="J100" s="8" t="n">
        <f aca="false">SUM(D100:I100)</f>
        <v>8</v>
      </c>
      <c r="K100" s="9" t="n">
        <v>2800</v>
      </c>
      <c r="L100" s="9" t="n">
        <f aca="false">J100*K100</f>
        <v>22400</v>
      </c>
    </row>
    <row r="101" customFormat="false" ht="15" hidden="false" customHeight="false" outlineLevel="0" collapsed="false">
      <c r="A101" s="5" t="s">
        <v>214</v>
      </c>
      <c r="B101" s="6" t="s">
        <v>215</v>
      </c>
      <c r="C101" s="5" t="s">
        <v>51</v>
      </c>
      <c r="D101" s="7" t="n">
        <v>10</v>
      </c>
      <c r="E101" s="7" t="n">
        <v>10</v>
      </c>
      <c r="F101" s="7" t="n">
        <v>10</v>
      </c>
      <c r="G101" s="7" t="n">
        <v>10</v>
      </c>
      <c r="H101" s="7"/>
      <c r="I101" s="7"/>
      <c r="J101" s="8" t="n">
        <f aca="false">SUM(D101:I101)</f>
        <v>40</v>
      </c>
      <c r="K101" s="9" t="n">
        <v>588</v>
      </c>
      <c r="L101" s="9" t="n">
        <f aca="false">J101*K101</f>
        <v>23520</v>
      </c>
    </row>
    <row r="102" customFormat="false" ht="15" hidden="false" customHeight="false" outlineLevel="0" collapsed="false">
      <c r="A102" s="5" t="s">
        <v>216</v>
      </c>
      <c r="B102" s="6" t="s">
        <v>217</v>
      </c>
      <c r="C102" s="5" t="s">
        <v>51</v>
      </c>
      <c r="D102" s="7" t="n">
        <v>10</v>
      </c>
      <c r="E102" s="7" t="n">
        <v>10</v>
      </c>
      <c r="F102" s="7" t="n">
        <v>10</v>
      </c>
      <c r="G102" s="7" t="n">
        <v>10</v>
      </c>
      <c r="H102" s="7"/>
      <c r="I102" s="7"/>
      <c r="J102" s="8" t="n">
        <f aca="false">SUM(D102:I102)</f>
        <v>40</v>
      </c>
      <c r="K102" s="9" t="n">
        <v>588</v>
      </c>
      <c r="L102" s="9" t="n">
        <f aca="false">J102*K102</f>
        <v>23520</v>
      </c>
    </row>
    <row r="103" customFormat="false" ht="15" hidden="false" customHeight="false" outlineLevel="0" collapsed="false">
      <c r="A103" s="5" t="s">
        <v>218</v>
      </c>
      <c r="B103" s="6" t="s">
        <v>219</v>
      </c>
      <c r="C103" s="5" t="s">
        <v>51</v>
      </c>
      <c r="D103" s="7" t="n">
        <v>6</v>
      </c>
      <c r="E103" s="7" t="n">
        <v>6</v>
      </c>
      <c r="F103" s="7" t="n">
        <v>6</v>
      </c>
      <c r="G103" s="7" t="n">
        <v>6</v>
      </c>
      <c r="H103" s="7"/>
      <c r="I103" s="7"/>
      <c r="J103" s="8" t="n">
        <f aca="false">SUM(D103:I103)</f>
        <v>24</v>
      </c>
      <c r="K103" s="9" t="n">
        <v>588</v>
      </c>
      <c r="L103" s="9" t="n">
        <f aca="false">J103*K103</f>
        <v>14112</v>
      </c>
    </row>
    <row r="104" customFormat="false" ht="15" hidden="false" customHeight="false" outlineLevel="0" collapsed="false">
      <c r="A104" s="5" t="s">
        <v>220</v>
      </c>
      <c r="B104" s="6" t="s">
        <v>221</v>
      </c>
      <c r="C104" s="5" t="s">
        <v>51</v>
      </c>
      <c r="D104" s="7" t="n">
        <v>14</v>
      </c>
      <c r="E104" s="7" t="n">
        <v>14</v>
      </c>
      <c r="F104" s="7" t="n">
        <v>14</v>
      </c>
      <c r="G104" s="7" t="n">
        <v>14</v>
      </c>
      <c r="H104" s="7"/>
      <c r="I104" s="7"/>
      <c r="J104" s="8" t="n">
        <f aca="false">SUM(D104:I104)</f>
        <v>56</v>
      </c>
      <c r="K104" s="9" t="n">
        <v>588</v>
      </c>
      <c r="L104" s="9" t="n">
        <f aca="false">J104*K104</f>
        <v>32928</v>
      </c>
    </row>
    <row r="105" customFormat="false" ht="15" hidden="false" customHeight="false" outlineLevel="0" collapsed="false">
      <c r="A105" s="5" t="s">
        <v>222</v>
      </c>
      <c r="B105" s="6" t="s">
        <v>223</v>
      </c>
      <c r="C105" s="5" t="s">
        <v>51</v>
      </c>
      <c r="D105" s="7" t="n">
        <v>2</v>
      </c>
      <c r="E105" s="7" t="n">
        <v>2</v>
      </c>
      <c r="F105" s="7" t="n">
        <v>2</v>
      </c>
      <c r="G105" s="7" t="n">
        <v>2</v>
      </c>
      <c r="H105" s="7"/>
      <c r="I105" s="7"/>
      <c r="J105" s="8" t="n">
        <f aca="false">SUM(D105:I105)</f>
        <v>8</v>
      </c>
      <c r="K105" s="9" t="n">
        <v>588</v>
      </c>
      <c r="L105" s="9" t="n">
        <f aca="false">J105*K105</f>
        <v>4704</v>
      </c>
    </row>
    <row r="106" customFormat="false" ht="15" hidden="false" customHeight="false" outlineLevel="0" collapsed="false">
      <c r="A106" s="5" t="s">
        <v>224</v>
      </c>
      <c r="B106" s="6" t="s">
        <v>225</v>
      </c>
      <c r="C106" s="5" t="s">
        <v>51</v>
      </c>
      <c r="D106" s="7" t="n">
        <v>2</v>
      </c>
      <c r="E106" s="7" t="n">
        <v>2</v>
      </c>
      <c r="F106" s="7" t="n">
        <v>2</v>
      </c>
      <c r="G106" s="7" t="n">
        <v>2</v>
      </c>
      <c r="H106" s="7"/>
      <c r="I106" s="7"/>
      <c r="J106" s="8" t="n">
        <f aca="false">SUM(D106:I106)</f>
        <v>8</v>
      </c>
      <c r="K106" s="9" t="n">
        <v>588</v>
      </c>
      <c r="L106" s="9" t="n">
        <f aca="false">J106*K106</f>
        <v>4704</v>
      </c>
    </row>
    <row r="107" customFormat="false" ht="15" hidden="false" customHeight="false" outlineLevel="0" collapsed="false">
      <c r="A107" s="5" t="s">
        <v>226</v>
      </c>
      <c r="B107" s="6" t="s">
        <v>227</v>
      </c>
      <c r="C107" s="5" t="s">
        <v>51</v>
      </c>
      <c r="D107" s="7" t="n">
        <v>2</v>
      </c>
      <c r="E107" s="7" t="n">
        <v>2</v>
      </c>
      <c r="F107" s="7" t="n">
        <v>2</v>
      </c>
      <c r="G107" s="7" t="n">
        <v>2</v>
      </c>
      <c r="H107" s="7"/>
      <c r="I107" s="7"/>
      <c r="J107" s="8" t="n">
        <f aca="false">SUM(D107:I107)</f>
        <v>8</v>
      </c>
      <c r="K107" s="9" t="n">
        <v>588</v>
      </c>
      <c r="L107" s="9" t="n">
        <f aca="false">J107*K107</f>
        <v>4704</v>
      </c>
    </row>
    <row r="108" customFormat="false" ht="15" hidden="false" customHeight="false" outlineLevel="0" collapsed="false">
      <c r="A108" s="5" t="s">
        <v>228</v>
      </c>
      <c r="B108" s="6" t="s">
        <v>229</v>
      </c>
      <c r="C108" s="5" t="s">
        <v>192</v>
      </c>
      <c r="D108" s="7" t="n">
        <v>4</v>
      </c>
      <c r="E108" s="7" t="n">
        <v>4</v>
      </c>
      <c r="F108" s="7" t="n">
        <v>4</v>
      </c>
      <c r="G108" s="7" t="n">
        <v>4</v>
      </c>
      <c r="H108" s="7"/>
      <c r="I108" s="7"/>
      <c r="J108" s="8" t="n">
        <f aca="false">SUM(D108:I108)</f>
        <v>16</v>
      </c>
      <c r="K108" s="9" t="n">
        <v>2100</v>
      </c>
      <c r="L108" s="9" t="n">
        <f aca="false">J108*K108</f>
        <v>33600</v>
      </c>
    </row>
    <row r="109" customFormat="false" ht="15" hidden="false" customHeight="false" outlineLevel="0" collapsed="false">
      <c r="A109" s="5" t="s">
        <v>230</v>
      </c>
      <c r="B109" s="6" t="s">
        <v>231</v>
      </c>
      <c r="C109" s="5" t="s">
        <v>51</v>
      </c>
      <c r="D109" s="7" t="n">
        <v>30</v>
      </c>
      <c r="E109" s="7" t="n">
        <v>30</v>
      </c>
      <c r="F109" s="7" t="n">
        <v>30</v>
      </c>
      <c r="G109" s="7" t="n">
        <v>55</v>
      </c>
      <c r="H109" s="7"/>
      <c r="I109" s="7"/>
      <c r="J109" s="8" t="n">
        <f aca="false">SUM(D109:I109)</f>
        <v>145</v>
      </c>
      <c r="K109" s="9" t="n">
        <v>420</v>
      </c>
      <c r="L109" s="9" t="n">
        <f aca="false">J109*K109</f>
        <v>60900</v>
      </c>
    </row>
    <row r="110" customFormat="false" ht="15" hidden="false" customHeight="false" outlineLevel="0" collapsed="false">
      <c r="A110" s="5" t="s">
        <v>232</v>
      </c>
      <c r="B110" s="6" t="s">
        <v>233</v>
      </c>
      <c r="C110" s="5" t="s">
        <v>51</v>
      </c>
      <c r="D110" s="7" t="n">
        <v>60</v>
      </c>
      <c r="E110" s="7" t="n">
        <v>60</v>
      </c>
      <c r="F110" s="7" t="n">
        <v>60</v>
      </c>
      <c r="G110" s="7" t="n">
        <v>87</v>
      </c>
      <c r="H110" s="7"/>
      <c r="I110" s="7"/>
      <c r="J110" s="8" t="n">
        <f aca="false">SUM(D110:I110)</f>
        <v>267</v>
      </c>
      <c r="K110" s="9" t="n">
        <v>112</v>
      </c>
      <c r="L110" s="9" t="n">
        <f aca="false">J110*K110</f>
        <v>29904</v>
      </c>
    </row>
    <row r="111" customFormat="false" ht="15" hidden="false" customHeight="false" outlineLevel="0" collapsed="false">
      <c r="A111" s="5" t="s">
        <v>234</v>
      </c>
      <c r="B111" s="6" t="s">
        <v>235</v>
      </c>
      <c r="C111" s="5" t="s">
        <v>51</v>
      </c>
      <c r="D111" s="7" t="n">
        <v>2</v>
      </c>
      <c r="E111" s="7" t="n">
        <v>2</v>
      </c>
      <c r="F111" s="7" t="n">
        <v>2</v>
      </c>
      <c r="G111" s="7" t="n">
        <v>2</v>
      </c>
      <c r="H111" s="7"/>
      <c r="I111" s="7"/>
      <c r="J111" s="8" t="n">
        <f aca="false">SUM(D111:I111)</f>
        <v>8</v>
      </c>
      <c r="K111" s="9" t="n">
        <v>2800</v>
      </c>
      <c r="L111" s="9" t="n">
        <f aca="false">J111*K111</f>
        <v>22400</v>
      </c>
    </row>
    <row r="112" customFormat="false" ht="15" hidden="false" customHeight="false" outlineLevel="0" collapsed="false">
      <c r="A112" s="3" t="s">
        <v>236</v>
      </c>
      <c r="B112" s="3" t="s">
        <v>237</v>
      </c>
      <c r="C112" s="3"/>
      <c r="D112" s="3"/>
      <c r="E112" s="3"/>
      <c r="F112" s="3"/>
      <c r="G112" s="3"/>
      <c r="H112" s="3"/>
      <c r="I112" s="3"/>
      <c r="J112" s="3"/>
      <c r="K112" s="3"/>
      <c r="L112" s="4" t="n">
        <f aca="false">SUM(L113:L196)</f>
        <v>873586.58</v>
      </c>
    </row>
    <row r="113" customFormat="false" ht="15" hidden="false" customHeight="false" outlineLevel="0" collapsed="false">
      <c r="A113" s="5" t="s">
        <v>238</v>
      </c>
      <c r="B113" s="6" t="s">
        <v>239</v>
      </c>
      <c r="C113" s="5" t="s">
        <v>51</v>
      </c>
      <c r="D113" s="7"/>
      <c r="E113" s="7"/>
      <c r="F113" s="7"/>
      <c r="G113" s="7"/>
      <c r="H113" s="7" t="n">
        <v>1</v>
      </c>
      <c r="I113" s="7"/>
      <c r="J113" s="8" t="n">
        <f aca="false">SUM(D113:I113)</f>
        <v>1</v>
      </c>
      <c r="K113" s="9" t="n">
        <v>1296</v>
      </c>
      <c r="L113" s="9" t="n">
        <f aca="false">J113*K113</f>
        <v>1296</v>
      </c>
    </row>
    <row r="114" customFormat="false" ht="25.35" hidden="false" customHeight="false" outlineLevel="0" collapsed="false">
      <c r="A114" s="5" t="s">
        <v>240</v>
      </c>
      <c r="B114" s="6" t="s">
        <v>241</v>
      </c>
      <c r="C114" s="5" t="s">
        <v>51</v>
      </c>
      <c r="D114" s="7"/>
      <c r="E114" s="7"/>
      <c r="F114" s="7"/>
      <c r="G114" s="7"/>
      <c r="H114" s="7" t="n">
        <v>4</v>
      </c>
      <c r="I114" s="7"/>
      <c r="J114" s="8" t="n">
        <f aca="false">SUM(D114:I114)</f>
        <v>4</v>
      </c>
      <c r="K114" s="9" t="n">
        <v>2592</v>
      </c>
      <c r="L114" s="9" t="n">
        <f aca="false">J114*K114</f>
        <v>10368</v>
      </c>
    </row>
    <row r="115" customFormat="false" ht="25.35" hidden="false" customHeight="false" outlineLevel="0" collapsed="false">
      <c r="A115" s="5" t="s">
        <v>242</v>
      </c>
      <c r="B115" s="6" t="s">
        <v>243</v>
      </c>
      <c r="C115" s="5" t="s">
        <v>51</v>
      </c>
      <c r="D115" s="7"/>
      <c r="E115" s="7"/>
      <c r="F115" s="7"/>
      <c r="G115" s="7"/>
      <c r="H115" s="7" t="n">
        <v>2</v>
      </c>
      <c r="I115" s="7"/>
      <c r="J115" s="8" t="n">
        <f aca="false">SUM(D115:I115)</f>
        <v>2</v>
      </c>
      <c r="K115" s="9" t="n">
        <v>2592</v>
      </c>
      <c r="L115" s="9" t="n">
        <f aca="false">J115*K115</f>
        <v>5184</v>
      </c>
    </row>
    <row r="116" customFormat="false" ht="25.35" hidden="false" customHeight="false" outlineLevel="0" collapsed="false">
      <c r="A116" s="5" t="s">
        <v>244</v>
      </c>
      <c r="B116" s="6" t="s">
        <v>245</v>
      </c>
      <c r="C116" s="5" t="s">
        <v>51</v>
      </c>
      <c r="D116" s="7"/>
      <c r="E116" s="7"/>
      <c r="F116" s="7"/>
      <c r="G116" s="7"/>
      <c r="H116" s="7" t="n">
        <v>12</v>
      </c>
      <c r="I116" s="7"/>
      <c r="J116" s="8" t="n">
        <f aca="false">SUM(D116:I116)</f>
        <v>12</v>
      </c>
      <c r="K116" s="9" t="n">
        <v>2592</v>
      </c>
      <c r="L116" s="9" t="n">
        <f aca="false">J116*K116</f>
        <v>31104</v>
      </c>
    </row>
    <row r="117" customFormat="false" ht="15" hidden="false" customHeight="false" outlineLevel="0" collapsed="false">
      <c r="A117" s="5" t="s">
        <v>246</v>
      </c>
      <c r="B117" s="6" t="s">
        <v>247</v>
      </c>
      <c r="C117" s="5" t="s">
        <v>51</v>
      </c>
      <c r="D117" s="7"/>
      <c r="E117" s="7"/>
      <c r="F117" s="7"/>
      <c r="G117" s="7"/>
      <c r="H117" s="7" t="n">
        <v>10</v>
      </c>
      <c r="I117" s="7"/>
      <c r="J117" s="8" t="n">
        <f aca="false">SUM(D117:I117)</f>
        <v>10</v>
      </c>
      <c r="K117" s="9" t="n">
        <v>4000</v>
      </c>
      <c r="L117" s="9" t="n">
        <f aca="false">J117*K117</f>
        <v>40000</v>
      </c>
    </row>
    <row r="118" customFormat="false" ht="15" hidden="false" customHeight="false" outlineLevel="0" collapsed="false">
      <c r="A118" s="5" t="s">
        <v>248</v>
      </c>
      <c r="B118" s="6" t="s">
        <v>249</v>
      </c>
      <c r="C118" s="5" t="s">
        <v>51</v>
      </c>
      <c r="D118" s="7"/>
      <c r="E118" s="7"/>
      <c r="F118" s="7"/>
      <c r="G118" s="7"/>
      <c r="H118" s="7" t="n">
        <v>2</v>
      </c>
      <c r="I118" s="7"/>
      <c r="J118" s="8" t="n">
        <f aca="false">SUM(D118:I118)</f>
        <v>2</v>
      </c>
      <c r="K118" s="9" t="n">
        <v>4000</v>
      </c>
      <c r="L118" s="9" t="n">
        <f aca="false">J118*K118</f>
        <v>8000</v>
      </c>
    </row>
    <row r="119" customFormat="false" ht="37.3" hidden="false" customHeight="false" outlineLevel="0" collapsed="false">
      <c r="A119" s="5" t="s">
        <v>250</v>
      </c>
      <c r="B119" s="6" t="s">
        <v>251</v>
      </c>
      <c r="C119" s="5" t="s">
        <v>51</v>
      </c>
      <c r="D119" s="7"/>
      <c r="E119" s="7"/>
      <c r="F119" s="7"/>
      <c r="G119" s="7"/>
      <c r="H119" s="7" t="n">
        <v>12</v>
      </c>
      <c r="I119" s="7"/>
      <c r="J119" s="8" t="n">
        <f aca="false">SUM(D119:I119)</f>
        <v>12</v>
      </c>
      <c r="K119" s="9" t="n">
        <v>1500</v>
      </c>
      <c r="L119" s="9" t="n">
        <f aca="false">J119*K119</f>
        <v>18000</v>
      </c>
    </row>
    <row r="120" customFormat="false" ht="15" hidden="false" customHeight="false" outlineLevel="0" collapsed="false">
      <c r="A120" s="5" t="s">
        <v>252</v>
      </c>
      <c r="B120" s="6" t="s">
        <v>253</v>
      </c>
      <c r="C120" s="5" t="s">
        <v>51</v>
      </c>
      <c r="D120" s="7"/>
      <c r="E120" s="7"/>
      <c r="F120" s="7"/>
      <c r="G120" s="7"/>
      <c r="H120" s="7" t="n">
        <v>1</v>
      </c>
      <c r="I120" s="7"/>
      <c r="J120" s="8" t="n">
        <f aca="false">SUM(D120:I120)</f>
        <v>1</v>
      </c>
      <c r="K120" s="9" t="n">
        <v>4000</v>
      </c>
      <c r="L120" s="9" t="n">
        <f aca="false">J120*K120</f>
        <v>4000</v>
      </c>
    </row>
    <row r="121" customFormat="false" ht="37.3" hidden="false" customHeight="false" outlineLevel="0" collapsed="false">
      <c r="A121" s="5" t="s">
        <v>254</v>
      </c>
      <c r="B121" s="6" t="s">
        <v>255</v>
      </c>
      <c r="C121" s="5" t="s">
        <v>51</v>
      </c>
      <c r="D121" s="7"/>
      <c r="E121" s="7"/>
      <c r="F121" s="7"/>
      <c r="G121" s="7"/>
      <c r="H121" s="7" t="n">
        <v>1</v>
      </c>
      <c r="I121" s="7"/>
      <c r="J121" s="8" t="n">
        <f aca="false">SUM(D121:I121)</f>
        <v>1</v>
      </c>
      <c r="K121" s="9" t="n">
        <v>1500</v>
      </c>
      <c r="L121" s="9" t="n">
        <f aca="false">J121*K121</f>
        <v>1500</v>
      </c>
    </row>
    <row r="122" customFormat="false" ht="15" hidden="false" customHeight="false" outlineLevel="0" collapsed="false">
      <c r="A122" s="5" t="s">
        <v>256</v>
      </c>
      <c r="B122" s="6" t="s">
        <v>257</v>
      </c>
      <c r="C122" s="5" t="s">
        <v>51</v>
      </c>
      <c r="D122" s="7"/>
      <c r="E122" s="7"/>
      <c r="F122" s="7"/>
      <c r="G122" s="7"/>
      <c r="H122" s="7" t="n">
        <v>1</v>
      </c>
      <c r="I122" s="7"/>
      <c r="J122" s="8" t="n">
        <f aca="false">SUM(D122:I122)</f>
        <v>1</v>
      </c>
      <c r="K122" s="9" t="n">
        <v>4000</v>
      </c>
      <c r="L122" s="9" t="n">
        <f aca="false">J122*K122</f>
        <v>4000</v>
      </c>
    </row>
    <row r="123" customFormat="false" ht="37.3" hidden="false" customHeight="false" outlineLevel="0" collapsed="false">
      <c r="A123" s="5" t="s">
        <v>258</v>
      </c>
      <c r="B123" s="6" t="s">
        <v>259</v>
      </c>
      <c r="C123" s="5" t="s">
        <v>51</v>
      </c>
      <c r="D123" s="7"/>
      <c r="E123" s="7"/>
      <c r="F123" s="7"/>
      <c r="G123" s="7"/>
      <c r="H123" s="7" t="n">
        <v>1</v>
      </c>
      <c r="I123" s="7"/>
      <c r="J123" s="8" t="n">
        <f aca="false">SUM(D123:I123)</f>
        <v>1</v>
      </c>
      <c r="K123" s="9" t="n">
        <v>1500</v>
      </c>
      <c r="L123" s="9" t="n">
        <f aca="false">J123*K123</f>
        <v>1500</v>
      </c>
    </row>
    <row r="124" customFormat="false" ht="15" hidden="false" customHeight="false" outlineLevel="0" collapsed="false">
      <c r="A124" s="5" t="s">
        <v>260</v>
      </c>
      <c r="B124" s="6" t="s">
        <v>261</v>
      </c>
      <c r="C124" s="5" t="s">
        <v>51</v>
      </c>
      <c r="D124" s="7"/>
      <c r="E124" s="7"/>
      <c r="F124" s="7"/>
      <c r="G124" s="7"/>
      <c r="H124" s="7" t="n">
        <v>1</v>
      </c>
      <c r="I124" s="7"/>
      <c r="J124" s="8" t="n">
        <f aca="false">SUM(D124:I124)</f>
        <v>1</v>
      </c>
      <c r="K124" s="9" t="n">
        <v>4000</v>
      </c>
      <c r="L124" s="9" t="n">
        <f aca="false">J124*K124</f>
        <v>4000</v>
      </c>
    </row>
    <row r="125" customFormat="false" ht="37.3" hidden="false" customHeight="false" outlineLevel="0" collapsed="false">
      <c r="A125" s="5" t="s">
        <v>262</v>
      </c>
      <c r="B125" s="6" t="s">
        <v>263</v>
      </c>
      <c r="C125" s="5" t="s">
        <v>51</v>
      </c>
      <c r="D125" s="7"/>
      <c r="E125" s="7"/>
      <c r="F125" s="7"/>
      <c r="G125" s="7"/>
      <c r="H125" s="7" t="n">
        <v>1</v>
      </c>
      <c r="I125" s="7"/>
      <c r="J125" s="8" t="n">
        <f aca="false">SUM(D125:I125)</f>
        <v>1</v>
      </c>
      <c r="K125" s="9" t="n">
        <v>1500</v>
      </c>
      <c r="L125" s="9" t="n">
        <f aca="false">J125*K125</f>
        <v>1500</v>
      </c>
    </row>
    <row r="126" customFormat="false" ht="15" hidden="false" customHeight="false" outlineLevel="0" collapsed="false">
      <c r="A126" s="5" t="s">
        <v>264</v>
      </c>
      <c r="B126" s="6" t="s">
        <v>265</v>
      </c>
      <c r="C126" s="5" t="s">
        <v>51</v>
      </c>
      <c r="D126" s="7"/>
      <c r="E126" s="7"/>
      <c r="F126" s="7"/>
      <c r="G126" s="7"/>
      <c r="H126" s="7" t="n">
        <v>1</v>
      </c>
      <c r="I126" s="7"/>
      <c r="J126" s="8" t="n">
        <f aca="false">SUM(D126:I126)</f>
        <v>1</v>
      </c>
      <c r="K126" s="9" t="n">
        <v>950</v>
      </c>
      <c r="L126" s="9" t="n">
        <f aca="false">J126*K126</f>
        <v>950</v>
      </c>
    </row>
    <row r="127" customFormat="false" ht="15" hidden="false" customHeight="false" outlineLevel="0" collapsed="false">
      <c r="A127" s="5" t="s">
        <v>266</v>
      </c>
      <c r="B127" s="6" t="s">
        <v>267</v>
      </c>
      <c r="C127" s="5" t="s">
        <v>197</v>
      </c>
      <c r="D127" s="7"/>
      <c r="E127" s="7"/>
      <c r="F127" s="7"/>
      <c r="G127" s="7"/>
      <c r="H127" s="7" t="n">
        <v>2</v>
      </c>
      <c r="I127" s="7"/>
      <c r="J127" s="8" t="n">
        <f aca="false">SUM(D127:I127)</f>
        <v>2</v>
      </c>
      <c r="K127" s="9" t="n">
        <v>760</v>
      </c>
      <c r="L127" s="9" t="n">
        <f aca="false">J127*K127</f>
        <v>1520</v>
      </c>
    </row>
    <row r="128" customFormat="false" ht="15" hidden="false" customHeight="false" outlineLevel="0" collapsed="false">
      <c r="A128" s="5" t="s">
        <v>268</v>
      </c>
      <c r="B128" s="6" t="s">
        <v>269</v>
      </c>
      <c r="C128" s="5" t="s">
        <v>197</v>
      </c>
      <c r="D128" s="7"/>
      <c r="E128" s="7"/>
      <c r="F128" s="7"/>
      <c r="G128" s="7"/>
      <c r="H128" s="7" t="n">
        <v>2</v>
      </c>
      <c r="I128" s="7"/>
      <c r="J128" s="8" t="n">
        <f aca="false">SUM(D128:I128)</f>
        <v>2</v>
      </c>
      <c r="K128" s="9" t="n">
        <v>760</v>
      </c>
      <c r="L128" s="9" t="n">
        <f aca="false">J128*K128</f>
        <v>1520</v>
      </c>
    </row>
    <row r="129" customFormat="false" ht="15" hidden="false" customHeight="false" outlineLevel="0" collapsed="false">
      <c r="A129" s="5" t="s">
        <v>270</v>
      </c>
      <c r="B129" s="6" t="s">
        <v>271</v>
      </c>
      <c r="C129" s="5" t="s">
        <v>197</v>
      </c>
      <c r="D129" s="7"/>
      <c r="E129" s="7"/>
      <c r="F129" s="7"/>
      <c r="G129" s="7"/>
      <c r="H129" s="7" t="n">
        <v>6</v>
      </c>
      <c r="I129" s="7"/>
      <c r="J129" s="8" t="n">
        <f aca="false">SUM(D129:I129)</f>
        <v>6</v>
      </c>
      <c r="K129" s="9" t="n">
        <v>760</v>
      </c>
      <c r="L129" s="9" t="n">
        <f aca="false">J129*K129</f>
        <v>4560</v>
      </c>
    </row>
    <row r="130" customFormat="false" ht="15" hidden="false" customHeight="false" outlineLevel="0" collapsed="false">
      <c r="A130" s="5" t="s">
        <v>272</v>
      </c>
      <c r="B130" s="6" t="s">
        <v>273</v>
      </c>
      <c r="C130" s="5" t="s">
        <v>197</v>
      </c>
      <c r="D130" s="7"/>
      <c r="E130" s="7"/>
      <c r="F130" s="7"/>
      <c r="G130" s="7"/>
      <c r="H130" s="7" t="n">
        <v>6</v>
      </c>
      <c r="I130" s="7"/>
      <c r="J130" s="8" t="n">
        <f aca="false">SUM(D130:I130)</f>
        <v>6</v>
      </c>
      <c r="K130" s="9" t="n">
        <v>760</v>
      </c>
      <c r="L130" s="9" t="n">
        <f aca="false">J130*K130</f>
        <v>4560</v>
      </c>
    </row>
    <row r="131" customFormat="false" ht="15" hidden="false" customHeight="false" outlineLevel="0" collapsed="false">
      <c r="A131" s="5" t="s">
        <v>274</v>
      </c>
      <c r="B131" s="6" t="s">
        <v>275</v>
      </c>
      <c r="C131" s="5" t="s">
        <v>197</v>
      </c>
      <c r="D131" s="7"/>
      <c r="E131" s="7"/>
      <c r="F131" s="7"/>
      <c r="G131" s="7"/>
      <c r="H131" s="7" t="n">
        <v>1</v>
      </c>
      <c r="I131" s="7"/>
      <c r="J131" s="8" t="n">
        <f aca="false">SUM(D131:I131)</f>
        <v>1</v>
      </c>
      <c r="K131" s="9" t="n">
        <v>760</v>
      </c>
      <c r="L131" s="9" t="n">
        <f aca="false">J131*K131</f>
        <v>760</v>
      </c>
    </row>
    <row r="132" customFormat="false" ht="15" hidden="false" customHeight="false" outlineLevel="0" collapsed="false">
      <c r="A132" s="5" t="s">
        <v>276</v>
      </c>
      <c r="B132" s="6" t="s">
        <v>277</v>
      </c>
      <c r="C132" s="5" t="s">
        <v>197</v>
      </c>
      <c r="D132" s="7"/>
      <c r="E132" s="7"/>
      <c r="F132" s="7"/>
      <c r="G132" s="7"/>
      <c r="H132" s="7" t="n">
        <v>1</v>
      </c>
      <c r="I132" s="7"/>
      <c r="J132" s="8" t="n">
        <f aca="false">SUM(D132:I132)</f>
        <v>1</v>
      </c>
      <c r="K132" s="9" t="n">
        <v>760</v>
      </c>
      <c r="L132" s="9" t="n">
        <f aca="false">J132*K132</f>
        <v>760</v>
      </c>
    </row>
    <row r="133" customFormat="false" ht="15" hidden="false" customHeight="false" outlineLevel="0" collapsed="false">
      <c r="A133" s="5" t="s">
        <v>278</v>
      </c>
      <c r="B133" s="6" t="s">
        <v>279</v>
      </c>
      <c r="C133" s="5" t="s">
        <v>197</v>
      </c>
      <c r="D133" s="7"/>
      <c r="E133" s="7"/>
      <c r="F133" s="7"/>
      <c r="G133" s="7"/>
      <c r="H133" s="7" t="n">
        <v>6</v>
      </c>
      <c r="I133" s="7"/>
      <c r="J133" s="8" t="n">
        <f aca="false">SUM(D133:I133)</f>
        <v>6</v>
      </c>
      <c r="K133" s="9" t="n">
        <v>760</v>
      </c>
      <c r="L133" s="9" t="n">
        <f aca="false">J133*K133</f>
        <v>4560</v>
      </c>
    </row>
    <row r="134" customFormat="false" ht="15" hidden="false" customHeight="false" outlineLevel="0" collapsed="false">
      <c r="A134" s="5" t="s">
        <v>280</v>
      </c>
      <c r="B134" s="6" t="s">
        <v>281</v>
      </c>
      <c r="C134" s="5" t="s">
        <v>197</v>
      </c>
      <c r="D134" s="7"/>
      <c r="E134" s="7"/>
      <c r="F134" s="7"/>
      <c r="G134" s="7"/>
      <c r="H134" s="7" t="n">
        <v>6</v>
      </c>
      <c r="I134" s="7"/>
      <c r="J134" s="8" t="n">
        <f aca="false">SUM(D134:I134)</f>
        <v>6</v>
      </c>
      <c r="K134" s="9" t="n">
        <v>760</v>
      </c>
      <c r="L134" s="9" t="n">
        <f aca="false">J134*K134</f>
        <v>4560</v>
      </c>
    </row>
    <row r="135" customFormat="false" ht="25.35" hidden="false" customHeight="false" outlineLevel="0" collapsed="false">
      <c r="A135" s="5" t="s">
        <v>282</v>
      </c>
      <c r="B135" s="6" t="s">
        <v>283</v>
      </c>
      <c r="C135" s="5" t="s">
        <v>197</v>
      </c>
      <c r="D135" s="7"/>
      <c r="E135" s="7"/>
      <c r="F135" s="7"/>
      <c r="G135" s="7"/>
      <c r="H135" s="7" t="n">
        <v>19</v>
      </c>
      <c r="I135" s="7"/>
      <c r="J135" s="8" t="n">
        <f aca="false">SUM(D135:I135)</f>
        <v>19</v>
      </c>
      <c r="K135" s="9" t="n">
        <v>950</v>
      </c>
      <c r="L135" s="9" t="n">
        <f aca="false">J135*K135</f>
        <v>18050</v>
      </c>
    </row>
    <row r="136" customFormat="false" ht="25.35" hidden="false" customHeight="false" outlineLevel="0" collapsed="false">
      <c r="A136" s="5" t="s">
        <v>284</v>
      </c>
      <c r="B136" s="6" t="s">
        <v>285</v>
      </c>
      <c r="C136" s="5" t="s">
        <v>197</v>
      </c>
      <c r="D136" s="7"/>
      <c r="E136" s="7"/>
      <c r="F136" s="7"/>
      <c r="G136" s="7"/>
      <c r="H136" s="7" t="n">
        <v>7</v>
      </c>
      <c r="I136" s="7"/>
      <c r="J136" s="8" t="n">
        <f aca="false">SUM(D136:I136)</f>
        <v>7</v>
      </c>
      <c r="K136" s="9" t="n">
        <v>689.79</v>
      </c>
      <c r="L136" s="9" t="n">
        <f aca="false">J136*K136</f>
        <v>4828.53</v>
      </c>
    </row>
    <row r="137" customFormat="false" ht="25.35" hidden="false" customHeight="false" outlineLevel="0" collapsed="false">
      <c r="A137" s="5" t="s">
        <v>286</v>
      </c>
      <c r="B137" s="6" t="s">
        <v>287</v>
      </c>
      <c r="C137" s="5" t="s">
        <v>197</v>
      </c>
      <c r="D137" s="7"/>
      <c r="E137" s="7"/>
      <c r="F137" s="7"/>
      <c r="G137" s="7"/>
      <c r="H137" s="7" t="n">
        <v>40</v>
      </c>
      <c r="I137" s="7"/>
      <c r="J137" s="8" t="n">
        <f aca="false">SUM(D137:I137)</f>
        <v>40</v>
      </c>
      <c r="K137" s="9" t="n">
        <v>862.23</v>
      </c>
      <c r="L137" s="9" t="n">
        <f aca="false">J137*K137</f>
        <v>34489.2</v>
      </c>
    </row>
    <row r="138" customFormat="false" ht="25.35" hidden="false" customHeight="false" outlineLevel="0" collapsed="false">
      <c r="A138" s="5" t="s">
        <v>288</v>
      </c>
      <c r="B138" s="6" t="s">
        <v>289</v>
      </c>
      <c r="C138" s="5" t="s">
        <v>197</v>
      </c>
      <c r="D138" s="7"/>
      <c r="E138" s="7"/>
      <c r="F138" s="7"/>
      <c r="G138" s="7"/>
      <c r="H138" s="7" t="n">
        <v>15</v>
      </c>
      <c r="I138" s="7"/>
      <c r="J138" s="8" t="n">
        <f aca="false">SUM(D138:I138)</f>
        <v>15</v>
      </c>
      <c r="K138" s="9" t="n">
        <v>1077.79</v>
      </c>
      <c r="L138" s="9" t="n">
        <f aca="false">J138*K138</f>
        <v>16166.85</v>
      </c>
    </row>
    <row r="139" customFormat="false" ht="25.35" hidden="false" customHeight="false" outlineLevel="0" collapsed="false">
      <c r="A139" s="5" t="s">
        <v>290</v>
      </c>
      <c r="B139" s="6" t="s">
        <v>291</v>
      </c>
      <c r="C139" s="5" t="s">
        <v>197</v>
      </c>
      <c r="D139" s="7"/>
      <c r="E139" s="7"/>
      <c r="F139" s="7"/>
      <c r="G139" s="7"/>
      <c r="H139" s="7" t="n">
        <v>10</v>
      </c>
      <c r="I139" s="7"/>
      <c r="J139" s="8" t="n">
        <f aca="false">SUM(D139:I139)</f>
        <v>10</v>
      </c>
      <c r="K139" s="9" t="n">
        <v>1620</v>
      </c>
      <c r="L139" s="9" t="n">
        <f aca="false">J139*K139</f>
        <v>16200</v>
      </c>
    </row>
    <row r="140" customFormat="false" ht="25.35" hidden="false" customHeight="false" outlineLevel="0" collapsed="false">
      <c r="A140" s="5" t="s">
        <v>292</v>
      </c>
      <c r="B140" s="6" t="s">
        <v>293</v>
      </c>
      <c r="C140" s="5" t="s">
        <v>197</v>
      </c>
      <c r="D140" s="7"/>
      <c r="E140" s="7"/>
      <c r="F140" s="7"/>
      <c r="G140" s="7"/>
      <c r="H140" s="7" t="n">
        <v>3</v>
      </c>
      <c r="I140" s="7"/>
      <c r="J140" s="8" t="n">
        <f aca="false">SUM(D140:I140)</f>
        <v>3</v>
      </c>
      <c r="K140" s="9" t="n">
        <v>1944</v>
      </c>
      <c r="L140" s="9" t="n">
        <f aca="false">J140*K140</f>
        <v>5832</v>
      </c>
    </row>
    <row r="141" customFormat="false" ht="25.35" hidden="false" customHeight="false" outlineLevel="0" collapsed="false">
      <c r="A141" s="5" t="s">
        <v>294</v>
      </c>
      <c r="B141" s="6" t="s">
        <v>295</v>
      </c>
      <c r="C141" s="5" t="s">
        <v>197</v>
      </c>
      <c r="D141" s="7"/>
      <c r="E141" s="7"/>
      <c r="F141" s="7"/>
      <c r="G141" s="7"/>
      <c r="H141" s="7" t="n">
        <v>14</v>
      </c>
      <c r="I141" s="7"/>
      <c r="J141" s="8" t="n">
        <f aca="false">SUM(D141:I141)</f>
        <v>14</v>
      </c>
      <c r="K141" s="9" t="n">
        <v>1944</v>
      </c>
      <c r="L141" s="9" t="n">
        <f aca="false">J141*K141</f>
        <v>27216</v>
      </c>
    </row>
    <row r="142" customFormat="false" ht="25.35" hidden="false" customHeight="false" outlineLevel="0" collapsed="false">
      <c r="A142" s="5" t="s">
        <v>296</v>
      </c>
      <c r="B142" s="6" t="s">
        <v>297</v>
      </c>
      <c r="C142" s="5" t="s">
        <v>197</v>
      </c>
      <c r="D142" s="7"/>
      <c r="E142" s="7"/>
      <c r="F142" s="7"/>
      <c r="G142" s="7"/>
      <c r="H142" s="7" t="n">
        <v>10</v>
      </c>
      <c r="I142" s="7"/>
      <c r="J142" s="8" t="n">
        <f aca="false">SUM(D142:I142)</f>
        <v>10</v>
      </c>
      <c r="K142" s="9" t="n">
        <v>1944</v>
      </c>
      <c r="L142" s="9" t="n">
        <f aca="false">J142*K142</f>
        <v>19440</v>
      </c>
    </row>
    <row r="143" customFormat="false" ht="25.35" hidden="false" customHeight="false" outlineLevel="0" collapsed="false">
      <c r="A143" s="5" t="s">
        <v>298</v>
      </c>
      <c r="B143" s="6" t="s">
        <v>299</v>
      </c>
      <c r="C143" s="5" t="s">
        <v>197</v>
      </c>
      <c r="D143" s="7"/>
      <c r="E143" s="7"/>
      <c r="F143" s="7"/>
      <c r="G143" s="7"/>
      <c r="H143" s="7" t="n">
        <v>16</v>
      </c>
      <c r="I143" s="7"/>
      <c r="J143" s="8" t="n">
        <f aca="false">SUM(D143:I143)</f>
        <v>16</v>
      </c>
      <c r="K143" s="9" t="n">
        <v>2592</v>
      </c>
      <c r="L143" s="9" t="n">
        <f aca="false">J143*K143</f>
        <v>41472</v>
      </c>
    </row>
    <row r="144" customFormat="false" ht="25.35" hidden="false" customHeight="false" outlineLevel="0" collapsed="false">
      <c r="A144" s="5" t="s">
        <v>300</v>
      </c>
      <c r="B144" s="6" t="s">
        <v>301</v>
      </c>
      <c r="C144" s="5" t="s">
        <v>197</v>
      </c>
      <c r="D144" s="7"/>
      <c r="E144" s="7"/>
      <c r="F144" s="7"/>
      <c r="G144" s="7"/>
      <c r="H144" s="7" t="n">
        <v>11</v>
      </c>
      <c r="I144" s="7"/>
      <c r="J144" s="8" t="n">
        <f aca="false">SUM(D144:I144)</f>
        <v>11</v>
      </c>
      <c r="K144" s="9" t="n">
        <v>2592</v>
      </c>
      <c r="L144" s="9" t="n">
        <f aca="false">J144*K144</f>
        <v>28512</v>
      </c>
    </row>
    <row r="145" customFormat="false" ht="25.35" hidden="false" customHeight="false" outlineLevel="0" collapsed="false">
      <c r="A145" s="5" t="s">
        <v>302</v>
      </c>
      <c r="B145" s="6" t="s">
        <v>303</v>
      </c>
      <c r="C145" s="5" t="s">
        <v>197</v>
      </c>
      <c r="D145" s="7"/>
      <c r="E145" s="7"/>
      <c r="F145" s="7"/>
      <c r="G145" s="7"/>
      <c r="H145" s="7" t="n">
        <v>2</v>
      </c>
      <c r="I145" s="7"/>
      <c r="J145" s="8" t="n">
        <f aca="false">SUM(D145:I145)</f>
        <v>2</v>
      </c>
      <c r="K145" s="9" t="n">
        <v>2754</v>
      </c>
      <c r="L145" s="9" t="n">
        <f aca="false">J145*K145</f>
        <v>5508</v>
      </c>
    </row>
    <row r="146" customFormat="false" ht="25.35" hidden="false" customHeight="false" outlineLevel="0" collapsed="false">
      <c r="A146" s="5" t="s">
        <v>304</v>
      </c>
      <c r="B146" s="6" t="s">
        <v>305</v>
      </c>
      <c r="C146" s="5" t="s">
        <v>197</v>
      </c>
      <c r="D146" s="7"/>
      <c r="E146" s="7"/>
      <c r="F146" s="7"/>
      <c r="G146" s="7"/>
      <c r="H146" s="7" t="n">
        <v>18</v>
      </c>
      <c r="I146" s="7"/>
      <c r="J146" s="8" t="n">
        <f aca="false">SUM(D146:I146)</f>
        <v>18</v>
      </c>
      <c r="K146" s="9" t="n">
        <v>3230</v>
      </c>
      <c r="L146" s="9" t="n">
        <f aca="false">J146*K146</f>
        <v>58140</v>
      </c>
    </row>
    <row r="147" customFormat="false" ht="25.35" hidden="false" customHeight="false" outlineLevel="0" collapsed="false">
      <c r="A147" s="5" t="s">
        <v>306</v>
      </c>
      <c r="B147" s="6" t="s">
        <v>307</v>
      </c>
      <c r="C147" s="5" t="s">
        <v>51</v>
      </c>
      <c r="D147" s="7"/>
      <c r="E147" s="7"/>
      <c r="F147" s="7"/>
      <c r="G147" s="7"/>
      <c r="H147" s="7" t="n">
        <v>4</v>
      </c>
      <c r="I147" s="7"/>
      <c r="J147" s="8" t="n">
        <f aca="false">SUM(D147:I147)</f>
        <v>4</v>
      </c>
      <c r="K147" s="9" t="n">
        <v>855</v>
      </c>
      <c r="L147" s="9" t="n">
        <f aca="false">J147*K147</f>
        <v>3420</v>
      </c>
    </row>
    <row r="148" customFormat="false" ht="25.35" hidden="false" customHeight="false" outlineLevel="0" collapsed="false">
      <c r="A148" s="5" t="s">
        <v>308</v>
      </c>
      <c r="B148" s="6" t="s">
        <v>309</v>
      </c>
      <c r="C148" s="5" t="s">
        <v>51</v>
      </c>
      <c r="D148" s="7"/>
      <c r="E148" s="7"/>
      <c r="F148" s="7"/>
      <c r="G148" s="7"/>
      <c r="H148" s="7" t="n">
        <v>2</v>
      </c>
      <c r="I148" s="7"/>
      <c r="J148" s="8" t="n">
        <f aca="false">SUM(D148:I148)</f>
        <v>2</v>
      </c>
      <c r="K148" s="9" t="n">
        <v>855</v>
      </c>
      <c r="L148" s="9" t="n">
        <f aca="false">J148*K148</f>
        <v>1710</v>
      </c>
    </row>
    <row r="149" customFormat="false" ht="25.35" hidden="false" customHeight="false" outlineLevel="0" collapsed="false">
      <c r="A149" s="5" t="s">
        <v>310</v>
      </c>
      <c r="B149" s="6" t="s">
        <v>311</v>
      </c>
      <c r="C149" s="5" t="s">
        <v>51</v>
      </c>
      <c r="D149" s="7"/>
      <c r="E149" s="7"/>
      <c r="F149" s="7"/>
      <c r="G149" s="7"/>
      <c r="H149" s="7" t="n">
        <v>4</v>
      </c>
      <c r="I149" s="7"/>
      <c r="J149" s="8" t="n">
        <f aca="false">SUM(D149:I149)</f>
        <v>4</v>
      </c>
      <c r="K149" s="9" t="n">
        <v>880</v>
      </c>
      <c r="L149" s="9" t="n">
        <f aca="false">J149*K149</f>
        <v>3520</v>
      </c>
    </row>
    <row r="150" customFormat="false" ht="25.35" hidden="false" customHeight="false" outlineLevel="0" collapsed="false">
      <c r="A150" s="5" t="s">
        <v>312</v>
      </c>
      <c r="B150" s="6" t="s">
        <v>313</v>
      </c>
      <c r="C150" s="5" t="s">
        <v>51</v>
      </c>
      <c r="D150" s="7"/>
      <c r="E150" s="7"/>
      <c r="F150" s="7"/>
      <c r="G150" s="7"/>
      <c r="H150" s="7" t="n">
        <v>2</v>
      </c>
      <c r="I150" s="7"/>
      <c r="J150" s="8" t="n">
        <f aca="false">SUM(D150:I150)</f>
        <v>2</v>
      </c>
      <c r="K150" s="9" t="n">
        <v>1700</v>
      </c>
      <c r="L150" s="9" t="n">
        <f aca="false">J150*K150</f>
        <v>3400</v>
      </c>
    </row>
    <row r="151" customFormat="false" ht="25.35" hidden="false" customHeight="false" outlineLevel="0" collapsed="false">
      <c r="A151" s="5" t="s">
        <v>314</v>
      </c>
      <c r="B151" s="6" t="s">
        <v>315</v>
      </c>
      <c r="C151" s="5" t="s">
        <v>51</v>
      </c>
      <c r="D151" s="7"/>
      <c r="E151" s="7"/>
      <c r="F151" s="7"/>
      <c r="G151" s="7"/>
      <c r="H151" s="7" t="n">
        <v>2</v>
      </c>
      <c r="I151" s="7"/>
      <c r="J151" s="8" t="n">
        <f aca="false">SUM(D151:I151)</f>
        <v>2</v>
      </c>
      <c r="K151" s="9" t="n">
        <v>1020</v>
      </c>
      <c r="L151" s="9" t="n">
        <f aca="false">J151*K151</f>
        <v>2040</v>
      </c>
    </row>
    <row r="152" customFormat="false" ht="25.35" hidden="false" customHeight="false" outlineLevel="0" collapsed="false">
      <c r="A152" s="5" t="s">
        <v>316</v>
      </c>
      <c r="B152" s="6" t="s">
        <v>317</v>
      </c>
      <c r="C152" s="5" t="s">
        <v>51</v>
      </c>
      <c r="D152" s="7"/>
      <c r="E152" s="7"/>
      <c r="F152" s="7"/>
      <c r="G152" s="7"/>
      <c r="H152" s="7" t="n">
        <v>1</v>
      </c>
      <c r="I152" s="7"/>
      <c r="J152" s="8" t="n">
        <f aca="false">SUM(D152:I152)</f>
        <v>1</v>
      </c>
      <c r="K152" s="9" t="n">
        <v>1360</v>
      </c>
      <c r="L152" s="9" t="n">
        <f aca="false">J152*K152</f>
        <v>1360</v>
      </c>
    </row>
    <row r="153" customFormat="false" ht="25.35" hidden="false" customHeight="false" outlineLevel="0" collapsed="false">
      <c r="A153" s="5" t="s">
        <v>318</v>
      </c>
      <c r="B153" s="6" t="s">
        <v>319</v>
      </c>
      <c r="C153" s="5" t="s">
        <v>51</v>
      </c>
      <c r="D153" s="7"/>
      <c r="E153" s="7"/>
      <c r="F153" s="7"/>
      <c r="G153" s="7"/>
      <c r="H153" s="7" t="n">
        <v>9</v>
      </c>
      <c r="I153" s="7"/>
      <c r="J153" s="8" t="n">
        <f aca="false">SUM(D153:I153)</f>
        <v>9</v>
      </c>
      <c r="K153" s="9" t="n">
        <v>855</v>
      </c>
      <c r="L153" s="9" t="n">
        <f aca="false">J153*K153</f>
        <v>7695</v>
      </c>
    </row>
    <row r="154" customFormat="false" ht="25.35" hidden="false" customHeight="false" outlineLevel="0" collapsed="false">
      <c r="A154" s="5" t="s">
        <v>320</v>
      </c>
      <c r="B154" s="6" t="s">
        <v>321</v>
      </c>
      <c r="C154" s="5" t="s">
        <v>51</v>
      </c>
      <c r="D154" s="7"/>
      <c r="E154" s="7"/>
      <c r="F154" s="7"/>
      <c r="G154" s="7"/>
      <c r="H154" s="7" t="n">
        <v>3</v>
      </c>
      <c r="I154" s="7"/>
      <c r="J154" s="8" t="n">
        <f aca="false">SUM(D154:I154)</f>
        <v>3</v>
      </c>
      <c r="K154" s="9" t="n">
        <v>680</v>
      </c>
      <c r="L154" s="9" t="n">
        <f aca="false">J154*K154</f>
        <v>2040</v>
      </c>
    </row>
    <row r="155" customFormat="false" ht="25.35" hidden="false" customHeight="false" outlineLevel="0" collapsed="false">
      <c r="A155" s="5" t="s">
        <v>322</v>
      </c>
      <c r="B155" s="6" t="s">
        <v>323</v>
      </c>
      <c r="C155" s="5" t="s">
        <v>51</v>
      </c>
      <c r="D155" s="7"/>
      <c r="E155" s="7"/>
      <c r="F155" s="7"/>
      <c r="G155" s="7"/>
      <c r="H155" s="7" t="n">
        <v>4</v>
      </c>
      <c r="I155" s="7"/>
      <c r="J155" s="8" t="n">
        <f aca="false">SUM(D155:I155)</f>
        <v>4</v>
      </c>
      <c r="K155" s="9" t="n">
        <v>1700</v>
      </c>
      <c r="L155" s="9" t="n">
        <f aca="false">J155*K155</f>
        <v>6800</v>
      </c>
    </row>
    <row r="156" customFormat="false" ht="25.35" hidden="false" customHeight="false" outlineLevel="0" collapsed="false">
      <c r="A156" s="5" t="s">
        <v>324</v>
      </c>
      <c r="B156" s="6" t="s">
        <v>325</v>
      </c>
      <c r="C156" s="5" t="s">
        <v>51</v>
      </c>
      <c r="D156" s="7"/>
      <c r="E156" s="7"/>
      <c r="F156" s="7"/>
      <c r="G156" s="7"/>
      <c r="H156" s="7" t="n">
        <v>1</v>
      </c>
      <c r="I156" s="7"/>
      <c r="J156" s="8" t="n">
        <f aca="false">SUM(D156:I156)</f>
        <v>1</v>
      </c>
      <c r="K156" s="9" t="n">
        <v>2040</v>
      </c>
      <c r="L156" s="9" t="n">
        <f aca="false">J156*K156</f>
        <v>2040</v>
      </c>
    </row>
    <row r="157" customFormat="false" ht="25.35" hidden="false" customHeight="false" outlineLevel="0" collapsed="false">
      <c r="A157" s="5" t="s">
        <v>326</v>
      </c>
      <c r="B157" s="6" t="s">
        <v>327</v>
      </c>
      <c r="C157" s="5" t="s">
        <v>51</v>
      </c>
      <c r="D157" s="7"/>
      <c r="E157" s="7"/>
      <c r="F157" s="7"/>
      <c r="G157" s="7"/>
      <c r="H157" s="7" t="n">
        <v>10</v>
      </c>
      <c r="I157" s="7"/>
      <c r="J157" s="8" t="n">
        <f aca="false">SUM(D157:I157)</f>
        <v>10</v>
      </c>
      <c r="K157" s="9" t="n">
        <v>855</v>
      </c>
      <c r="L157" s="9" t="n">
        <f aca="false">J157*K157</f>
        <v>8550</v>
      </c>
    </row>
    <row r="158" customFormat="false" ht="25.35" hidden="false" customHeight="false" outlineLevel="0" collapsed="false">
      <c r="A158" s="5" t="s">
        <v>328</v>
      </c>
      <c r="B158" s="6" t="s">
        <v>329</v>
      </c>
      <c r="C158" s="5" t="s">
        <v>51</v>
      </c>
      <c r="D158" s="7"/>
      <c r="E158" s="7"/>
      <c r="F158" s="7"/>
      <c r="G158" s="7"/>
      <c r="H158" s="7" t="n">
        <v>3</v>
      </c>
      <c r="I158" s="7"/>
      <c r="J158" s="8" t="n">
        <f aca="false">SUM(D158:I158)</f>
        <v>3</v>
      </c>
      <c r="K158" s="9" t="n">
        <v>855</v>
      </c>
      <c r="L158" s="9" t="n">
        <f aca="false">J158*K158</f>
        <v>2565</v>
      </c>
    </row>
    <row r="159" customFormat="false" ht="25.35" hidden="false" customHeight="false" outlineLevel="0" collapsed="false">
      <c r="A159" s="5" t="s">
        <v>330</v>
      </c>
      <c r="B159" s="6" t="s">
        <v>331</v>
      </c>
      <c r="C159" s="5" t="s">
        <v>51</v>
      </c>
      <c r="D159" s="7"/>
      <c r="E159" s="7"/>
      <c r="F159" s="7"/>
      <c r="G159" s="7"/>
      <c r="H159" s="7" t="n">
        <v>10</v>
      </c>
      <c r="I159" s="7"/>
      <c r="J159" s="8" t="n">
        <f aca="false">SUM(D159:I159)</f>
        <v>10</v>
      </c>
      <c r="K159" s="9" t="n">
        <v>855</v>
      </c>
      <c r="L159" s="9" t="n">
        <f aca="false">J159*K159</f>
        <v>8550</v>
      </c>
    </row>
    <row r="160" customFormat="false" ht="25.35" hidden="false" customHeight="false" outlineLevel="0" collapsed="false">
      <c r="A160" s="5" t="s">
        <v>332</v>
      </c>
      <c r="B160" s="6" t="s">
        <v>333</v>
      </c>
      <c r="C160" s="5" t="s">
        <v>51</v>
      </c>
      <c r="D160" s="7"/>
      <c r="E160" s="7"/>
      <c r="F160" s="7"/>
      <c r="G160" s="7"/>
      <c r="H160" s="7" t="n">
        <v>6</v>
      </c>
      <c r="I160" s="7"/>
      <c r="J160" s="8" t="n">
        <f aca="false">SUM(D160:I160)</f>
        <v>6</v>
      </c>
      <c r="K160" s="9" t="n">
        <v>855</v>
      </c>
      <c r="L160" s="9" t="n">
        <f aca="false">J160*K160</f>
        <v>5130</v>
      </c>
    </row>
    <row r="161" customFormat="false" ht="25.35" hidden="false" customHeight="false" outlineLevel="0" collapsed="false">
      <c r="A161" s="5" t="s">
        <v>334</v>
      </c>
      <c r="B161" s="6" t="s">
        <v>335</v>
      </c>
      <c r="C161" s="5" t="s">
        <v>51</v>
      </c>
      <c r="D161" s="7"/>
      <c r="E161" s="7"/>
      <c r="F161" s="7"/>
      <c r="G161" s="7"/>
      <c r="H161" s="7" t="n">
        <v>1</v>
      </c>
      <c r="I161" s="7"/>
      <c r="J161" s="8" t="n">
        <f aca="false">SUM(D161:I161)</f>
        <v>1</v>
      </c>
      <c r="K161" s="9" t="n">
        <v>850</v>
      </c>
      <c r="L161" s="9" t="n">
        <f aca="false">J161*K161</f>
        <v>850</v>
      </c>
    </row>
    <row r="162" customFormat="false" ht="25.35" hidden="false" customHeight="false" outlineLevel="0" collapsed="false">
      <c r="A162" s="5" t="s">
        <v>336</v>
      </c>
      <c r="B162" s="6" t="s">
        <v>337</v>
      </c>
      <c r="C162" s="5" t="s">
        <v>51</v>
      </c>
      <c r="D162" s="7"/>
      <c r="E162" s="7"/>
      <c r="F162" s="7"/>
      <c r="G162" s="7"/>
      <c r="H162" s="7" t="n">
        <v>1</v>
      </c>
      <c r="I162" s="7"/>
      <c r="J162" s="8" t="n">
        <f aca="false">SUM(D162:I162)</f>
        <v>1</v>
      </c>
      <c r="K162" s="9" t="n">
        <v>1190</v>
      </c>
      <c r="L162" s="9" t="n">
        <f aca="false">J162*K162</f>
        <v>1190</v>
      </c>
    </row>
    <row r="163" customFormat="false" ht="25.35" hidden="false" customHeight="false" outlineLevel="0" collapsed="false">
      <c r="A163" s="5" t="s">
        <v>338</v>
      </c>
      <c r="B163" s="6" t="s">
        <v>339</v>
      </c>
      <c r="C163" s="5" t="s">
        <v>51</v>
      </c>
      <c r="D163" s="7"/>
      <c r="E163" s="7"/>
      <c r="F163" s="7"/>
      <c r="G163" s="7"/>
      <c r="H163" s="7" t="n">
        <v>1</v>
      </c>
      <c r="I163" s="7"/>
      <c r="J163" s="8" t="n">
        <f aca="false">SUM(D163:I163)</f>
        <v>1</v>
      </c>
      <c r="K163" s="9" t="n">
        <v>1700</v>
      </c>
      <c r="L163" s="9" t="n">
        <f aca="false">J163*K163</f>
        <v>1700</v>
      </c>
    </row>
    <row r="164" customFormat="false" ht="25.35" hidden="false" customHeight="false" outlineLevel="0" collapsed="false">
      <c r="A164" s="5" t="s">
        <v>340</v>
      </c>
      <c r="B164" s="6" t="s">
        <v>341</v>
      </c>
      <c r="C164" s="5" t="s">
        <v>51</v>
      </c>
      <c r="D164" s="7"/>
      <c r="E164" s="7"/>
      <c r="F164" s="7"/>
      <c r="G164" s="7"/>
      <c r="H164" s="7" t="n">
        <v>3</v>
      </c>
      <c r="I164" s="7"/>
      <c r="J164" s="8" t="n">
        <f aca="false">SUM(D164:I164)</f>
        <v>3</v>
      </c>
      <c r="K164" s="9" t="n">
        <v>1870</v>
      </c>
      <c r="L164" s="9" t="n">
        <f aca="false">J164*K164</f>
        <v>5610</v>
      </c>
    </row>
    <row r="165" customFormat="false" ht="25.35" hidden="false" customHeight="false" outlineLevel="0" collapsed="false">
      <c r="A165" s="5" t="s">
        <v>342</v>
      </c>
      <c r="B165" s="6" t="s">
        <v>343</v>
      </c>
      <c r="C165" s="5" t="s">
        <v>51</v>
      </c>
      <c r="D165" s="7"/>
      <c r="E165" s="7"/>
      <c r="F165" s="7"/>
      <c r="G165" s="7"/>
      <c r="H165" s="7" t="n">
        <v>1</v>
      </c>
      <c r="I165" s="7"/>
      <c r="J165" s="8" t="n">
        <f aca="false">SUM(D165:I165)</f>
        <v>1</v>
      </c>
      <c r="K165" s="9" t="n">
        <v>2040</v>
      </c>
      <c r="L165" s="9" t="n">
        <f aca="false">J165*K165</f>
        <v>2040</v>
      </c>
    </row>
    <row r="166" customFormat="false" ht="25.35" hidden="false" customHeight="false" outlineLevel="0" collapsed="false">
      <c r="A166" s="5" t="s">
        <v>344</v>
      </c>
      <c r="B166" s="6" t="s">
        <v>345</v>
      </c>
      <c r="C166" s="5" t="s">
        <v>51</v>
      </c>
      <c r="D166" s="7"/>
      <c r="E166" s="7"/>
      <c r="F166" s="7"/>
      <c r="G166" s="7"/>
      <c r="H166" s="7" t="n">
        <v>1</v>
      </c>
      <c r="I166" s="7"/>
      <c r="J166" s="8" t="n">
        <f aca="false">SUM(D166:I166)</f>
        <v>1</v>
      </c>
      <c r="K166" s="9" t="n">
        <v>2210</v>
      </c>
      <c r="L166" s="9" t="n">
        <f aca="false">J166*K166</f>
        <v>2210</v>
      </c>
    </row>
    <row r="167" customFormat="false" ht="25.35" hidden="false" customHeight="false" outlineLevel="0" collapsed="false">
      <c r="A167" s="5" t="s">
        <v>346</v>
      </c>
      <c r="B167" s="6" t="s">
        <v>347</v>
      </c>
      <c r="C167" s="5" t="s">
        <v>51</v>
      </c>
      <c r="D167" s="7"/>
      <c r="E167" s="7"/>
      <c r="F167" s="7"/>
      <c r="G167" s="7"/>
      <c r="H167" s="7" t="n">
        <v>4</v>
      </c>
      <c r="I167" s="7"/>
      <c r="J167" s="8" t="n">
        <f aca="false">SUM(D167:I167)</f>
        <v>4</v>
      </c>
      <c r="K167" s="9" t="n">
        <v>2720</v>
      </c>
      <c r="L167" s="9" t="n">
        <f aca="false">J167*K167</f>
        <v>10880</v>
      </c>
    </row>
    <row r="168" customFormat="false" ht="25.35" hidden="false" customHeight="false" outlineLevel="0" collapsed="false">
      <c r="A168" s="5" t="s">
        <v>348</v>
      </c>
      <c r="B168" s="6" t="s">
        <v>349</v>
      </c>
      <c r="C168" s="5" t="s">
        <v>51</v>
      </c>
      <c r="D168" s="7"/>
      <c r="E168" s="7"/>
      <c r="F168" s="7"/>
      <c r="G168" s="7"/>
      <c r="H168" s="7" t="n">
        <v>2</v>
      </c>
      <c r="I168" s="7"/>
      <c r="J168" s="8" t="n">
        <f aca="false">SUM(D168:I168)</f>
        <v>2</v>
      </c>
      <c r="K168" s="9" t="n">
        <v>855</v>
      </c>
      <c r="L168" s="9" t="n">
        <f aca="false">J168*K168</f>
        <v>1710</v>
      </c>
    </row>
    <row r="169" customFormat="false" ht="25.35" hidden="false" customHeight="false" outlineLevel="0" collapsed="false">
      <c r="A169" s="5" t="s">
        <v>350</v>
      </c>
      <c r="B169" s="6" t="s">
        <v>351</v>
      </c>
      <c r="C169" s="5" t="s">
        <v>51</v>
      </c>
      <c r="D169" s="7"/>
      <c r="E169" s="7"/>
      <c r="F169" s="7"/>
      <c r="G169" s="7"/>
      <c r="H169" s="7" t="n">
        <v>14</v>
      </c>
      <c r="I169" s="7"/>
      <c r="J169" s="8" t="n">
        <f aca="false">SUM(D169:I169)</f>
        <v>14</v>
      </c>
      <c r="K169" s="9" t="n">
        <v>855</v>
      </c>
      <c r="L169" s="9" t="n">
        <f aca="false">J169*K169</f>
        <v>11970</v>
      </c>
    </row>
    <row r="170" customFormat="false" ht="25.35" hidden="false" customHeight="false" outlineLevel="0" collapsed="false">
      <c r="A170" s="5" t="s">
        <v>352</v>
      </c>
      <c r="B170" s="6" t="s">
        <v>353</v>
      </c>
      <c r="C170" s="5" t="s">
        <v>51</v>
      </c>
      <c r="D170" s="7"/>
      <c r="E170" s="7"/>
      <c r="F170" s="7"/>
      <c r="G170" s="7"/>
      <c r="H170" s="7" t="n">
        <v>12</v>
      </c>
      <c r="I170" s="7"/>
      <c r="J170" s="8" t="n">
        <f aca="false">SUM(D170:I170)</f>
        <v>12</v>
      </c>
      <c r="K170" s="9" t="n">
        <v>855</v>
      </c>
      <c r="L170" s="9" t="n">
        <f aca="false">J170*K170</f>
        <v>10260</v>
      </c>
    </row>
    <row r="171" customFormat="false" ht="25.35" hidden="false" customHeight="false" outlineLevel="0" collapsed="false">
      <c r="A171" s="5" t="s">
        <v>354</v>
      </c>
      <c r="B171" s="6" t="s">
        <v>355</v>
      </c>
      <c r="C171" s="5" t="s">
        <v>51</v>
      </c>
      <c r="D171" s="7"/>
      <c r="E171" s="7"/>
      <c r="F171" s="7"/>
      <c r="G171" s="7"/>
      <c r="H171" s="7" t="n">
        <v>1</v>
      </c>
      <c r="I171" s="7"/>
      <c r="J171" s="8" t="n">
        <f aca="false">SUM(D171:I171)</f>
        <v>1</v>
      </c>
      <c r="K171" s="9" t="n">
        <v>855</v>
      </c>
      <c r="L171" s="9" t="n">
        <f aca="false">J171*K171</f>
        <v>855</v>
      </c>
    </row>
    <row r="172" customFormat="false" ht="25.35" hidden="false" customHeight="false" outlineLevel="0" collapsed="false">
      <c r="A172" s="5" t="s">
        <v>356</v>
      </c>
      <c r="B172" s="6" t="s">
        <v>357</v>
      </c>
      <c r="C172" s="5" t="s">
        <v>51</v>
      </c>
      <c r="D172" s="7"/>
      <c r="E172" s="7"/>
      <c r="F172" s="7"/>
      <c r="G172" s="7"/>
      <c r="H172" s="7" t="n">
        <v>1</v>
      </c>
      <c r="I172" s="7"/>
      <c r="J172" s="8" t="n">
        <f aca="false">SUM(D172:I172)</f>
        <v>1</v>
      </c>
      <c r="K172" s="9" t="n">
        <v>855</v>
      </c>
      <c r="L172" s="9" t="n">
        <f aca="false">J172*K172</f>
        <v>855</v>
      </c>
    </row>
    <row r="173" customFormat="false" ht="25.35" hidden="false" customHeight="false" outlineLevel="0" collapsed="false">
      <c r="A173" s="5" t="s">
        <v>358</v>
      </c>
      <c r="B173" s="6" t="s">
        <v>359</v>
      </c>
      <c r="C173" s="5" t="s">
        <v>51</v>
      </c>
      <c r="D173" s="7"/>
      <c r="E173" s="7"/>
      <c r="F173" s="7"/>
      <c r="G173" s="7"/>
      <c r="H173" s="7" t="n">
        <v>3</v>
      </c>
      <c r="I173" s="7"/>
      <c r="J173" s="8" t="n">
        <f aca="false">SUM(D173:I173)</f>
        <v>3</v>
      </c>
      <c r="K173" s="9" t="n">
        <v>855</v>
      </c>
      <c r="L173" s="9" t="n">
        <f aca="false">J173*K173</f>
        <v>2565</v>
      </c>
    </row>
    <row r="174" customFormat="false" ht="25.35" hidden="false" customHeight="false" outlineLevel="0" collapsed="false">
      <c r="A174" s="5" t="s">
        <v>360</v>
      </c>
      <c r="B174" s="6" t="s">
        <v>361</v>
      </c>
      <c r="C174" s="5" t="s">
        <v>51</v>
      </c>
      <c r="D174" s="7"/>
      <c r="E174" s="7"/>
      <c r="F174" s="7"/>
      <c r="G174" s="7"/>
      <c r="H174" s="7" t="n">
        <v>1</v>
      </c>
      <c r="I174" s="7"/>
      <c r="J174" s="8" t="n">
        <f aca="false">SUM(D174:I174)</f>
        <v>1</v>
      </c>
      <c r="K174" s="9" t="n">
        <v>855</v>
      </c>
      <c r="L174" s="9" t="n">
        <f aca="false">J174*K174</f>
        <v>855</v>
      </c>
    </row>
    <row r="175" customFormat="false" ht="25.35" hidden="false" customHeight="false" outlineLevel="0" collapsed="false">
      <c r="A175" s="5" t="s">
        <v>362</v>
      </c>
      <c r="B175" s="6" t="s">
        <v>363</v>
      </c>
      <c r="C175" s="5" t="s">
        <v>51</v>
      </c>
      <c r="D175" s="7"/>
      <c r="E175" s="7"/>
      <c r="F175" s="7"/>
      <c r="G175" s="7"/>
      <c r="H175" s="7" t="n">
        <v>2</v>
      </c>
      <c r="I175" s="7"/>
      <c r="J175" s="8" t="n">
        <f aca="false">SUM(D175:I175)</f>
        <v>2</v>
      </c>
      <c r="K175" s="9" t="n">
        <v>855</v>
      </c>
      <c r="L175" s="9" t="n">
        <f aca="false">J175*K175</f>
        <v>1710</v>
      </c>
    </row>
    <row r="176" customFormat="false" ht="25.35" hidden="false" customHeight="false" outlineLevel="0" collapsed="false">
      <c r="A176" s="5" t="s">
        <v>364</v>
      </c>
      <c r="B176" s="6" t="s">
        <v>365</v>
      </c>
      <c r="C176" s="5" t="s">
        <v>51</v>
      </c>
      <c r="D176" s="7"/>
      <c r="E176" s="7"/>
      <c r="F176" s="7"/>
      <c r="G176" s="7"/>
      <c r="H176" s="7" t="n">
        <v>1</v>
      </c>
      <c r="I176" s="7"/>
      <c r="J176" s="8" t="n">
        <f aca="false">SUM(D176:I176)</f>
        <v>1</v>
      </c>
      <c r="K176" s="9" t="n">
        <v>855</v>
      </c>
      <c r="L176" s="9" t="n">
        <f aca="false">J176*K176</f>
        <v>855</v>
      </c>
    </row>
    <row r="177" customFormat="false" ht="25.35" hidden="false" customHeight="false" outlineLevel="0" collapsed="false">
      <c r="A177" s="5" t="s">
        <v>366</v>
      </c>
      <c r="B177" s="6" t="s">
        <v>367</v>
      </c>
      <c r="C177" s="5" t="s">
        <v>51</v>
      </c>
      <c r="D177" s="7"/>
      <c r="E177" s="7"/>
      <c r="F177" s="7"/>
      <c r="G177" s="7"/>
      <c r="H177" s="7" t="n">
        <v>1</v>
      </c>
      <c r="I177" s="7"/>
      <c r="J177" s="8" t="n">
        <f aca="false">SUM(D177:I177)</f>
        <v>1</v>
      </c>
      <c r="K177" s="9" t="n">
        <v>855</v>
      </c>
      <c r="L177" s="9" t="n">
        <f aca="false">J177*K177</f>
        <v>855</v>
      </c>
    </row>
    <row r="178" customFormat="false" ht="25.35" hidden="false" customHeight="false" outlineLevel="0" collapsed="false">
      <c r="A178" s="5" t="s">
        <v>368</v>
      </c>
      <c r="B178" s="6" t="s">
        <v>369</v>
      </c>
      <c r="C178" s="5" t="s">
        <v>51</v>
      </c>
      <c r="D178" s="7"/>
      <c r="E178" s="7"/>
      <c r="F178" s="7"/>
      <c r="G178" s="7"/>
      <c r="H178" s="7" t="n">
        <v>1</v>
      </c>
      <c r="I178" s="7"/>
      <c r="J178" s="8" t="n">
        <f aca="false">SUM(D178:I178)</f>
        <v>1</v>
      </c>
      <c r="K178" s="9" t="n">
        <v>855</v>
      </c>
      <c r="L178" s="9" t="n">
        <f aca="false">J178*K178</f>
        <v>855</v>
      </c>
    </row>
    <row r="179" customFormat="false" ht="25.35" hidden="false" customHeight="false" outlineLevel="0" collapsed="false">
      <c r="A179" s="5" t="s">
        <v>370</v>
      </c>
      <c r="B179" s="6" t="s">
        <v>371</v>
      </c>
      <c r="C179" s="5" t="s">
        <v>51</v>
      </c>
      <c r="D179" s="7"/>
      <c r="E179" s="7"/>
      <c r="F179" s="7"/>
      <c r="G179" s="7"/>
      <c r="H179" s="7" t="n">
        <v>1</v>
      </c>
      <c r="I179" s="7"/>
      <c r="J179" s="8" t="n">
        <f aca="false">SUM(D179:I179)</f>
        <v>1</v>
      </c>
      <c r="K179" s="9" t="n">
        <v>680</v>
      </c>
      <c r="L179" s="9" t="n">
        <f aca="false">J179*K179</f>
        <v>680</v>
      </c>
    </row>
    <row r="180" customFormat="false" ht="25.35" hidden="false" customHeight="false" outlineLevel="0" collapsed="false">
      <c r="A180" s="5" t="s">
        <v>372</v>
      </c>
      <c r="B180" s="6" t="s">
        <v>373</v>
      </c>
      <c r="C180" s="5" t="s">
        <v>51</v>
      </c>
      <c r="D180" s="7"/>
      <c r="E180" s="7"/>
      <c r="F180" s="7"/>
      <c r="G180" s="7"/>
      <c r="H180" s="7" t="n">
        <v>1</v>
      </c>
      <c r="I180" s="7"/>
      <c r="J180" s="8" t="n">
        <f aca="false">SUM(D180:I180)</f>
        <v>1</v>
      </c>
      <c r="K180" s="9" t="n">
        <v>680</v>
      </c>
      <c r="L180" s="9" t="n">
        <f aca="false">J180*K180</f>
        <v>680</v>
      </c>
    </row>
    <row r="181" customFormat="false" ht="25.35" hidden="false" customHeight="false" outlineLevel="0" collapsed="false">
      <c r="A181" s="5" t="s">
        <v>374</v>
      </c>
      <c r="B181" s="6" t="s">
        <v>375</v>
      </c>
      <c r="C181" s="5" t="s">
        <v>51</v>
      </c>
      <c r="D181" s="7"/>
      <c r="E181" s="7"/>
      <c r="F181" s="7"/>
      <c r="G181" s="7"/>
      <c r="H181" s="7" t="n">
        <v>1</v>
      </c>
      <c r="I181" s="7"/>
      <c r="J181" s="8" t="n">
        <f aca="false">SUM(D181:I181)</f>
        <v>1</v>
      </c>
      <c r="K181" s="9" t="n">
        <v>850</v>
      </c>
      <c r="L181" s="9" t="n">
        <f aca="false">J181*K181</f>
        <v>850</v>
      </c>
    </row>
    <row r="182" customFormat="false" ht="25.35" hidden="false" customHeight="false" outlineLevel="0" collapsed="false">
      <c r="A182" s="5" t="s">
        <v>376</v>
      </c>
      <c r="B182" s="6" t="s">
        <v>377</v>
      </c>
      <c r="C182" s="5" t="s">
        <v>51</v>
      </c>
      <c r="D182" s="7"/>
      <c r="E182" s="7"/>
      <c r="F182" s="7"/>
      <c r="G182" s="7"/>
      <c r="H182" s="7" t="n">
        <v>1</v>
      </c>
      <c r="I182" s="7"/>
      <c r="J182" s="8" t="n">
        <f aca="false">SUM(D182:I182)</f>
        <v>1</v>
      </c>
      <c r="K182" s="9" t="n">
        <v>850</v>
      </c>
      <c r="L182" s="9" t="n">
        <f aca="false">J182*K182</f>
        <v>850</v>
      </c>
    </row>
    <row r="183" customFormat="false" ht="25.35" hidden="false" customHeight="false" outlineLevel="0" collapsed="false">
      <c r="A183" s="5" t="s">
        <v>378</v>
      </c>
      <c r="B183" s="6" t="s">
        <v>379</v>
      </c>
      <c r="C183" s="5" t="s">
        <v>51</v>
      </c>
      <c r="D183" s="7"/>
      <c r="E183" s="7"/>
      <c r="F183" s="7"/>
      <c r="G183" s="7"/>
      <c r="H183" s="7" t="n">
        <v>1</v>
      </c>
      <c r="I183" s="7"/>
      <c r="J183" s="8" t="n">
        <f aca="false">SUM(D183:I183)</f>
        <v>1</v>
      </c>
      <c r="K183" s="9" t="n">
        <v>850</v>
      </c>
      <c r="L183" s="9" t="n">
        <f aca="false">J183*K183</f>
        <v>850</v>
      </c>
    </row>
    <row r="184" customFormat="false" ht="25.35" hidden="false" customHeight="false" outlineLevel="0" collapsed="false">
      <c r="A184" s="5" t="s">
        <v>380</v>
      </c>
      <c r="B184" s="6" t="s">
        <v>381</v>
      </c>
      <c r="C184" s="5" t="s">
        <v>51</v>
      </c>
      <c r="D184" s="7"/>
      <c r="E184" s="7"/>
      <c r="F184" s="7"/>
      <c r="G184" s="7"/>
      <c r="H184" s="7" t="n">
        <v>1</v>
      </c>
      <c r="I184" s="7"/>
      <c r="J184" s="8" t="n">
        <f aca="false">SUM(D184:I184)</f>
        <v>1</v>
      </c>
      <c r="K184" s="9" t="n">
        <v>850</v>
      </c>
      <c r="L184" s="9" t="n">
        <f aca="false">J184*K184</f>
        <v>850</v>
      </c>
    </row>
    <row r="185" customFormat="false" ht="25.35" hidden="false" customHeight="false" outlineLevel="0" collapsed="false">
      <c r="A185" s="5" t="s">
        <v>382</v>
      </c>
      <c r="B185" s="6" t="s">
        <v>383</v>
      </c>
      <c r="C185" s="5" t="s">
        <v>51</v>
      </c>
      <c r="D185" s="7"/>
      <c r="E185" s="7"/>
      <c r="F185" s="7"/>
      <c r="G185" s="7"/>
      <c r="H185" s="7" t="n">
        <v>1</v>
      </c>
      <c r="I185" s="7"/>
      <c r="J185" s="8" t="n">
        <f aca="false">SUM(D185:I185)</f>
        <v>1</v>
      </c>
      <c r="K185" s="9" t="n">
        <v>1020</v>
      </c>
      <c r="L185" s="9" t="n">
        <f aca="false">J185*K185</f>
        <v>1020</v>
      </c>
    </row>
    <row r="186" customFormat="false" ht="25.35" hidden="false" customHeight="false" outlineLevel="0" collapsed="false">
      <c r="A186" s="5" t="s">
        <v>384</v>
      </c>
      <c r="B186" s="6" t="s">
        <v>385</v>
      </c>
      <c r="C186" s="5" t="s">
        <v>51</v>
      </c>
      <c r="D186" s="7"/>
      <c r="E186" s="7"/>
      <c r="F186" s="7"/>
      <c r="G186" s="7"/>
      <c r="H186" s="7" t="n">
        <v>2</v>
      </c>
      <c r="I186" s="7"/>
      <c r="J186" s="8" t="n">
        <f aca="false">SUM(D186:I186)</f>
        <v>2</v>
      </c>
      <c r="K186" s="9" t="n">
        <v>1020</v>
      </c>
      <c r="L186" s="9" t="n">
        <f aca="false">J186*K186</f>
        <v>2040</v>
      </c>
    </row>
    <row r="187" customFormat="false" ht="25.35" hidden="false" customHeight="false" outlineLevel="0" collapsed="false">
      <c r="A187" s="5" t="s">
        <v>386</v>
      </c>
      <c r="B187" s="6" t="s">
        <v>387</v>
      </c>
      <c r="C187" s="5" t="s">
        <v>51</v>
      </c>
      <c r="D187" s="7"/>
      <c r="E187" s="7"/>
      <c r="F187" s="7"/>
      <c r="G187" s="7"/>
      <c r="H187" s="7" t="n">
        <v>1</v>
      </c>
      <c r="I187" s="7"/>
      <c r="J187" s="8" t="n">
        <f aca="false">SUM(D187:I187)</f>
        <v>1</v>
      </c>
      <c r="K187" s="9" t="n">
        <v>1020</v>
      </c>
      <c r="L187" s="9" t="n">
        <f aca="false">J187*K187</f>
        <v>1020</v>
      </c>
    </row>
    <row r="188" customFormat="false" ht="15" hidden="false" customHeight="false" outlineLevel="0" collapsed="false">
      <c r="A188" s="5" t="s">
        <v>388</v>
      </c>
      <c r="B188" s="6" t="s">
        <v>389</v>
      </c>
      <c r="C188" s="5" t="s">
        <v>51</v>
      </c>
      <c r="D188" s="7"/>
      <c r="E188" s="7"/>
      <c r="F188" s="7"/>
      <c r="G188" s="7"/>
      <c r="H188" s="7" t="n">
        <v>4</v>
      </c>
      <c r="I188" s="7"/>
      <c r="J188" s="8" t="n">
        <f aca="false">SUM(D188:I188)</f>
        <v>4</v>
      </c>
      <c r="K188" s="9" t="n">
        <v>630</v>
      </c>
      <c r="L188" s="9" t="n">
        <f aca="false">J188*K188</f>
        <v>2520</v>
      </c>
    </row>
    <row r="189" customFormat="false" ht="15" hidden="false" customHeight="false" outlineLevel="0" collapsed="false">
      <c r="A189" s="5" t="s">
        <v>390</v>
      </c>
      <c r="B189" s="6" t="s">
        <v>391</v>
      </c>
      <c r="C189" s="5" t="s">
        <v>51</v>
      </c>
      <c r="D189" s="7"/>
      <c r="E189" s="7"/>
      <c r="F189" s="7"/>
      <c r="G189" s="7"/>
      <c r="H189" s="7" t="n">
        <v>3</v>
      </c>
      <c r="I189" s="7"/>
      <c r="J189" s="8" t="n">
        <f aca="false">SUM(D189:I189)</f>
        <v>3</v>
      </c>
      <c r="K189" s="9" t="n">
        <v>630</v>
      </c>
      <c r="L189" s="9" t="n">
        <f aca="false">J189*K189</f>
        <v>1890</v>
      </c>
    </row>
    <row r="190" customFormat="false" ht="15" hidden="false" customHeight="false" outlineLevel="0" collapsed="false">
      <c r="A190" s="5" t="s">
        <v>392</v>
      </c>
      <c r="B190" s="6" t="s">
        <v>393</v>
      </c>
      <c r="C190" s="5" t="s">
        <v>51</v>
      </c>
      <c r="D190" s="7"/>
      <c r="E190" s="7"/>
      <c r="F190" s="7"/>
      <c r="G190" s="7"/>
      <c r="H190" s="7" t="n">
        <v>17</v>
      </c>
      <c r="I190" s="7"/>
      <c r="J190" s="8" t="n">
        <f aca="false">SUM(D190:I190)</f>
        <v>17</v>
      </c>
      <c r="K190" s="9" t="n">
        <v>630</v>
      </c>
      <c r="L190" s="9" t="n">
        <f aca="false">J190*K190</f>
        <v>10710</v>
      </c>
    </row>
    <row r="191" customFormat="false" ht="15" hidden="false" customHeight="false" outlineLevel="0" collapsed="false">
      <c r="A191" s="5" t="s">
        <v>394</v>
      </c>
      <c r="B191" s="6" t="s">
        <v>395</v>
      </c>
      <c r="C191" s="5" t="s">
        <v>51</v>
      </c>
      <c r="D191" s="7"/>
      <c r="E191" s="7"/>
      <c r="F191" s="7"/>
      <c r="G191" s="7"/>
      <c r="H191" s="7" t="n">
        <v>12</v>
      </c>
      <c r="I191" s="7"/>
      <c r="J191" s="8" t="n">
        <f aca="false">SUM(D191:I191)</f>
        <v>12</v>
      </c>
      <c r="K191" s="9" t="n">
        <v>630</v>
      </c>
      <c r="L191" s="9" t="n">
        <f aca="false">J191*K191</f>
        <v>7560</v>
      </c>
    </row>
    <row r="192" customFormat="false" ht="15" hidden="false" customHeight="false" outlineLevel="0" collapsed="false">
      <c r="A192" s="5" t="s">
        <v>396</v>
      </c>
      <c r="B192" s="6" t="s">
        <v>397</v>
      </c>
      <c r="C192" s="5" t="s">
        <v>51</v>
      </c>
      <c r="D192" s="7"/>
      <c r="E192" s="7"/>
      <c r="F192" s="7"/>
      <c r="G192" s="7"/>
      <c r="H192" s="7" t="n">
        <v>30</v>
      </c>
      <c r="I192" s="7"/>
      <c r="J192" s="8" t="n">
        <f aca="false">SUM(D192:I192)</f>
        <v>30</v>
      </c>
      <c r="K192" s="9" t="n">
        <v>450</v>
      </c>
      <c r="L192" s="9" t="n">
        <f aca="false">J192*K192</f>
        <v>13500</v>
      </c>
    </row>
    <row r="193" customFormat="false" ht="15" hidden="false" customHeight="false" outlineLevel="0" collapsed="false">
      <c r="A193" s="5" t="s">
        <v>398</v>
      </c>
      <c r="B193" s="6" t="s">
        <v>399</v>
      </c>
      <c r="C193" s="5" t="s">
        <v>51</v>
      </c>
      <c r="D193" s="7"/>
      <c r="E193" s="7"/>
      <c r="F193" s="7"/>
      <c r="G193" s="7"/>
      <c r="H193" s="7" t="n">
        <v>80</v>
      </c>
      <c r="I193" s="7"/>
      <c r="J193" s="8" t="n">
        <f aca="false">SUM(D193:I193)</f>
        <v>80</v>
      </c>
      <c r="K193" s="9" t="n">
        <v>665</v>
      </c>
      <c r="L193" s="9" t="n">
        <f aca="false">J193*K193</f>
        <v>53200</v>
      </c>
    </row>
    <row r="194" customFormat="false" ht="15" hidden="false" customHeight="false" outlineLevel="0" collapsed="false">
      <c r="A194" s="5" t="s">
        <v>400</v>
      </c>
      <c r="B194" s="6" t="s">
        <v>401</v>
      </c>
      <c r="C194" s="5" t="s">
        <v>84</v>
      </c>
      <c r="D194" s="7"/>
      <c r="E194" s="7"/>
      <c r="F194" s="7"/>
      <c r="G194" s="7"/>
      <c r="H194" s="7" t="n">
        <v>120</v>
      </c>
      <c r="I194" s="7"/>
      <c r="J194" s="8" t="n">
        <f aca="false">SUM(D194:I194)</f>
        <v>120</v>
      </c>
      <c r="K194" s="9" t="n">
        <v>665</v>
      </c>
      <c r="L194" s="9" t="n">
        <f aca="false">J194*K194</f>
        <v>79800</v>
      </c>
    </row>
    <row r="195" customFormat="false" ht="15" hidden="false" customHeight="false" outlineLevel="0" collapsed="false">
      <c r="A195" s="5" t="s">
        <v>402</v>
      </c>
      <c r="B195" s="6" t="s">
        <v>403</v>
      </c>
      <c r="C195" s="5" t="s">
        <v>197</v>
      </c>
      <c r="D195" s="7"/>
      <c r="E195" s="7"/>
      <c r="F195" s="7"/>
      <c r="G195" s="7"/>
      <c r="H195" s="7" t="n">
        <v>81</v>
      </c>
      <c r="I195" s="7"/>
      <c r="J195" s="8" t="n">
        <f aca="false">SUM(D195:I195)</f>
        <v>81</v>
      </c>
      <c r="K195" s="9" t="n">
        <v>665</v>
      </c>
      <c r="L195" s="9" t="n">
        <f aca="false">J195*K195</f>
        <v>53865</v>
      </c>
    </row>
    <row r="196" customFormat="false" ht="15" hidden="false" customHeight="false" outlineLevel="0" collapsed="false">
      <c r="A196" s="5" t="s">
        <v>404</v>
      </c>
      <c r="B196" s="6" t="s">
        <v>405</v>
      </c>
      <c r="C196" s="5" t="s">
        <v>192</v>
      </c>
      <c r="D196" s="7"/>
      <c r="E196" s="7"/>
      <c r="F196" s="7"/>
      <c r="G196" s="7"/>
      <c r="H196" s="7" t="n">
        <v>1</v>
      </c>
      <c r="I196" s="7"/>
      <c r="J196" s="8" t="n">
        <f aca="false">SUM(D196:I196)</f>
        <v>1</v>
      </c>
      <c r="K196" s="9" t="n">
        <v>95000</v>
      </c>
      <c r="L196" s="9" t="n">
        <f aca="false">J196*K196</f>
        <v>95000</v>
      </c>
    </row>
    <row r="197" customFormat="false" ht="15" hidden="false" customHeight="false" outlineLevel="0" collapsed="false">
      <c r="A197" s="3" t="s">
        <v>406</v>
      </c>
      <c r="B197" s="3" t="s">
        <v>407</v>
      </c>
      <c r="C197" s="3"/>
      <c r="D197" s="3"/>
      <c r="E197" s="3"/>
      <c r="F197" s="3"/>
      <c r="G197" s="3"/>
      <c r="H197" s="3"/>
      <c r="I197" s="3"/>
      <c r="J197" s="3"/>
      <c r="K197" s="3"/>
      <c r="L197" s="4" t="n">
        <f aca="false">SUM(L198:L233)</f>
        <v>1239486</v>
      </c>
    </row>
    <row r="198" customFormat="false" ht="15" hidden="false" customHeight="false" outlineLevel="0" collapsed="false">
      <c r="A198" s="5" t="s">
        <v>408</v>
      </c>
      <c r="B198" s="6" t="s">
        <v>409</v>
      </c>
      <c r="C198" s="5" t="s">
        <v>51</v>
      </c>
      <c r="D198" s="7"/>
      <c r="E198" s="7"/>
      <c r="F198" s="7"/>
      <c r="G198" s="7"/>
      <c r="H198" s="7" t="n">
        <v>10</v>
      </c>
      <c r="I198" s="7"/>
      <c r="J198" s="8" t="n">
        <f aca="false">SUM(D198:I198)</f>
        <v>10</v>
      </c>
      <c r="K198" s="9" t="n">
        <v>18200</v>
      </c>
      <c r="L198" s="9" t="n">
        <f aca="false">J198*K198</f>
        <v>182000</v>
      </c>
    </row>
    <row r="199" customFormat="false" ht="15" hidden="false" customHeight="false" outlineLevel="0" collapsed="false">
      <c r="A199" s="5" t="s">
        <v>410</v>
      </c>
      <c r="B199" s="6" t="s">
        <v>411</v>
      </c>
      <c r="C199" s="5" t="s">
        <v>51</v>
      </c>
      <c r="D199" s="7"/>
      <c r="E199" s="7"/>
      <c r="F199" s="7"/>
      <c r="G199" s="7"/>
      <c r="H199" s="7" t="n">
        <v>3</v>
      </c>
      <c r="I199" s="7"/>
      <c r="J199" s="8" t="n">
        <f aca="false">SUM(D199:I199)</f>
        <v>3</v>
      </c>
      <c r="K199" s="9" t="n">
        <v>1296</v>
      </c>
      <c r="L199" s="9" t="n">
        <f aca="false">J199*K199</f>
        <v>3888</v>
      </c>
    </row>
    <row r="200" customFormat="false" ht="15" hidden="false" customHeight="false" outlineLevel="0" collapsed="false">
      <c r="A200" s="5" t="s">
        <v>412</v>
      </c>
      <c r="B200" s="6" t="s">
        <v>413</v>
      </c>
      <c r="C200" s="5" t="s">
        <v>51</v>
      </c>
      <c r="D200" s="7"/>
      <c r="E200" s="7"/>
      <c r="F200" s="7"/>
      <c r="G200" s="7"/>
      <c r="H200" s="7" t="n">
        <v>3</v>
      </c>
      <c r="I200" s="7"/>
      <c r="J200" s="8" t="n">
        <f aca="false">SUM(D200:I200)</f>
        <v>3</v>
      </c>
      <c r="K200" s="9" t="n">
        <v>500</v>
      </c>
      <c r="L200" s="9" t="n">
        <f aca="false">J200*K200</f>
        <v>1500</v>
      </c>
    </row>
    <row r="201" customFormat="false" ht="15" hidden="false" customHeight="false" outlineLevel="0" collapsed="false">
      <c r="A201" s="5" t="s">
        <v>414</v>
      </c>
      <c r="B201" s="6" t="s">
        <v>415</v>
      </c>
      <c r="C201" s="5" t="s">
        <v>51</v>
      </c>
      <c r="D201" s="7"/>
      <c r="E201" s="7"/>
      <c r="F201" s="7"/>
      <c r="G201" s="7"/>
      <c r="H201" s="7" t="n">
        <v>31</v>
      </c>
      <c r="I201" s="7"/>
      <c r="J201" s="8" t="n">
        <f aca="false">SUM(D201:I201)</f>
        <v>31</v>
      </c>
      <c r="K201" s="9" t="n">
        <v>1944</v>
      </c>
      <c r="L201" s="9" t="n">
        <f aca="false">J201*K201</f>
        <v>60264</v>
      </c>
    </row>
    <row r="202" customFormat="false" ht="15" hidden="false" customHeight="false" outlineLevel="0" collapsed="false">
      <c r="A202" s="5" t="s">
        <v>416</v>
      </c>
      <c r="B202" s="6" t="s">
        <v>417</v>
      </c>
      <c r="C202" s="5" t="s">
        <v>51</v>
      </c>
      <c r="D202" s="7"/>
      <c r="E202" s="7"/>
      <c r="F202" s="7"/>
      <c r="G202" s="7"/>
      <c r="H202" s="7" t="n">
        <v>31</v>
      </c>
      <c r="I202" s="7"/>
      <c r="J202" s="8" t="n">
        <f aca="false">SUM(D202:I202)</f>
        <v>31</v>
      </c>
      <c r="K202" s="9" t="n">
        <v>1944</v>
      </c>
      <c r="L202" s="9" t="n">
        <f aca="false">J202*K202</f>
        <v>60264</v>
      </c>
    </row>
    <row r="203" customFormat="false" ht="15" hidden="false" customHeight="false" outlineLevel="0" collapsed="false">
      <c r="A203" s="5" t="s">
        <v>418</v>
      </c>
      <c r="B203" s="6" t="s">
        <v>419</v>
      </c>
      <c r="C203" s="5" t="s">
        <v>51</v>
      </c>
      <c r="D203" s="7"/>
      <c r="E203" s="7"/>
      <c r="F203" s="7"/>
      <c r="G203" s="7"/>
      <c r="H203" s="7" t="n">
        <v>62</v>
      </c>
      <c r="I203" s="7"/>
      <c r="J203" s="8" t="n">
        <f aca="false">SUM(D203:I203)</f>
        <v>62</v>
      </c>
      <c r="K203" s="9" t="n">
        <v>1296</v>
      </c>
      <c r="L203" s="9" t="n">
        <f aca="false">J203*K203</f>
        <v>80352</v>
      </c>
    </row>
    <row r="204" customFormat="false" ht="15" hidden="false" customHeight="false" outlineLevel="0" collapsed="false">
      <c r="A204" s="5" t="s">
        <v>420</v>
      </c>
      <c r="B204" s="6" t="s">
        <v>421</v>
      </c>
      <c r="C204" s="5" t="s">
        <v>51</v>
      </c>
      <c r="D204" s="7"/>
      <c r="E204" s="7"/>
      <c r="F204" s="7"/>
      <c r="G204" s="7"/>
      <c r="H204" s="7" t="n">
        <v>31</v>
      </c>
      <c r="I204" s="7"/>
      <c r="J204" s="8" t="n">
        <f aca="false">SUM(D204:I204)</f>
        <v>31</v>
      </c>
      <c r="K204" s="9" t="n">
        <v>1296</v>
      </c>
      <c r="L204" s="9" t="n">
        <f aca="false">J204*K204</f>
        <v>40176</v>
      </c>
    </row>
    <row r="205" customFormat="false" ht="15" hidden="false" customHeight="false" outlineLevel="0" collapsed="false">
      <c r="A205" s="5" t="s">
        <v>422</v>
      </c>
      <c r="B205" s="6" t="s">
        <v>423</v>
      </c>
      <c r="C205" s="5" t="s">
        <v>51</v>
      </c>
      <c r="D205" s="7"/>
      <c r="E205" s="7"/>
      <c r="F205" s="7"/>
      <c r="G205" s="7"/>
      <c r="H205" s="7" t="n">
        <v>62</v>
      </c>
      <c r="I205" s="7"/>
      <c r="J205" s="8" t="n">
        <f aca="false">SUM(D205:I205)</f>
        <v>62</v>
      </c>
      <c r="K205" s="9" t="n">
        <v>700</v>
      </c>
      <c r="L205" s="9" t="n">
        <f aca="false">J205*K205</f>
        <v>43400</v>
      </c>
    </row>
    <row r="206" customFormat="false" ht="15" hidden="false" customHeight="false" outlineLevel="0" collapsed="false">
      <c r="A206" s="5" t="s">
        <v>424</v>
      </c>
      <c r="B206" s="6" t="s">
        <v>425</v>
      </c>
      <c r="C206" s="5" t="s">
        <v>51</v>
      </c>
      <c r="D206" s="7"/>
      <c r="E206" s="7"/>
      <c r="F206" s="7"/>
      <c r="G206" s="7"/>
      <c r="H206" s="7" t="n">
        <v>62</v>
      </c>
      <c r="I206" s="7"/>
      <c r="J206" s="8" t="n">
        <f aca="false">SUM(D206:I206)</f>
        <v>62</v>
      </c>
      <c r="K206" s="9" t="n">
        <v>700</v>
      </c>
      <c r="L206" s="9" t="n">
        <f aca="false">J206*K206</f>
        <v>43400</v>
      </c>
    </row>
    <row r="207" customFormat="false" ht="15" hidden="false" customHeight="false" outlineLevel="0" collapsed="false">
      <c r="A207" s="5" t="s">
        <v>426</v>
      </c>
      <c r="B207" s="6" t="s">
        <v>427</v>
      </c>
      <c r="C207" s="5" t="s">
        <v>51</v>
      </c>
      <c r="D207" s="7"/>
      <c r="E207" s="7"/>
      <c r="F207" s="7"/>
      <c r="G207" s="7"/>
      <c r="H207" s="7" t="n">
        <v>62</v>
      </c>
      <c r="I207" s="7"/>
      <c r="J207" s="8" t="n">
        <f aca="false">SUM(D207:I207)</f>
        <v>62</v>
      </c>
      <c r="K207" s="9" t="n">
        <v>700</v>
      </c>
      <c r="L207" s="9" t="n">
        <f aca="false">J207*K207</f>
        <v>43400</v>
      </c>
    </row>
    <row r="208" customFormat="false" ht="15" hidden="false" customHeight="false" outlineLevel="0" collapsed="false">
      <c r="A208" s="5" t="s">
        <v>428</v>
      </c>
      <c r="B208" s="6" t="s">
        <v>429</v>
      </c>
      <c r="C208" s="5" t="s">
        <v>51</v>
      </c>
      <c r="D208" s="7"/>
      <c r="E208" s="7"/>
      <c r="F208" s="7"/>
      <c r="G208" s="7"/>
      <c r="H208" s="7" t="n">
        <v>62</v>
      </c>
      <c r="I208" s="7"/>
      <c r="J208" s="8" t="n">
        <f aca="false">SUM(D208:I208)</f>
        <v>62</v>
      </c>
      <c r="K208" s="9" t="n">
        <v>700</v>
      </c>
      <c r="L208" s="9" t="n">
        <f aca="false">J208*K208</f>
        <v>43400</v>
      </c>
    </row>
    <row r="209" customFormat="false" ht="15" hidden="false" customHeight="false" outlineLevel="0" collapsed="false">
      <c r="A209" s="5" t="s">
        <v>430</v>
      </c>
      <c r="B209" s="6" t="s">
        <v>431</v>
      </c>
      <c r="C209" s="5" t="s">
        <v>51</v>
      </c>
      <c r="D209" s="7"/>
      <c r="E209" s="7"/>
      <c r="F209" s="7"/>
      <c r="G209" s="7"/>
      <c r="H209" s="7" t="n">
        <v>62</v>
      </c>
      <c r="I209" s="7"/>
      <c r="J209" s="8" t="n">
        <f aca="false">SUM(D209:I209)</f>
        <v>62</v>
      </c>
      <c r="K209" s="9" t="n">
        <v>700</v>
      </c>
      <c r="L209" s="9" t="n">
        <f aca="false">J209*K209</f>
        <v>43400</v>
      </c>
    </row>
    <row r="210" customFormat="false" ht="15" hidden="false" customHeight="false" outlineLevel="0" collapsed="false">
      <c r="A210" s="5" t="s">
        <v>432</v>
      </c>
      <c r="B210" s="6" t="s">
        <v>433</v>
      </c>
      <c r="C210" s="5" t="s">
        <v>51</v>
      </c>
      <c r="D210" s="7"/>
      <c r="E210" s="7"/>
      <c r="F210" s="7"/>
      <c r="G210" s="7"/>
      <c r="H210" s="7" t="n">
        <v>62</v>
      </c>
      <c r="I210" s="7"/>
      <c r="J210" s="8" t="n">
        <f aca="false">SUM(D210:I210)</f>
        <v>62</v>
      </c>
      <c r="K210" s="9" t="n">
        <v>700</v>
      </c>
      <c r="L210" s="9" t="n">
        <f aca="false">J210*K210</f>
        <v>43400</v>
      </c>
    </row>
    <row r="211" customFormat="false" ht="15" hidden="false" customHeight="false" outlineLevel="0" collapsed="false">
      <c r="A211" s="5" t="s">
        <v>434</v>
      </c>
      <c r="B211" s="6" t="s">
        <v>435</v>
      </c>
      <c r="C211" s="5" t="s">
        <v>51</v>
      </c>
      <c r="D211" s="7"/>
      <c r="E211" s="7"/>
      <c r="F211" s="7"/>
      <c r="G211" s="7"/>
      <c r="H211" s="7" t="n">
        <v>10</v>
      </c>
      <c r="I211" s="7"/>
      <c r="J211" s="8" t="n">
        <f aca="false">SUM(D211:I211)</f>
        <v>10</v>
      </c>
      <c r="K211" s="9" t="n">
        <v>700</v>
      </c>
      <c r="L211" s="9" t="n">
        <f aca="false">J211*K211</f>
        <v>7000</v>
      </c>
    </row>
    <row r="212" customFormat="false" ht="15" hidden="false" customHeight="false" outlineLevel="0" collapsed="false">
      <c r="A212" s="5" t="s">
        <v>436</v>
      </c>
      <c r="B212" s="6" t="s">
        <v>437</v>
      </c>
      <c r="C212" s="5" t="s">
        <v>51</v>
      </c>
      <c r="D212" s="7"/>
      <c r="E212" s="7"/>
      <c r="F212" s="7"/>
      <c r="G212" s="7"/>
      <c r="H212" s="7" t="n">
        <v>10</v>
      </c>
      <c r="I212" s="7"/>
      <c r="J212" s="8" t="n">
        <f aca="false">SUM(D212:I212)</f>
        <v>10</v>
      </c>
      <c r="K212" s="9" t="n">
        <v>700</v>
      </c>
      <c r="L212" s="9" t="n">
        <f aca="false">J212*K212</f>
        <v>7000</v>
      </c>
    </row>
    <row r="213" customFormat="false" ht="15" hidden="false" customHeight="false" outlineLevel="0" collapsed="false">
      <c r="A213" s="5" t="s">
        <v>438</v>
      </c>
      <c r="B213" s="6" t="s">
        <v>439</v>
      </c>
      <c r="C213" s="5" t="s">
        <v>197</v>
      </c>
      <c r="D213" s="7"/>
      <c r="E213" s="7"/>
      <c r="F213" s="7"/>
      <c r="G213" s="7"/>
      <c r="H213" s="7" t="n">
        <v>90</v>
      </c>
      <c r="I213" s="7"/>
      <c r="J213" s="8" t="n">
        <f aca="false">SUM(D213:I213)</f>
        <v>90</v>
      </c>
      <c r="K213" s="9" t="n">
        <v>750</v>
      </c>
      <c r="L213" s="9" t="n">
        <f aca="false">J213*K213</f>
        <v>67500</v>
      </c>
    </row>
    <row r="214" customFormat="false" ht="15" hidden="false" customHeight="false" outlineLevel="0" collapsed="false">
      <c r="A214" s="5" t="s">
        <v>440</v>
      </c>
      <c r="B214" s="6" t="s">
        <v>441</v>
      </c>
      <c r="C214" s="5" t="s">
        <v>197</v>
      </c>
      <c r="D214" s="7"/>
      <c r="E214" s="7"/>
      <c r="F214" s="7"/>
      <c r="G214" s="7"/>
      <c r="H214" s="7" t="n">
        <v>35</v>
      </c>
      <c r="I214" s="7"/>
      <c r="J214" s="8" t="n">
        <f aca="false">SUM(D214:I214)</f>
        <v>35</v>
      </c>
      <c r="K214" s="9" t="n">
        <v>900</v>
      </c>
      <c r="L214" s="9" t="n">
        <f aca="false">J214*K214</f>
        <v>31500</v>
      </c>
    </row>
    <row r="215" customFormat="false" ht="15" hidden="false" customHeight="false" outlineLevel="0" collapsed="false">
      <c r="A215" s="5" t="s">
        <v>442</v>
      </c>
      <c r="B215" s="6" t="s">
        <v>443</v>
      </c>
      <c r="C215" s="5" t="s">
        <v>197</v>
      </c>
      <c r="D215" s="7"/>
      <c r="E215" s="7"/>
      <c r="F215" s="7"/>
      <c r="G215" s="7"/>
      <c r="H215" s="7" t="n">
        <v>40</v>
      </c>
      <c r="I215" s="7"/>
      <c r="J215" s="8" t="n">
        <f aca="false">SUM(D215:I215)</f>
        <v>40</v>
      </c>
      <c r="K215" s="9" t="n">
        <v>950</v>
      </c>
      <c r="L215" s="9" t="n">
        <f aca="false">J215*K215</f>
        <v>38000</v>
      </c>
    </row>
    <row r="216" customFormat="false" ht="15" hidden="false" customHeight="false" outlineLevel="0" collapsed="false">
      <c r="A216" s="5" t="s">
        <v>444</v>
      </c>
      <c r="B216" s="6" t="s">
        <v>445</v>
      </c>
      <c r="C216" s="5" t="s">
        <v>197</v>
      </c>
      <c r="D216" s="7"/>
      <c r="E216" s="7"/>
      <c r="F216" s="7"/>
      <c r="G216" s="7"/>
      <c r="H216" s="7" t="n">
        <v>90</v>
      </c>
      <c r="I216" s="7"/>
      <c r="J216" s="8" t="n">
        <f aca="false">SUM(D216:I216)</f>
        <v>90</v>
      </c>
      <c r="K216" s="9" t="n">
        <v>291.6</v>
      </c>
      <c r="L216" s="9" t="n">
        <f aca="false">J216*K216</f>
        <v>26244</v>
      </c>
    </row>
    <row r="217" customFormat="false" ht="15" hidden="false" customHeight="false" outlineLevel="0" collapsed="false">
      <c r="A217" s="5" t="s">
        <v>446</v>
      </c>
      <c r="B217" s="6" t="s">
        <v>447</v>
      </c>
      <c r="C217" s="5" t="s">
        <v>197</v>
      </c>
      <c r="D217" s="7"/>
      <c r="E217" s="7"/>
      <c r="F217" s="7"/>
      <c r="G217" s="7"/>
      <c r="H217" s="7" t="n">
        <v>35</v>
      </c>
      <c r="I217" s="7"/>
      <c r="J217" s="8" t="n">
        <f aca="false">SUM(D217:I217)</f>
        <v>35</v>
      </c>
      <c r="K217" s="9" t="n">
        <v>291.6</v>
      </c>
      <c r="L217" s="9" t="n">
        <f aca="false">J217*K217</f>
        <v>10206</v>
      </c>
    </row>
    <row r="218" customFormat="false" ht="15" hidden="false" customHeight="false" outlineLevel="0" collapsed="false">
      <c r="A218" s="5" t="s">
        <v>448</v>
      </c>
      <c r="B218" s="6" t="s">
        <v>449</v>
      </c>
      <c r="C218" s="5" t="s">
        <v>197</v>
      </c>
      <c r="D218" s="7"/>
      <c r="E218" s="7"/>
      <c r="F218" s="7"/>
      <c r="G218" s="7"/>
      <c r="H218" s="7" t="n">
        <v>40</v>
      </c>
      <c r="I218" s="7"/>
      <c r="J218" s="8" t="n">
        <f aca="false">SUM(D218:I218)</f>
        <v>40</v>
      </c>
      <c r="K218" s="9" t="n">
        <v>291.6</v>
      </c>
      <c r="L218" s="9" t="n">
        <f aca="false">J218*K218</f>
        <v>11664</v>
      </c>
    </row>
    <row r="219" customFormat="false" ht="15" hidden="false" customHeight="false" outlineLevel="0" collapsed="false">
      <c r="A219" s="5" t="s">
        <v>450</v>
      </c>
      <c r="B219" s="6" t="s">
        <v>451</v>
      </c>
      <c r="C219" s="5" t="s">
        <v>51</v>
      </c>
      <c r="D219" s="7"/>
      <c r="E219" s="7"/>
      <c r="F219" s="7"/>
      <c r="G219" s="7"/>
      <c r="H219" s="7" t="n">
        <v>20</v>
      </c>
      <c r="I219" s="7"/>
      <c r="J219" s="8" t="n">
        <f aca="false">SUM(D219:I219)</f>
        <v>20</v>
      </c>
      <c r="K219" s="9" t="n">
        <v>520</v>
      </c>
      <c r="L219" s="9" t="n">
        <f aca="false">J219*K219</f>
        <v>10400</v>
      </c>
    </row>
    <row r="220" customFormat="false" ht="15" hidden="false" customHeight="false" outlineLevel="0" collapsed="false">
      <c r="A220" s="5" t="s">
        <v>452</v>
      </c>
      <c r="B220" s="6" t="s">
        <v>453</v>
      </c>
      <c r="C220" s="5" t="s">
        <v>51</v>
      </c>
      <c r="D220" s="7"/>
      <c r="E220" s="7"/>
      <c r="F220" s="7"/>
      <c r="G220" s="7"/>
      <c r="H220" s="7" t="n">
        <v>2</v>
      </c>
      <c r="I220" s="7"/>
      <c r="J220" s="8" t="n">
        <f aca="false">SUM(D220:I220)</f>
        <v>2</v>
      </c>
      <c r="K220" s="9" t="n">
        <v>520</v>
      </c>
      <c r="L220" s="9" t="n">
        <f aca="false">J220*K220</f>
        <v>1040</v>
      </c>
    </row>
    <row r="221" customFormat="false" ht="15" hidden="false" customHeight="false" outlineLevel="0" collapsed="false">
      <c r="A221" s="5" t="s">
        <v>454</v>
      </c>
      <c r="B221" s="6" t="s">
        <v>455</v>
      </c>
      <c r="C221" s="5" t="s">
        <v>51</v>
      </c>
      <c r="D221" s="7"/>
      <c r="E221" s="7"/>
      <c r="F221" s="7"/>
      <c r="G221" s="7"/>
      <c r="H221" s="7" t="n">
        <v>3</v>
      </c>
      <c r="I221" s="7"/>
      <c r="J221" s="8" t="n">
        <f aca="false">SUM(D221:I221)</f>
        <v>3</v>
      </c>
      <c r="K221" s="9" t="n">
        <v>520</v>
      </c>
      <c r="L221" s="9" t="n">
        <f aca="false">J221*K221</f>
        <v>1560</v>
      </c>
    </row>
    <row r="222" customFormat="false" ht="15" hidden="false" customHeight="false" outlineLevel="0" collapsed="false">
      <c r="A222" s="5" t="s">
        <v>456</v>
      </c>
      <c r="B222" s="6" t="s">
        <v>457</v>
      </c>
      <c r="C222" s="5" t="s">
        <v>51</v>
      </c>
      <c r="D222" s="7"/>
      <c r="E222" s="7"/>
      <c r="F222" s="7"/>
      <c r="G222" s="7"/>
      <c r="H222" s="7" t="n">
        <v>15</v>
      </c>
      <c r="I222" s="7"/>
      <c r="J222" s="8" t="n">
        <f aca="false">SUM(D222:I222)</f>
        <v>15</v>
      </c>
      <c r="K222" s="9" t="n">
        <v>520</v>
      </c>
      <c r="L222" s="9" t="n">
        <f aca="false">J222*K222</f>
        <v>7800</v>
      </c>
    </row>
    <row r="223" customFormat="false" ht="15" hidden="false" customHeight="false" outlineLevel="0" collapsed="false">
      <c r="A223" s="5" t="s">
        <v>458</v>
      </c>
      <c r="B223" s="6" t="s">
        <v>459</v>
      </c>
      <c r="C223" s="5" t="s">
        <v>51</v>
      </c>
      <c r="D223" s="7"/>
      <c r="E223" s="7"/>
      <c r="F223" s="7"/>
      <c r="G223" s="7"/>
      <c r="H223" s="7" t="n">
        <v>2</v>
      </c>
      <c r="I223" s="7"/>
      <c r="J223" s="8" t="n">
        <f aca="false">SUM(D223:I223)</f>
        <v>2</v>
      </c>
      <c r="K223" s="9" t="n">
        <v>520</v>
      </c>
      <c r="L223" s="9" t="n">
        <f aca="false">J223*K223</f>
        <v>1040</v>
      </c>
    </row>
    <row r="224" customFormat="false" ht="15" hidden="false" customHeight="false" outlineLevel="0" collapsed="false">
      <c r="A224" s="5" t="s">
        <v>460</v>
      </c>
      <c r="B224" s="6" t="s">
        <v>461</v>
      </c>
      <c r="C224" s="5" t="s">
        <v>51</v>
      </c>
      <c r="D224" s="7"/>
      <c r="E224" s="7"/>
      <c r="F224" s="7"/>
      <c r="G224" s="7"/>
      <c r="H224" s="7" t="n">
        <v>30</v>
      </c>
      <c r="I224" s="7"/>
      <c r="J224" s="8" t="n">
        <f aca="false">SUM(D224:I224)</f>
        <v>30</v>
      </c>
      <c r="K224" s="9" t="n">
        <v>520</v>
      </c>
      <c r="L224" s="9" t="n">
        <f aca="false">J224*K224</f>
        <v>15600</v>
      </c>
    </row>
    <row r="225" customFormat="false" ht="15" hidden="false" customHeight="false" outlineLevel="0" collapsed="false">
      <c r="A225" s="5" t="s">
        <v>462</v>
      </c>
      <c r="B225" s="6" t="s">
        <v>463</v>
      </c>
      <c r="C225" s="5" t="s">
        <v>51</v>
      </c>
      <c r="D225" s="7"/>
      <c r="E225" s="7"/>
      <c r="F225" s="7"/>
      <c r="G225" s="7"/>
      <c r="H225" s="7" t="n">
        <v>1</v>
      </c>
      <c r="I225" s="7"/>
      <c r="J225" s="8" t="n">
        <f aca="false">SUM(D225:I225)</f>
        <v>1</v>
      </c>
      <c r="K225" s="9" t="n">
        <v>520</v>
      </c>
      <c r="L225" s="9" t="n">
        <f aca="false">J225*K225</f>
        <v>520</v>
      </c>
    </row>
    <row r="226" customFormat="false" ht="15" hidden="false" customHeight="false" outlineLevel="0" collapsed="false">
      <c r="A226" s="5" t="s">
        <v>464</v>
      </c>
      <c r="B226" s="6" t="s">
        <v>465</v>
      </c>
      <c r="C226" s="5" t="s">
        <v>51</v>
      </c>
      <c r="D226" s="7"/>
      <c r="E226" s="7"/>
      <c r="F226" s="7"/>
      <c r="G226" s="7"/>
      <c r="H226" s="7" t="n">
        <v>6</v>
      </c>
      <c r="I226" s="7"/>
      <c r="J226" s="8" t="n">
        <f aca="false">SUM(D226:I226)</f>
        <v>6</v>
      </c>
      <c r="K226" s="9" t="n">
        <v>520</v>
      </c>
      <c r="L226" s="9" t="n">
        <f aca="false">J226*K226</f>
        <v>3120</v>
      </c>
    </row>
    <row r="227" customFormat="false" ht="15" hidden="false" customHeight="false" outlineLevel="0" collapsed="false">
      <c r="A227" s="5" t="s">
        <v>466</v>
      </c>
      <c r="B227" s="6" t="s">
        <v>467</v>
      </c>
      <c r="C227" s="5" t="s">
        <v>51</v>
      </c>
      <c r="D227" s="7"/>
      <c r="E227" s="7"/>
      <c r="F227" s="7"/>
      <c r="G227" s="7"/>
      <c r="H227" s="7" t="n">
        <v>2</v>
      </c>
      <c r="I227" s="7"/>
      <c r="J227" s="8" t="n">
        <f aca="false">SUM(D227:I227)</f>
        <v>2</v>
      </c>
      <c r="K227" s="9" t="n">
        <v>520</v>
      </c>
      <c r="L227" s="9" t="n">
        <f aca="false">J227*K227</f>
        <v>1040</v>
      </c>
    </row>
    <row r="228" customFormat="false" ht="15" hidden="false" customHeight="false" outlineLevel="0" collapsed="false">
      <c r="A228" s="5" t="s">
        <v>468</v>
      </c>
      <c r="B228" s="6" t="s">
        <v>469</v>
      </c>
      <c r="C228" s="5" t="s">
        <v>51</v>
      </c>
      <c r="D228" s="7"/>
      <c r="E228" s="7"/>
      <c r="F228" s="7"/>
      <c r="G228" s="7"/>
      <c r="H228" s="7" t="n">
        <v>75</v>
      </c>
      <c r="I228" s="7"/>
      <c r="J228" s="8" t="n">
        <f aca="false">SUM(D228:I228)</f>
        <v>75</v>
      </c>
      <c r="K228" s="9" t="n">
        <v>740</v>
      </c>
      <c r="L228" s="9" t="n">
        <f aca="false">J228*K228</f>
        <v>55500</v>
      </c>
    </row>
    <row r="229" customFormat="false" ht="15" hidden="false" customHeight="false" outlineLevel="0" collapsed="false">
      <c r="A229" s="5" t="s">
        <v>470</v>
      </c>
      <c r="B229" s="6" t="s">
        <v>471</v>
      </c>
      <c r="C229" s="5" t="s">
        <v>51</v>
      </c>
      <c r="D229" s="7"/>
      <c r="E229" s="7"/>
      <c r="F229" s="7"/>
      <c r="G229" s="7"/>
      <c r="H229" s="7" t="n">
        <v>8</v>
      </c>
      <c r="I229" s="7"/>
      <c r="J229" s="8" t="n">
        <f aca="false">SUM(D229:I229)</f>
        <v>8</v>
      </c>
      <c r="K229" s="9" t="n">
        <v>740</v>
      </c>
      <c r="L229" s="9" t="n">
        <f aca="false">J229*K229</f>
        <v>5920</v>
      </c>
    </row>
    <row r="230" customFormat="false" ht="15" hidden="false" customHeight="false" outlineLevel="0" collapsed="false">
      <c r="A230" s="5" t="s">
        <v>472</v>
      </c>
      <c r="B230" s="6" t="s">
        <v>473</v>
      </c>
      <c r="C230" s="5" t="s">
        <v>51</v>
      </c>
      <c r="D230" s="7"/>
      <c r="E230" s="7"/>
      <c r="F230" s="7"/>
      <c r="G230" s="7"/>
      <c r="H230" s="7" t="n">
        <v>75</v>
      </c>
      <c r="I230" s="7"/>
      <c r="J230" s="8" t="n">
        <f aca="false">SUM(D230:I230)</f>
        <v>75</v>
      </c>
      <c r="K230" s="9" t="n">
        <v>220</v>
      </c>
      <c r="L230" s="9" t="n">
        <f aca="false">J230*K230</f>
        <v>16500</v>
      </c>
    </row>
    <row r="231" customFormat="false" ht="15" hidden="false" customHeight="false" outlineLevel="0" collapsed="false">
      <c r="A231" s="5" t="s">
        <v>474</v>
      </c>
      <c r="B231" s="6" t="s">
        <v>475</v>
      </c>
      <c r="C231" s="5" t="s">
        <v>51</v>
      </c>
      <c r="D231" s="7"/>
      <c r="E231" s="7"/>
      <c r="F231" s="7"/>
      <c r="G231" s="7"/>
      <c r="H231" s="7" t="n">
        <v>8</v>
      </c>
      <c r="I231" s="7"/>
      <c r="J231" s="8" t="n">
        <f aca="false">SUM(D231:I231)</f>
        <v>8</v>
      </c>
      <c r="K231" s="9" t="n">
        <v>286</v>
      </c>
      <c r="L231" s="9" t="n">
        <f aca="false">J231*K231</f>
        <v>2288</v>
      </c>
    </row>
    <row r="232" customFormat="false" ht="15" hidden="false" customHeight="false" outlineLevel="0" collapsed="false">
      <c r="A232" s="5" t="s">
        <v>476</v>
      </c>
      <c r="B232" s="6" t="s">
        <v>477</v>
      </c>
      <c r="C232" s="5" t="s">
        <v>197</v>
      </c>
      <c r="D232" s="7"/>
      <c r="E232" s="7"/>
      <c r="F232" s="7"/>
      <c r="G232" s="7"/>
      <c r="H232" s="7" t="n">
        <v>100</v>
      </c>
      <c r="I232" s="7"/>
      <c r="J232" s="8" t="n">
        <f aca="false">SUM(D232:I232)</f>
        <v>100</v>
      </c>
      <c r="K232" s="9" t="n">
        <v>1092</v>
      </c>
      <c r="L232" s="9" t="n">
        <f aca="false">J232*K232</f>
        <v>109200</v>
      </c>
    </row>
    <row r="233" customFormat="false" ht="15" hidden="false" customHeight="false" outlineLevel="0" collapsed="false">
      <c r="A233" s="5" t="s">
        <v>478</v>
      </c>
      <c r="B233" s="6" t="s">
        <v>479</v>
      </c>
      <c r="C233" s="5" t="s">
        <v>192</v>
      </c>
      <c r="D233" s="7"/>
      <c r="E233" s="7"/>
      <c r="F233" s="7"/>
      <c r="G233" s="7"/>
      <c r="H233" s="7" t="n">
        <v>1</v>
      </c>
      <c r="I233" s="7"/>
      <c r="J233" s="8" t="n">
        <f aca="false">SUM(D233:I233)</f>
        <v>1</v>
      </c>
      <c r="K233" s="9" t="n">
        <v>120000</v>
      </c>
      <c r="L233" s="9" t="n">
        <f aca="false">J233*K233</f>
        <v>120000</v>
      </c>
    </row>
    <row r="234" customFormat="false" ht="15" hidden="false" customHeight="false" outlineLevel="0" collapsed="false">
      <c r="A234" s="3" t="s">
        <v>480</v>
      </c>
      <c r="B234" s="3" t="s">
        <v>481</v>
      </c>
      <c r="C234" s="3"/>
      <c r="D234" s="3"/>
      <c r="E234" s="3"/>
      <c r="F234" s="3"/>
      <c r="G234" s="3"/>
      <c r="H234" s="3"/>
      <c r="I234" s="3"/>
      <c r="J234" s="3"/>
      <c r="K234" s="3"/>
      <c r="L234" s="4" t="n">
        <f aca="false">SUM(L235:L329)</f>
        <v>1322520.78</v>
      </c>
    </row>
    <row r="235" customFormat="false" ht="15" hidden="false" customHeight="false" outlineLevel="0" collapsed="false">
      <c r="A235" s="5" t="s">
        <v>482</v>
      </c>
      <c r="B235" s="6" t="s">
        <v>239</v>
      </c>
      <c r="C235" s="5" t="s">
        <v>51</v>
      </c>
      <c r="D235" s="7"/>
      <c r="E235" s="7"/>
      <c r="F235" s="7"/>
      <c r="G235" s="7"/>
      <c r="H235" s="7"/>
      <c r="I235" s="7" t="n">
        <v>3</v>
      </c>
      <c r="J235" s="8" t="n">
        <f aca="false">SUM(D235:I235)</f>
        <v>3</v>
      </c>
      <c r="K235" s="9" t="n">
        <v>1296</v>
      </c>
      <c r="L235" s="9" t="n">
        <f aca="false">J235*K235</f>
        <v>3888</v>
      </c>
    </row>
    <row r="236" customFormat="false" ht="15" hidden="false" customHeight="false" outlineLevel="0" collapsed="false">
      <c r="A236" s="5" t="s">
        <v>483</v>
      </c>
      <c r="B236" s="6" t="s">
        <v>484</v>
      </c>
      <c r="C236" s="5" t="s">
        <v>51</v>
      </c>
      <c r="D236" s="7"/>
      <c r="E236" s="7"/>
      <c r="F236" s="7"/>
      <c r="G236" s="7"/>
      <c r="H236" s="7"/>
      <c r="I236" s="7" t="n">
        <v>1</v>
      </c>
      <c r="J236" s="8" t="n">
        <f aca="false">SUM(D236:I236)</f>
        <v>1</v>
      </c>
      <c r="K236" s="9" t="n">
        <v>1296</v>
      </c>
      <c r="L236" s="9" t="n">
        <f aca="false">J236*K236</f>
        <v>1296</v>
      </c>
    </row>
    <row r="237" customFormat="false" ht="15" hidden="false" customHeight="false" outlineLevel="0" collapsed="false">
      <c r="A237" s="5" t="s">
        <v>485</v>
      </c>
      <c r="B237" s="6" t="s">
        <v>486</v>
      </c>
      <c r="C237" s="5" t="s">
        <v>51</v>
      </c>
      <c r="D237" s="7"/>
      <c r="E237" s="7"/>
      <c r="F237" s="7"/>
      <c r="G237" s="7"/>
      <c r="H237" s="7"/>
      <c r="I237" s="7" t="n">
        <v>44</v>
      </c>
      <c r="J237" s="8" t="n">
        <f aca="false">SUM(D237:I237)</f>
        <v>44</v>
      </c>
      <c r="K237" s="9" t="n">
        <v>1296</v>
      </c>
      <c r="L237" s="9" t="n">
        <f aca="false">J237*K237</f>
        <v>57024</v>
      </c>
    </row>
    <row r="238" customFormat="false" ht="15" hidden="false" customHeight="false" outlineLevel="0" collapsed="false">
      <c r="A238" s="5" t="s">
        <v>487</v>
      </c>
      <c r="B238" s="6" t="s">
        <v>488</v>
      </c>
      <c r="C238" s="5" t="s">
        <v>51</v>
      </c>
      <c r="D238" s="7"/>
      <c r="E238" s="7"/>
      <c r="F238" s="7"/>
      <c r="G238" s="7"/>
      <c r="H238" s="7"/>
      <c r="I238" s="7" t="n">
        <v>8</v>
      </c>
      <c r="J238" s="8" t="n">
        <f aca="false">SUM(D238:I238)</f>
        <v>8</v>
      </c>
      <c r="K238" s="9" t="n">
        <v>600</v>
      </c>
      <c r="L238" s="9" t="n">
        <f aca="false">J238*K238</f>
        <v>4800</v>
      </c>
    </row>
    <row r="239" customFormat="false" ht="15" hidden="false" customHeight="false" outlineLevel="0" collapsed="false">
      <c r="A239" s="5" t="s">
        <v>489</v>
      </c>
      <c r="B239" s="6" t="s">
        <v>490</v>
      </c>
      <c r="C239" s="5" t="s">
        <v>51</v>
      </c>
      <c r="D239" s="7"/>
      <c r="E239" s="7"/>
      <c r="F239" s="7"/>
      <c r="G239" s="7"/>
      <c r="H239" s="7"/>
      <c r="I239" s="7" t="n">
        <v>9</v>
      </c>
      <c r="J239" s="8" t="n">
        <f aca="false">SUM(D239:I239)</f>
        <v>9</v>
      </c>
      <c r="K239" s="9" t="n">
        <v>600</v>
      </c>
      <c r="L239" s="9" t="n">
        <f aca="false">J239*K239</f>
        <v>5400</v>
      </c>
    </row>
    <row r="240" customFormat="false" ht="15" hidden="false" customHeight="false" outlineLevel="0" collapsed="false">
      <c r="A240" s="5" t="s">
        <v>491</v>
      </c>
      <c r="B240" s="6" t="s">
        <v>492</v>
      </c>
      <c r="C240" s="5" t="s">
        <v>51</v>
      </c>
      <c r="D240" s="7"/>
      <c r="E240" s="7"/>
      <c r="F240" s="7"/>
      <c r="G240" s="7"/>
      <c r="H240" s="7"/>
      <c r="I240" s="7" t="n">
        <v>2</v>
      </c>
      <c r="J240" s="8" t="n">
        <f aca="false">SUM(D240:I240)</f>
        <v>2</v>
      </c>
      <c r="K240" s="9" t="n">
        <v>600</v>
      </c>
      <c r="L240" s="9" t="n">
        <f aca="false">J240*K240</f>
        <v>1200</v>
      </c>
    </row>
    <row r="241" customFormat="false" ht="15" hidden="false" customHeight="false" outlineLevel="0" collapsed="false">
      <c r="A241" s="5" t="s">
        <v>493</v>
      </c>
      <c r="B241" s="6" t="s">
        <v>494</v>
      </c>
      <c r="C241" s="5" t="s">
        <v>51</v>
      </c>
      <c r="D241" s="7"/>
      <c r="E241" s="7"/>
      <c r="F241" s="7"/>
      <c r="G241" s="7"/>
      <c r="H241" s="7"/>
      <c r="I241" s="7" t="n">
        <v>4</v>
      </c>
      <c r="J241" s="8" t="n">
        <f aca="false">SUM(D241:I241)</f>
        <v>4</v>
      </c>
      <c r="K241" s="9" t="n">
        <v>600</v>
      </c>
      <c r="L241" s="9" t="n">
        <f aca="false">J241*K241</f>
        <v>2400</v>
      </c>
    </row>
    <row r="242" customFormat="false" ht="15" hidden="false" customHeight="false" outlineLevel="0" collapsed="false">
      <c r="A242" s="5" t="s">
        <v>495</v>
      </c>
      <c r="B242" s="6" t="s">
        <v>496</v>
      </c>
      <c r="C242" s="5" t="s">
        <v>51</v>
      </c>
      <c r="D242" s="7"/>
      <c r="E242" s="7"/>
      <c r="F242" s="7"/>
      <c r="G242" s="7"/>
      <c r="H242" s="7"/>
      <c r="I242" s="7" t="n">
        <v>11</v>
      </c>
      <c r="J242" s="8" t="n">
        <f aca="false">SUM(D242:I242)</f>
        <v>11</v>
      </c>
      <c r="K242" s="9" t="n">
        <v>950</v>
      </c>
      <c r="L242" s="9" t="n">
        <f aca="false">J242*K242</f>
        <v>10450</v>
      </c>
    </row>
    <row r="243" customFormat="false" ht="15" hidden="false" customHeight="false" outlineLevel="0" collapsed="false">
      <c r="A243" s="5" t="s">
        <v>497</v>
      </c>
      <c r="B243" s="6" t="s">
        <v>498</v>
      </c>
      <c r="C243" s="5" t="s">
        <v>51</v>
      </c>
      <c r="D243" s="7"/>
      <c r="E243" s="7"/>
      <c r="F243" s="7"/>
      <c r="G243" s="7"/>
      <c r="H243" s="7"/>
      <c r="I243" s="7" t="n">
        <v>3</v>
      </c>
      <c r="J243" s="8" t="n">
        <f aca="false">SUM(D243:I243)</f>
        <v>3</v>
      </c>
      <c r="K243" s="9" t="n">
        <v>950</v>
      </c>
      <c r="L243" s="9" t="n">
        <f aca="false">J243*K243</f>
        <v>2850</v>
      </c>
    </row>
    <row r="244" customFormat="false" ht="15" hidden="false" customHeight="false" outlineLevel="0" collapsed="false">
      <c r="A244" s="5" t="s">
        <v>499</v>
      </c>
      <c r="B244" s="6" t="s">
        <v>500</v>
      </c>
      <c r="C244" s="5" t="s">
        <v>51</v>
      </c>
      <c r="D244" s="7"/>
      <c r="E244" s="7"/>
      <c r="F244" s="7"/>
      <c r="G244" s="7"/>
      <c r="H244" s="7"/>
      <c r="I244" s="7" t="n">
        <v>2</v>
      </c>
      <c r="J244" s="8" t="n">
        <f aca="false">SUM(D244:I244)</f>
        <v>2</v>
      </c>
      <c r="K244" s="9" t="n">
        <v>950</v>
      </c>
      <c r="L244" s="9" t="n">
        <f aca="false">J244*K244</f>
        <v>1900</v>
      </c>
    </row>
    <row r="245" customFormat="false" ht="15" hidden="false" customHeight="false" outlineLevel="0" collapsed="false">
      <c r="A245" s="5" t="s">
        <v>501</v>
      </c>
      <c r="B245" s="6" t="s">
        <v>267</v>
      </c>
      <c r="C245" s="5" t="s">
        <v>197</v>
      </c>
      <c r="D245" s="7"/>
      <c r="E245" s="7"/>
      <c r="F245" s="7"/>
      <c r="G245" s="7"/>
      <c r="H245" s="7"/>
      <c r="I245" s="7" t="n">
        <v>8</v>
      </c>
      <c r="J245" s="8" t="n">
        <f aca="false">SUM(D245:I245)</f>
        <v>8</v>
      </c>
      <c r="K245" s="9" t="n">
        <v>760</v>
      </c>
      <c r="L245" s="9" t="n">
        <f aca="false">J245*K245</f>
        <v>6080</v>
      </c>
    </row>
    <row r="246" customFormat="false" ht="15" hidden="false" customHeight="false" outlineLevel="0" collapsed="false">
      <c r="A246" s="5" t="s">
        <v>502</v>
      </c>
      <c r="B246" s="6" t="s">
        <v>269</v>
      </c>
      <c r="C246" s="5" t="s">
        <v>197</v>
      </c>
      <c r="D246" s="7"/>
      <c r="E246" s="7"/>
      <c r="F246" s="7"/>
      <c r="G246" s="7"/>
      <c r="H246" s="7"/>
      <c r="I246" s="7" t="n">
        <v>3</v>
      </c>
      <c r="J246" s="8" t="n">
        <f aca="false">SUM(D246:I246)</f>
        <v>3</v>
      </c>
      <c r="K246" s="9" t="n">
        <v>760</v>
      </c>
      <c r="L246" s="9" t="n">
        <f aca="false">J246*K246</f>
        <v>2280</v>
      </c>
    </row>
    <row r="247" customFormat="false" ht="15" hidden="false" customHeight="false" outlineLevel="0" collapsed="false">
      <c r="A247" s="5" t="s">
        <v>503</v>
      </c>
      <c r="B247" s="6" t="s">
        <v>275</v>
      </c>
      <c r="C247" s="5" t="s">
        <v>197</v>
      </c>
      <c r="D247" s="7"/>
      <c r="E247" s="7"/>
      <c r="F247" s="7"/>
      <c r="G247" s="7"/>
      <c r="H247" s="7"/>
      <c r="I247" s="7" t="n">
        <v>4</v>
      </c>
      <c r="J247" s="8" t="n">
        <f aca="false">SUM(D247:I247)</f>
        <v>4</v>
      </c>
      <c r="K247" s="9" t="n">
        <v>760</v>
      </c>
      <c r="L247" s="9" t="n">
        <f aca="false">J247*K247</f>
        <v>3040</v>
      </c>
    </row>
    <row r="248" customFormat="false" ht="15" hidden="false" customHeight="false" outlineLevel="0" collapsed="false">
      <c r="A248" s="5" t="s">
        <v>504</v>
      </c>
      <c r="B248" s="6" t="s">
        <v>277</v>
      </c>
      <c r="C248" s="5" t="s">
        <v>197</v>
      </c>
      <c r="D248" s="7"/>
      <c r="E248" s="7"/>
      <c r="F248" s="7"/>
      <c r="G248" s="7"/>
      <c r="H248" s="7"/>
      <c r="I248" s="7" t="n">
        <v>7</v>
      </c>
      <c r="J248" s="8" t="n">
        <f aca="false">SUM(D248:I248)</f>
        <v>7</v>
      </c>
      <c r="K248" s="9" t="n">
        <v>760</v>
      </c>
      <c r="L248" s="9" t="n">
        <f aca="false">J248*K248</f>
        <v>5320</v>
      </c>
    </row>
    <row r="249" customFormat="false" ht="25.35" hidden="false" customHeight="false" outlineLevel="0" collapsed="false">
      <c r="A249" s="5" t="s">
        <v>505</v>
      </c>
      <c r="B249" s="6" t="s">
        <v>283</v>
      </c>
      <c r="C249" s="5" t="s">
        <v>197</v>
      </c>
      <c r="D249" s="7"/>
      <c r="E249" s="7"/>
      <c r="F249" s="7"/>
      <c r="G249" s="7"/>
      <c r="H249" s="7"/>
      <c r="I249" s="7" t="n">
        <v>36</v>
      </c>
      <c r="J249" s="8" t="n">
        <f aca="false">SUM(D249:I249)</f>
        <v>36</v>
      </c>
      <c r="K249" s="9" t="n">
        <v>950</v>
      </c>
      <c r="L249" s="9" t="n">
        <f aca="false">J249*K249</f>
        <v>34200</v>
      </c>
    </row>
    <row r="250" customFormat="false" ht="25.35" hidden="false" customHeight="false" outlineLevel="0" collapsed="false">
      <c r="A250" s="5" t="s">
        <v>506</v>
      </c>
      <c r="B250" s="6" t="s">
        <v>285</v>
      </c>
      <c r="C250" s="5" t="s">
        <v>197</v>
      </c>
      <c r="D250" s="7"/>
      <c r="E250" s="7"/>
      <c r="F250" s="7"/>
      <c r="G250" s="7"/>
      <c r="H250" s="7"/>
      <c r="I250" s="7" t="n">
        <v>30</v>
      </c>
      <c r="J250" s="8" t="n">
        <f aca="false">SUM(D250:I250)</f>
        <v>30</v>
      </c>
      <c r="K250" s="9" t="n">
        <v>689.79</v>
      </c>
      <c r="L250" s="9" t="n">
        <f aca="false">J250*K250</f>
        <v>20693.7</v>
      </c>
    </row>
    <row r="251" customFormat="false" ht="25.35" hidden="false" customHeight="false" outlineLevel="0" collapsed="false">
      <c r="A251" s="5" t="s">
        <v>507</v>
      </c>
      <c r="B251" s="6" t="s">
        <v>287</v>
      </c>
      <c r="C251" s="5" t="s">
        <v>197</v>
      </c>
      <c r="D251" s="7"/>
      <c r="E251" s="7"/>
      <c r="F251" s="7"/>
      <c r="G251" s="7"/>
      <c r="H251" s="7"/>
      <c r="I251" s="7" t="n">
        <v>3</v>
      </c>
      <c r="J251" s="8" t="n">
        <f aca="false">SUM(D251:I251)</f>
        <v>3</v>
      </c>
      <c r="K251" s="9" t="n">
        <v>862.23</v>
      </c>
      <c r="L251" s="9" t="n">
        <f aca="false">J251*K251</f>
        <v>2586.69</v>
      </c>
    </row>
    <row r="252" customFormat="false" ht="25.35" hidden="false" customHeight="false" outlineLevel="0" collapsed="false">
      <c r="A252" s="5" t="s">
        <v>508</v>
      </c>
      <c r="B252" s="6" t="s">
        <v>289</v>
      </c>
      <c r="C252" s="5" t="s">
        <v>197</v>
      </c>
      <c r="D252" s="7"/>
      <c r="E252" s="7"/>
      <c r="F252" s="7"/>
      <c r="G252" s="7"/>
      <c r="H252" s="7"/>
      <c r="I252" s="7" t="n">
        <v>55</v>
      </c>
      <c r="J252" s="8" t="n">
        <f aca="false">SUM(D252:I252)</f>
        <v>55</v>
      </c>
      <c r="K252" s="9" t="n">
        <v>862.23</v>
      </c>
      <c r="L252" s="9" t="n">
        <f aca="false">J252*K252</f>
        <v>47422.65</v>
      </c>
    </row>
    <row r="253" customFormat="false" ht="25.35" hidden="false" customHeight="false" outlineLevel="0" collapsed="false">
      <c r="A253" s="5" t="s">
        <v>509</v>
      </c>
      <c r="B253" s="6" t="s">
        <v>510</v>
      </c>
      <c r="C253" s="5" t="s">
        <v>197</v>
      </c>
      <c r="D253" s="7"/>
      <c r="E253" s="7"/>
      <c r="F253" s="7"/>
      <c r="G253" s="7"/>
      <c r="H253" s="7"/>
      <c r="I253" s="7" t="n">
        <v>6</v>
      </c>
      <c r="J253" s="8" t="n">
        <f aca="false">SUM(D253:I253)</f>
        <v>6</v>
      </c>
      <c r="K253" s="9" t="n">
        <v>1077.79</v>
      </c>
      <c r="L253" s="9" t="n">
        <f aca="false">J253*K253</f>
        <v>6466.74</v>
      </c>
    </row>
    <row r="254" customFormat="false" ht="25.35" hidden="false" customHeight="false" outlineLevel="0" collapsed="false">
      <c r="A254" s="5" t="s">
        <v>511</v>
      </c>
      <c r="B254" s="6" t="s">
        <v>291</v>
      </c>
      <c r="C254" s="5" t="s">
        <v>197</v>
      </c>
      <c r="D254" s="7"/>
      <c r="E254" s="7"/>
      <c r="F254" s="7"/>
      <c r="G254" s="7"/>
      <c r="H254" s="7"/>
      <c r="I254" s="7" t="n">
        <v>45</v>
      </c>
      <c r="J254" s="8" t="n">
        <f aca="false">SUM(D254:I254)</f>
        <v>45</v>
      </c>
      <c r="K254" s="9" t="n">
        <v>1620</v>
      </c>
      <c r="L254" s="9" t="n">
        <f aca="false">J254*K254</f>
        <v>72900</v>
      </c>
    </row>
    <row r="255" customFormat="false" ht="25.35" hidden="false" customHeight="false" outlineLevel="0" collapsed="false">
      <c r="A255" s="5" t="s">
        <v>512</v>
      </c>
      <c r="B255" s="6" t="s">
        <v>513</v>
      </c>
      <c r="C255" s="5" t="s">
        <v>197</v>
      </c>
      <c r="D255" s="7"/>
      <c r="E255" s="7"/>
      <c r="F255" s="7"/>
      <c r="G255" s="7"/>
      <c r="H255" s="7"/>
      <c r="I255" s="7" t="n">
        <v>11</v>
      </c>
      <c r="J255" s="8" t="n">
        <f aca="false">SUM(D255:I255)</f>
        <v>11</v>
      </c>
      <c r="K255" s="9" t="n">
        <v>1944</v>
      </c>
      <c r="L255" s="9" t="n">
        <f aca="false">J255*K255</f>
        <v>21384</v>
      </c>
    </row>
    <row r="256" customFormat="false" ht="25.35" hidden="false" customHeight="false" outlineLevel="0" collapsed="false">
      <c r="A256" s="5" t="s">
        <v>514</v>
      </c>
      <c r="B256" s="6" t="s">
        <v>293</v>
      </c>
      <c r="C256" s="5" t="s">
        <v>197</v>
      </c>
      <c r="D256" s="7"/>
      <c r="E256" s="7"/>
      <c r="F256" s="7"/>
      <c r="G256" s="7"/>
      <c r="H256" s="7"/>
      <c r="I256" s="7" t="n">
        <v>22</v>
      </c>
      <c r="J256" s="8" t="n">
        <f aca="false">SUM(D256:I256)</f>
        <v>22</v>
      </c>
      <c r="K256" s="9" t="n">
        <v>1944</v>
      </c>
      <c r="L256" s="9" t="n">
        <f aca="false">J256*K256</f>
        <v>42768</v>
      </c>
    </row>
    <row r="257" customFormat="false" ht="25.35" hidden="false" customHeight="false" outlineLevel="0" collapsed="false">
      <c r="A257" s="5" t="s">
        <v>515</v>
      </c>
      <c r="B257" s="6" t="s">
        <v>303</v>
      </c>
      <c r="C257" s="5" t="s">
        <v>197</v>
      </c>
      <c r="D257" s="7"/>
      <c r="E257" s="7"/>
      <c r="F257" s="7"/>
      <c r="G257" s="7"/>
      <c r="H257" s="7"/>
      <c r="I257" s="7" t="n">
        <v>28</v>
      </c>
      <c r="J257" s="8" t="n">
        <f aca="false">SUM(D257:I257)</f>
        <v>28</v>
      </c>
      <c r="K257" s="9" t="n">
        <v>2592</v>
      </c>
      <c r="L257" s="9" t="n">
        <f aca="false">J257*K257</f>
        <v>72576</v>
      </c>
    </row>
    <row r="258" customFormat="false" ht="25.35" hidden="false" customHeight="false" outlineLevel="0" collapsed="false">
      <c r="A258" s="5" t="s">
        <v>516</v>
      </c>
      <c r="B258" s="6" t="s">
        <v>517</v>
      </c>
      <c r="C258" s="5" t="s">
        <v>197</v>
      </c>
      <c r="D258" s="7"/>
      <c r="E258" s="7"/>
      <c r="F258" s="7"/>
      <c r="G258" s="7"/>
      <c r="H258" s="7"/>
      <c r="I258" s="7" t="n">
        <v>1</v>
      </c>
      <c r="J258" s="8" t="n">
        <f aca="false">SUM(D258:I258)</f>
        <v>1</v>
      </c>
      <c r="K258" s="9" t="n">
        <v>2720</v>
      </c>
      <c r="L258" s="9" t="n">
        <f aca="false">J258*K258</f>
        <v>2720</v>
      </c>
    </row>
    <row r="259" customFormat="false" ht="25.35" hidden="false" customHeight="false" outlineLevel="0" collapsed="false">
      <c r="A259" s="5" t="s">
        <v>518</v>
      </c>
      <c r="B259" s="6" t="s">
        <v>519</v>
      </c>
      <c r="C259" s="5" t="s">
        <v>51</v>
      </c>
      <c r="D259" s="7"/>
      <c r="E259" s="7"/>
      <c r="F259" s="7"/>
      <c r="G259" s="7"/>
      <c r="H259" s="7"/>
      <c r="I259" s="7" t="n">
        <v>2</v>
      </c>
      <c r="J259" s="8" t="n">
        <f aca="false">SUM(D259:I259)</f>
        <v>2</v>
      </c>
      <c r="K259" s="9" t="n">
        <v>855</v>
      </c>
      <c r="L259" s="9" t="n">
        <f aca="false">J259*K259</f>
        <v>1710</v>
      </c>
    </row>
    <row r="260" customFormat="false" ht="25.35" hidden="false" customHeight="false" outlineLevel="0" collapsed="false">
      <c r="A260" s="5" t="s">
        <v>520</v>
      </c>
      <c r="B260" s="6" t="s">
        <v>521</v>
      </c>
      <c r="C260" s="5" t="s">
        <v>51</v>
      </c>
      <c r="D260" s="7"/>
      <c r="E260" s="7"/>
      <c r="F260" s="7"/>
      <c r="G260" s="7"/>
      <c r="H260" s="7"/>
      <c r="I260" s="7" t="n">
        <v>2</v>
      </c>
      <c r="J260" s="8" t="n">
        <f aca="false">SUM(D260:I260)</f>
        <v>2</v>
      </c>
      <c r="K260" s="9" t="n">
        <v>855</v>
      </c>
      <c r="L260" s="9" t="n">
        <f aca="false">J260*K260</f>
        <v>1710</v>
      </c>
    </row>
    <row r="261" customFormat="false" ht="25.35" hidden="false" customHeight="false" outlineLevel="0" collapsed="false">
      <c r="A261" s="5" t="s">
        <v>522</v>
      </c>
      <c r="B261" s="6" t="s">
        <v>523</v>
      </c>
      <c r="C261" s="5" t="s">
        <v>51</v>
      </c>
      <c r="D261" s="7"/>
      <c r="E261" s="7"/>
      <c r="F261" s="7"/>
      <c r="G261" s="7"/>
      <c r="H261" s="7"/>
      <c r="I261" s="7" t="n">
        <v>2</v>
      </c>
      <c r="J261" s="8" t="n">
        <f aca="false">SUM(D261:I261)</f>
        <v>2</v>
      </c>
      <c r="K261" s="9" t="n">
        <v>855</v>
      </c>
      <c r="L261" s="9" t="n">
        <f aca="false">J261*K261</f>
        <v>1710</v>
      </c>
    </row>
    <row r="262" customFormat="false" ht="25.35" hidden="false" customHeight="false" outlineLevel="0" collapsed="false">
      <c r="A262" s="5" t="s">
        <v>524</v>
      </c>
      <c r="B262" s="6" t="s">
        <v>525</v>
      </c>
      <c r="C262" s="5" t="s">
        <v>51</v>
      </c>
      <c r="D262" s="7"/>
      <c r="E262" s="7"/>
      <c r="F262" s="7"/>
      <c r="G262" s="7"/>
      <c r="H262" s="7"/>
      <c r="I262" s="7" t="n">
        <v>1</v>
      </c>
      <c r="J262" s="8" t="n">
        <f aca="false">SUM(D262:I262)</f>
        <v>1</v>
      </c>
      <c r="K262" s="9" t="n">
        <v>855</v>
      </c>
      <c r="L262" s="9" t="n">
        <f aca="false">J262*K262</f>
        <v>855</v>
      </c>
    </row>
    <row r="263" customFormat="false" ht="25.35" hidden="false" customHeight="false" outlineLevel="0" collapsed="false">
      <c r="A263" s="5" t="s">
        <v>526</v>
      </c>
      <c r="B263" s="6" t="s">
        <v>309</v>
      </c>
      <c r="C263" s="5" t="s">
        <v>51</v>
      </c>
      <c r="D263" s="7"/>
      <c r="E263" s="7"/>
      <c r="F263" s="7"/>
      <c r="G263" s="7"/>
      <c r="H263" s="7"/>
      <c r="I263" s="7" t="n">
        <v>5</v>
      </c>
      <c r="J263" s="8" t="n">
        <f aca="false">SUM(D263:I263)</f>
        <v>5</v>
      </c>
      <c r="K263" s="9" t="n">
        <v>855</v>
      </c>
      <c r="L263" s="9" t="n">
        <f aca="false">J263*K263</f>
        <v>4275</v>
      </c>
    </row>
    <row r="264" customFormat="false" ht="25.35" hidden="false" customHeight="false" outlineLevel="0" collapsed="false">
      <c r="A264" s="5" t="s">
        <v>527</v>
      </c>
      <c r="B264" s="6" t="s">
        <v>528</v>
      </c>
      <c r="C264" s="5" t="s">
        <v>51</v>
      </c>
      <c r="D264" s="7"/>
      <c r="E264" s="7"/>
      <c r="F264" s="7"/>
      <c r="G264" s="7"/>
      <c r="H264" s="7"/>
      <c r="I264" s="7" t="n">
        <v>1</v>
      </c>
      <c r="J264" s="8" t="n">
        <f aca="false">SUM(D264:I264)</f>
        <v>1</v>
      </c>
      <c r="K264" s="9" t="n">
        <v>855</v>
      </c>
      <c r="L264" s="9" t="n">
        <f aca="false">J264*K264</f>
        <v>855</v>
      </c>
    </row>
    <row r="265" customFormat="false" ht="25.35" hidden="false" customHeight="false" outlineLevel="0" collapsed="false">
      <c r="A265" s="5" t="s">
        <v>529</v>
      </c>
      <c r="B265" s="6" t="s">
        <v>530</v>
      </c>
      <c r="C265" s="5" t="s">
        <v>51</v>
      </c>
      <c r="D265" s="7"/>
      <c r="E265" s="7"/>
      <c r="F265" s="7"/>
      <c r="G265" s="7"/>
      <c r="H265" s="7"/>
      <c r="I265" s="7" t="n">
        <v>4</v>
      </c>
      <c r="J265" s="8" t="n">
        <f aca="false">SUM(D265:I265)</f>
        <v>4</v>
      </c>
      <c r="K265" s="9" t="n">
        <v>850</v>
      </c>
      <c r="L265" s="9" t="n">
        <f aca="false">J265*K265</f>
        <v>3400</v>
      </c>
    </row>
    <row r="266" customFormat="false" ht="25.35" hidden="false" customHeight="false" outlineLevel="0" collapsed="false">
      <c r="A266" s="5" t="s">
        <v>531</v>
      </c>
      <c r="B266" s="6" t="s">
        <v>532</v>
      </c>
      <c r="C266" s="5" t="s">
        <v>51</v>
      </c>
      <c r="D266" s="7"/>
      <c r="E266" s="7"/>
      <c r="F266" s="7"/>
      <c r="G266" s="7"/>
      <c r="H266" s="7"/>
      <c r="I266" s="7" t="n">
        <v>1</v>
      </c>
      <c r="J266" s="8" t="n">
        <f aca="false">SUM(D266:I266)</f>
        <v>1</v>
      </c>
      <c r="K266" s="9" t="n">
        <v>900</v>
      </c>
      <c r="L266" s="9" t="n">
        <f aca="false">J266*K266</f>
        <v>900</v>
      </c>
    </row>
    <row r="267" customFormat="false" ht="25.35" hidden="false" customHeight="false" outlineLevel="0" collapsed="false">
      <c r="A267" s="5" t="s">
        <v>533</v>
      </c>
      <c r="B267" s="6" t="s">
        <v>534</v>
      </c>
      <c r="C267" s="5" t="s">
        <v>51</v>
      </c>
      <c r="D267" s="7"/>
      <c r="E267" s="7"/>
      <c r="F267" s="7"/>
      <c r="G267" s="7"/>
      <c r="H267" s="7"/>
      <c r="I267" s="7" t="n">
        <v>11</v>
      </c>
      <c r="J267" s="8" t="n">
        <f aca="false">SUM(D267:I267)</f>
        <v>11</v>
      </c>
      <c r="K267" s="9" t="n">
        <v>855</v>
      </c>
      <c r="L267" s="9" t="n">
        <f aca="false">J267*K267</f>
        <v>9405</v>
      </c>
    </row>
    <row r="268" customFormat="false" ht="25.35" hidden="false" customHeight="false" outlineLevel="0" collapsed="false">
      <c r="A268" s="5" t="s">
        <v>535</v>
      </c>
      <c r="B268" s="6" t="s">
        <v>536</v>
      </c>
      <c r="C268" s="5" t="s">
        <v>51</v>
      </c>
      <c r="D268" s="7"/>
      <c r="E268" s="7"/>
      <c r="F268" s="7"/>
      <c r="G268" s="7"/>
      <c r="H268" s="7"/>
      <c r="I268" s="7" t="n">
        <v>3</v>
      </c>
      <c r="J268" s="8" t="n">
        <f aca="false">SUM(D268:I268)</f>
        <v>3</v>
      </c>
      <c r="K268" s="9" t="n">
        <v>855</v>
      </c>
      <c r="L268" s="9" t="n">
        <f aca="false">J268*K268</f>
        <v>2565</v>
      </c>
    </row>
    <row r="269" customFormat="false" ht="25.35" hidden="false" customHeight="false" outlineLevel="0" collapsed="false">
      <c r="A269" s="5" t="s">
        <v>537</v>
      </c>
      <c r="B269" s="6" t="s">
        <v>538</v>
      </c>
      <c r="C269" s="5" t="s">
        <v>51</v>
      </c>
      <c r="D269" s="7"/>
      <c r="E269" s="7"/>
      <c r="F269" s="7"/>
      <c r="G269" s="7"/>
      <c r="H269" s="7"/>
      <c r="I269" s="7" t="n">
        <v>2</v>
      </c>
      <c r="J269" s="8" t="n">
        <f aca="false">SUM(D269:I269)</f>
        <v>2</v>
      </c>
      <c r="K269" s="9" t="n">
        <v>855</v>
      </c>
      <c r="L269" s="9" t="n">
        <f aca="false">J269*K269</f>
        <v>1710</v>
      </c>
    </row>
    <row r="270" customFormat="false" ht="25.35" hidden="false" customHeight="false" outlineLevel="0" collapsed="false">
      <c r="A270" s="5" t="s">
        <v>539</v>
      </c>
      <c r="B270" s="6" t="s">
        <v>540</v>
      </c>
      <c r="C270" s="5" t="s">
        <v>51</v>
      </c>
      <c r="D270" s="7"/>
      <c r="E270" s="7"/>
      <c r="F270" s="7"/>
      <c r="G270" s="7"/>
      <c r="H270" s="7"/>
      <c r="I270" s="7" t="n">
        <v>2</v>
      </c>
      <c r="J270" s="8" t="n">
        <f aca="false">SUM(D270:I270)</f>
        <v>2</v>
      </c>
      <c r="K270" s="9" t="n">
        <v>850</v>
      </c>
      <c r="L270" s="9" t="n">
        <f aca="false">J270*K270</f>
        <v>1700</v>
      </c>
    </row>
    <row r="271" customFormat="false" ht="25.35" hidden="false" customHeight="false" outlineLevel="0" collapsed="false">
      <c r="A271" s="5" t="s">
        <v>541</v>
      </c>
      <c r="B271" s="6" t="s">
        <v>542</v>
      </c>
      <c r="C271" s="5" t="s">
        <v>51</v>
      </c>
      <c r="D271" s="7"/>
      <c r="E271" s="7"/>
      <c r="F271" s="7"/>
      <c r="G271" s="7"/>
      <c r="H271" s="7"/>
      <c r="I271" s="7" t="n">
        <v>2</v>
      </c>
      <c r="J271" s="8" t="n">
        <f aca="false">SUM(D271:I271)</f>
        <v>2</v>
      </c>
      <c r="K271" s="9" t="n">
        <v>1190</v>
      </c>
      <c r="L271" s="9" t="n">
        <f aca="false">J271*K271</f>
        <v>2380</v>
      </c>
    </row>
    <row r="272" customFormat="false" ht="25.35" hidden="false" customHeight="false" outlineLevel="0" collapsed="false">
      <c r="A272" s="5" t="s">
        <v>543</v>
      </c>
      <c r="B272" s="6" t="s">
        <v>544</v>
      </c>
      <c r="C272" s="5" t="s">
        <v>51</v>
      </c>
      <c r="D272" s="7"/>
      <c r="E272" s="7"/>
      <c r="F272" s="7"/>
      <c r="G272" s="7"/>
      <c r="H272" s="7"/>
      <c r="I272" s="7" t="n">
        <v>2</v>
      </c>
      <c r="J272" s="8" t="n">
        <f aca="false">SUM(D272:I272)</f>
        <v>2</v>
      </c>
      <c r="K272" s="9" t="n">
        <v>855</v>
      </c>
      <c r="L272" s="9" t="n">
        <f aca="false">J272*K272</f>
        <v>1710</v>
      </c>
    </row>
    <row r="273" customFormat="false" ht="25.35" hidden="false" customHeight="false" outlineLevel="0" collapsed="false">
      <c r="A273" s="5" t="s">
        <v>545</v>
      </c>
      <c r="B273" s="6" t="s">
        <v>327</v>
      </c>
      <c r="C273" s="5" t="s">
        <v>51</v>
      </c>
      <c r="D273" s="7"/>
      <c r="E273" s="7"/>
      <c r="F273" s="7"/>
      <c r="G273" s="7"/>
      <c r="H273" s="7"/>
      <c r="I273" s="7" t="n">
        <v>9</v>
      </c>
      <c r="J273" s="8" t="n">
        <f aca="false">SUM(D273:I273)</f>
        <v>9</v>
      </c>
      <c r="K273" s="9" t="n">
        <v>855</v>
      </c>
      <c r="L273" s="9" t="n">
        <f aca="false">J273*K273</f>
        <v>7695</v>
      </c>
    </row>
    <row r="274" customFormat="false" ht="25.35" hidden="false" customHeight="false" outlineLevel="0" collapsed="false">
      <c r="A274" s="5" t="s">
        <v>546</v>
      </c>
      <c r="B274" s="6" t="s">
        <v>329</v>
      </c>
      <c r="C274" s="5" t="s">
        <v>51</v>
      </c>
      <c r="D274" s="7"/>
      <c r="E274" s="7"/>
      <c r="F274" s="7"/>
      <c r="G274" s="7"/>
      <c r="H274" s="7"/>
      <c r="I274" s="7" t="n">
        <v>9</v>
      </c>
      <c r="J274" s="8" t="n">
        <f aca="false">SUM(D274:I274)</f>
        <v>9</v>
      </c>
      <c r="K274" s="9" t="n">
        <v>855</v>
      </c>
      <c r="L274" s="9" t="n">
        <f aca="false">J274*K274</f>
        <v>7695</v>
      </c>
    </row>
    <row r="275" customFormat="false" ht="25.35" hidden="false" customHeight="false" outlineLevel="0" collapsed="false">
      <c r="A275" s="5" t="s">
        <v>547</v>
      </c>
      <c r="B275" s="6" t="s">
        <v>333</v>
      </c>
      <c r="C275" s="5" t="s">
        <v>51</v>
      </c>
      <c r="D275" s="7"/>
      <c r="E275" s="7"/>
      <c r="F275" s="7"/>
      <c r="G275" s="7"/>
      <c r="H275" s="7"/>
      <c r="I275" s="7" t="n">
        <v>10</v>
      </c>
      <c r="J275" s="8" t="n">
        <f aca="false">SUM(D275:I275)</f>
        <v>10</v>
      </c>
      <c r="K275" s="9" t="n">
        <v>855</v>
      </c>
      <c r="L275" s="9" t="n">
        <f aca="false">J275*K275</f>
        <v>8550</v>
      </c>
    </row>
    <row r="276" customFormat="false" ht="25.35" hidden="false" customHeight="false" outlineLevel="0" collapsed="false">
      <c r="A276" s="5" t="s">
        <v>548</v>
      </c>
      <c r="B276" s="6" t="s">
        <v>549</v>
      </c>
      <c r="C276" s="5" t="s">
        <v>51</v>
      </c>
      <c r="D276" s="7"/>
      <c r="E276" s="7"/>
      <c r="F276" s="7"/>
      <c r="G276" s="7"/>
      <c r="H276" s="7"/>
      <c r="I276" s="7" t="n">
        <v>1</v>
      </c>
      <c r="J276" s="8" t="n">
        <f aca="false">SUM(D276:I276)</f>
        <v>1</v>
      </c>
      <c r="K276" s="9" t="n">
        <v>855</v>
      </c>
      <c r="L276" s="9" t="n">
        <f aca="false">J276*K276</f>
        <v>855</v>
      </c>
    </row>
    <row r="277" customFormat="false" ht="25.35" hidden="false" customHeight="false" outlineLevel="0" collapsed="false">
      <c r="A277" s="5" t="s">
        <v>550</v>
      </c>
      <c r="B277" s="6" t="s">
        <v>551</v>
      </c>
      <c r="C277" s="5" t="s">
        <v>51</v>
      </c>
      <c r="D277" s="7"/>
      <c r="E277" s="7"/>
      <c r="F277" s="7"/>
      <c r="G277" s="7"/>
      <c r="H277" s="7"/>
      <c r="I277" s="7" t="n">
        <v>2</v>
      </c>
      <c r="J277" s="8" t="n">
        <f aca="false">SUM(D277:I277)</f>
        <v>2</v>
      </c>
      <c r="K277" s="9" t="n">
        <v>850</v>
      </c>
      <c r="L277" s="9" t="n">
        <f aca="false">J277*K277</f>
        <v>1700</v>
      </c>
    </row>
    <row r="278" customFormat="false" ht="25.35" hidden="false" customHeight="false" outlineLevel="0" collapsed="false">
      <c r="A278" s="5" t="s">
        <v>552</v>
      </c>
      <c r="B278" s="6" t="s">
        <v>553</v>
      </c>
      <c r="C278" s="5" t="s">
        <v>51</v>
      </c>
      <c r="D278" s="7"/>
      <c r="E278" s="7"/>
      <c r="F278" s="7"/>
      <c r="G278" s="7"/>
      <c r="H278" s="7"/>
      <c r="I278" s="7" t="n">
        <v>2</v>
      </c>
      <c r="J278" s="8" t="n">
        <f aca="false">SUM(D278:I278)</f>
        <v>2</v>
      </c>
      <c r="K278" s="9" t="n">
        <v>1190</v>
      </c>
      <c r="L278" s="9" t="n">
        <f aca="false">J278*K278</f>
        <v>2380</v>
      </c>
    </row>
    <row r="279" customFormat="false" ht="25.35" hidden="false" customHeight="false" outlineLevel="0" collapsed="false">
      <c r="A279" s="5" t="s">
        <v>554</v>
      </c>
      <c r="B279" s="6" t="s">
        <v>335</v>
      </c>
      <c r="C279" s="5" t="s">
        <v>51</v>
      </c>
      <c r="D279" s="7"/>
      <c r="E279" s="7"/>
      <c r="F279" s="7"/>
      <c r="G279" s="7"/>
      <c r="H279" s="7"/>
      <c r="I279" s="7" t="n">
        <v>1</v>
      </c>
      <c r="J279" s="8" t="n">
        <f aca="false">SUM(D279:I279)</f>
        <v>1</v>
      </c>
      <c r="K279" s="9" t="n">
        <v>850</v>
      </c>
      <c r="L279" s="9" t="n">
        <f aca="false">J279*K279</f>
        <v>850</v>
      </c>
    </row>
    <row r="280" customFormat="false" ht="25.35" hidden="false" customHeight="false" outlineLevel="0" collapsed="false">
      <c r="A280" s="5" t="s">
        <v>555</v>
      </c>
      <c r="B280" s="6" t="s">
        <v>337</v>
      </c>
      <c r="C280" s="5" t="s">
        <v>51</v>
      </c>
      <c r="D280" s="7"/>
      <c r="E280" s="7"/>
      <c r="F280" s="7"/>
      <c r="G280" s="7"/>
      <c r="H280" s="7"/>
      <c r="I280" s="7" t="n">
        <v>2</v>
      </c>
      <c r="J280" s="8" t="n">
        <f aca="false">SUM(D280:I280)</f>
        <v>2</v>
      </c>
      <c r="K280" s="9" t="n">
        <v>1190</v>
      </c>
      <c r="L280" s="9" t="n">
        <f aca="false">J280*K280</f>
        <v>2380</v>
      </c>
    </row>
    <row r="281" customFormat="false" ht="25.35" hidden="false" customHeight="false" outlineLevel="0" collapsed="false">
      <c r="A281" s="5" t="s">
        <v>556</v>
      </c>
      <c r="B281" s="6" t="s">
        <v>345</v>
      </c>
      <c r="C281" s="5" t="s">
        <v>51</v>
      </c>
      <c r="D281" s="7"/>
      <c r="E281" s="7"/>
      <c r="F281" s="7"/>
      <c r="G281" s="7"/>
      <c r="H281" s="7"/>
      <c r="I281" s="7" t="n">
        <v>4</v>
      </c>
      <c r="J281" s="8" t="n">
        <f aca="false">SUM(D281:I281)</f>
        <v>4</v>
      </c>
      <c r="K281" s="9" t="n">
        <v>2210</v>
      </c>
      <c r="L281" s="9" t="n">
        <f aca="false">J281*K281</f>
        <v>8840</v>
      </c>
    </row>
    <row r="282" customFormat="false" ht="25.35" hidden="false" customHeight="false" outlineLevel="0" collapsed="false">
      <c r="A282" s="5" t="s">
        <v>557</v>
      </c>
      <c r="B282" s="6" t="s">
        <v>349</v>
      </c>
      <c r="C282" s="5" t="s">
        <v>51</v>
      </c>
      <c r="D282" s="7"/>
      <c r="E282" s="7"/>
      <c r="F282" s="7"/>
      <c r="G282" s="7"/>
      <c r="H282" s="7"/>
      <c r="I282" s="7" t="n">
        <v>8</v>
      </c>
      <c r="J282" s="8" t="n">
        <f aca="false">SUM(D282:I282)</f>
        <v>8</v>
      </c>
      <c r="K282" s="9" t="n">
        <v>855</v>
      </c>
      <c r="L282" s="9" t="n">
        <f aca="false">J282*K282</f>
        <v>6840</v>
      </c>
    </row>
    <row r="283" customFormat="false" ht="25.35" hidden="false" customHeight="false" outlineLevel="0" collapsed="false">
      <c r="A283" s="5" t="s">
        <v>558</v>
      </c>
      <c r="B283" s="6" t="s">
        <v>559</v>
      </c>
      <c r="C283" s="5" t="s">
        <v>51</v>
      </c>
      <c r="D283" s="7"/>
      <c r="E283" s="7"/>
      <c r="F283" s="7"/>
      <c r="G283" s="7"/>
      <c r="H283" s="7"/>
      <c r="I283" s="7" t="n">
        <v>2</v>
      </c>
      <c r="J283" s="8" t="n">
        <f aca="false">SUM(D283:I283)</f>
        <v>2</v>
      </c>
      <c r="K283" s="9" t="n">
        <v>855</v>
      </c>
      <c r="L283" s="9" t="n">
        <f aca="false">J283*K283</f>
        <v>1710</v>
      </c>
    </row>
    <row r="284" customFormat="false" ht="25.35" hidden="false" customHeight="false" outlineLevel="0" collapsed="false">
      <c r="A284" s="5" t="s">
        <v>560</v>
      </c>
      <c r="B284" s="6" t="s">
        <v>351</v>
      </c>
      <c r="C284" s="5" t="s">
        <v>51</v>
      </c>
      <c r="D284" s="7"/>
      <c r="E284" s="7"/>
      <c r="F284" s="7"/>
      <c r="G284" s="7"/>
      <c r="H284" s="7"/>
      <c r="I284" s="7" t="n">
        <v>2</v>
      </c>
      <c r="J284" s="8" t="n">
        <f aca="false">SUM(D284:I284)</f>
        <v>2</v>
      </c>
      <c r="K284" s="9" t="n">
        <v>855</v>
      </c>
      <c r="L284" s="9" t="n">
        <f aca="false">J284*K284</f>
        <v>1710</v>
      </c>
    </row>
    <row r="285" customFormat="false" ht="25.35" hidden="false" customHeight="false" outlineLevel="0" collapsed="false">
      <c r="A285" s="5" t="s">
        <v>561</v>
      </c>
      <c r="B285" s="6" t="s">
        <v>353</v>
      </c>
      <c r="C285" s="5" t="s">
        <v>51</v>
      </c>
      <c r="D285" s="7"/>
      <c r="E285" s="7"/>
      <c r="F285" s="7"/>
      <c r="G285" s="7"/>
      <c r="H285" s="7"/>
      <c r="I285" s="7" t="n">
        <v>22</v>
      </c>
      <c r="J285" s="8" t="n">
        <f aca="false">SUM(D285:I285)</f>
        <v>22</v>
      </c>
      <c r="K285" s="9" t="n">
        <v>855</v>
      </c>
      <c r="L285" s="9" t="n">
        <f aca="false">J285*K285</f>
        <v>18810</v>
      </c>
    </row>
    <row r="286" customFormat="false" ht="25.35" hidden="false" customHeight="false" outlineLevel="0" collapsed="false">
      <c r="A286" s="5" t="s">
        <v>562</v>
      </c>
      <c r="B286" s="6" t="s">
        <v>355</v>
      </c>
      <c r="C286" s="5" t="s">
        <v>51</v>
      </c>
      <c r="D286" s="7"/>
      <c r="E286" s="7"/>
      <c r="F286" s="7"/>
      <c r="G286" s="7"/>
      <c r="H286" s="7"/>
      <c r="I286" s="7" t="n">
        <v>2</v>
      </c>
      <c r="J286" s="8" t="n">
        <f aca="false">SUM(D286:I286)</f>
        <v>2</v>
      </c>
      <c r="K286" s="9" t="n">
        <v>855</v>
      </c>
      <c r="L286" s="9" t="n">
        <f aca="false">J286*K286</f>
        <v>1710</v>
      </c>
    </row>
    <row r="287" customFormat="false" ht="25.35" hidden="false" customHeight="false" outlineLevel="0" collapsed="false">
      <c r="A287" s="5" t="s">
        <v>563</v>
      </c>
      <c r="B287" s="6" t="s">
        <v>564</v>
      </c>
      <c r="C287" s="5" t="s">
        <v>51</v>
      </c>
      <c r="D287" s="7"/>
      <c r="E287" s="7"/>
      <c r="F287" s="7"/>
      <c r="G287" s="7"/>
      <c r="H287" s="7"/>
      <c r="I287" s="7" t="n">
        <v>1</v>
      </c>
      <c r="J287" s="8" t="n">
        <f aca="false">SUM(D287:I287)</f>
        <v>1</v>
      </c>
      <c r="K287" s="9" t="n">
        <v>855</v>
      </c>
      <c r="L287" s="9" t="n">
        <f aca="false">J287*K287</f>
        <v>855</v>
      </c>
    </row>
    <row r="288" customFormat="false" ht="25.35" hidden="false" customHeight="false" outlineLevel="0" collapsed="false">
      <c r="A288" s="5" t="s">
        <v>565</v>
      </c>
      <c r="B288" s="6" t="s">
        <v>367</v>
      </c>
      <c r="C288" s="5" t="s">
        <v>51</v>
      </c>
      <c r="D288" s="7"/>
      <c r="E288" s="7"/>
      <c r="F288" s="7"/>
      <c r="G288" s="7"/>
      <c r="H288" s="7"/>
      <c r="I288" s="7" t="n">
        <v>2</v>
      </c>
      <c r="J288" s="8" t="n">
        <f aca="false">SUM(D288:I288)</f>
        <v>2</v>
      </c>
      <c r="K288" s="9" t="n">
        <v>855</v>
      </c>
      <c r="L288" s="9" t="n">
        <f aca="false">J288*K288</f>
        <v>1710</v>
      </c>
    </row>
    <row r="289" customFormat="false" ht="25.35" hidden="false" customHeight="false" outlineLevel="0" collapsed="false">
      <c r="A289" s="5" t="s">
        <v>566</v>
      </c>
      <c r="B289" s="6" t="s">
        <v>567</v>
      </c>
      <c r="C289" s="5" t="s">
        <v>51</v>
      </c>
      <c r="D289" s="7"/>
      <c r="E289" s="7"/>
      <c r="F289" s="7"/>
      <c r="G289" s="7"/>
      <c r="H289" s="7"/>
      <c r="I289" s="7" t="n">
        <v>5</v>
      </c>
      <c r="J289" s="8" t="n">
        <f aca="false">SUM(D289:I289)</f>
        <v>5</v>
      </c>
      <c r="K289" s="9" t="n">
        <v>855</v>
      </c>
      <c r="L289" s="9" t="n">
        <f aca="false">J289*K289</f>
        <v>4275</v>
      </c>
    </row>
    <row r="290" customFormat="false" ht="25.35" hidden="false" customHeight="false" outlineLevel="0" collapsed="false">
      <c r="A290" s="5" t="s">
        <v>568</v>
      </c>
      <c r="B290" s="6" t="s">
        <v>569</v>
      </c>
      <c r="C290" s="5" t="s">
        <v>51</v>
      </c>
      <c r="D290" s="7"/>
      <c r="E290" s="7"/>
      <c r="F290" s="7"/>
      <c r="G290" s="7"/>
      <c r="H290" s="7"/>
      <c r="I290" s="7" t="n">
        <v>1</v>
      </c>
      <c r="J290" s="8" t="n">
        <f aca="false">SUM(D290:I290)</f>
        <v>1</v>
      </c>
      <c r="K290" s="9" t="n">
        <v>855</v>
      </c>
      <c r="L290" s="9" t="n">
        <f aca="false">J290*K290</f>
        <v>855</v>
      </c>
    </row>
    <row r="291" customFormat="false" ht="25.35" hidden="false" customHeight="false" outlineLevel="0" collapsed="false">
      <c r="A291" s="5" t="s">
        <v>570</v>
      </c>
      <c r="B291" s="6" t="s">
        <v>571</v>
      </c>
      <c r="C291" s="5" t="s">
        <v>51</v>
      </c>
      <c r="D291" s="7"/>
      <c r="E291" s="7"/>
      <c r="F291" s="7"/>
      <c r="G291" s="7"/>
      <c r="H291" s="7"/>
      <c r="I291" s="7" t="n">
        <v>2</v>
      </c>
      <c r="J291" s="8" t="n">
        <f aca="false">SUM(D291:I291)</f>
        <v>2</v>
      </c>
      <c r="K291" s="9" t="n">
        <v>680</v>
      </c>
      <c r="L291" s="9" t="n">
        <f aca="false">J291*K291</f>
        <v>1360</v>
      </c>
    </row>
    <row r="292" customFormat="false" ht="25.35" hidden="false" customHeight="false" outlineLevel="0" collapsed="false">
      <c r="A292" s="5" t="s">
        <v>572</v>
      </c>
      <c r="B292" s="6" t="s">
        <v>573</v>
      </c>
      <c r="C292" s="5" t="s">
        <v>51</v>
      </c>
      <c r="D292" s="7"/>
      <c r="E292" s="7"/>
      <c r="F292" s="7"/>
      <c r="G292" s="7"/>
      <c r="H292" s="7"/>
      <c r="I292" s="7" t="n">
        <v>1</v>
      </c>
      <c r="J292" s="8" t="n">
        <f aca="false">SUM(D292:I292)</f>
        <v>1</v>
      </c>
      <c r="K292" s="9" t="n">
        <v>850</v>
      </c>
      <c r="L292" s="9" t="n">
        <f aca="false">J292*K292</f>
        <v>850</v>
      </c>
    </row>
    <row r="293" customFormat="false" ht="25.35" hidden="false" customHeight="false" outlineLevel="0" collapsed="false">
      <c r="A293" s="5" t="s">
        <v>574</v>
      </c>
      <c r="B293" s="6" t="s">
        <v>575</v>
      </c>
      <c r="C293" s="5" t="s">
        <v>51</v>
      </c>
      <c r="D293" s="7"/>
      <c r="E293" s="7"/>
      <c r="F293" s="7"/>
      <c r="G293" s="7"/>
      <c r="H293" s="7"/>
      <c r="I293" s="7" t="n">
        <v>1</v>
      </c>
      <c r="J293" s="8" t="n">
        <f aca="false">SUM(D293:I293)</f>
        <v>1</v>
      </c>
      <c r="K293" s="9" t="n">
        <v>850</v>
      </c>
      <c r="L293" s="9" t="n">
        <f aca="false">J293*K293</f>
        <v>850</v>
      </c>
    </row>
    <row r="294" customFormat="false" ht="25.35" hidden="false" customHeight="false" outlineLevel="0" collapsed="false">
      <c r="A294" s="5" t="s">
        <v>576</v>
      </c>
      <c r="B294" s="6" t="s">
        <v>577</v>
      </c>
      <c r="C294" s="5" t="s">
        <v>51</v>
      </c>
      <c r="D294" s="7"/>
      <c r="E294" s="7"/>
      <c r="F294" s="7"/>
      <c r="G294" s="7"/>
      <c r="H294" s="7"/>
      <c r="I294" s="7" t="n">
        <v>1</v>
      </c>
      <c r="J294" s="8" t="n">
        <f aca="false">SUM(D294:I294)</f>
        <v>1</v>
      </c>
      <c r="K294" s="9" t="n">
        <v>680</v>
      </c>
      <c r="L294" s="9" t="n">
        <f aca="false">J294*K294</f>
        <v>680</v>
      </c>
    </row>
    <row r="295" customFormat="false" ht="25.35" hidden="false" customHeight="false" outlineLevel="0" collapsed="false">
      <c r="A295" s="5" t="s">
        <v>578</v>
      </c>
      <c r="B295" s="6" t="s">
        <v>579</v>
      </c>
      <c r="C295" s="5" t="s">
        <v>51</v>
      </c>
      <c r="D295" s="7"/>
      <c r="E295" s="7"/>
      <c r="F295" s="7"/>
      <c r="G295" s="7"/>
      <c r="H295" s="7"/>
      <c r="I295" s="7" t="n">
        <v>2</v>
      </c>
      <c r="J295" s="8" t="n">
        <f aca="false">SUM(D295:I295)</f>
        <v>2</v>
      </c>
      <c r="K295" s="9" t="n">
        <v>1020</v>
      </c>
      <c r="L295" s="9" t="n">
        <f aca="false">J295*K295</f>
        <v>2040</v>
      </c>
    </row>
    <row r="296" customFormat="false" ht="25.35" hidden="false" customHeight="false" outlineLevel="0" collapsed="false">
      <c r="A296" s="5" t="s">
        <v>580</v>
      </c>
      <c r="B296" s="6" t="s">
        <v>581</v>
      </c>
      <c r="C296" s="5" t="s">
        <v>51</v>
      </c>
      <c r="D296" s="7"/>
      <c r="E296" s="7"/>
      <c r="F296" s="7"/>
      <c r="G296" s="7"/>
      <c r="H296" s="7"/>
      <c r="I296" s="7" t="n">
        <v>2</v>
      </c>
      <c r="J296" s="8" t="n">
        <f aca="false">SUM(D296:I296)</f>
        <v>2</v>
      </c>
      <c r="K296" s="9" t="n">
        <v>1020</v>
      </c>
      <c r="L296" s="9" t="n">
        <f aca="false">J296*K296</f>
        <v>2040</v>
      </c>
    </row>
    <row r="297" customFormat="false" ht="15" hidden="false" customHeight="false" outlineLevel="0" collapsed="false">
      <c r="A297" s="5" t="s">
        <v>582</v>
      </c>
      <c r="B297" s="6" t="s">
        <v>583</v>
      </c>
      <c r="C297" s="5" t="s">
        <v>51</v>
      </c>
      <c r="D297" s="7"/>
      <c r="E297" s="7"/>
      <c r="F297" s="7"/>
      <c r="G297" s="7"/>
      <c r="H297" s="7"/>
      <c r="I297" s="7" t="n">
        <v>5</v>
      </c>
      <c r="J297" s="8" t="n">
        <f aca="false">SUM(D297:I297)</f>
        <v>5</v>
      </c>
      <c r="K297" s="9" t="n">
        <v>855</v>
      </c>
      <c r="L297" s="9" t="n">
        <f aca="false">J297*K297</f>
        <v>4275</v>
      </c>
    </row>
    <row r="298" customFormat="false" ht="25.35" hidden="false" customHeight="false" outlineLevel="0" collapsed="false">
      <c r="A298" s="5" t="s">
        <v>584</v>
      </c>
      <c r="B298" s="6" t="s">
        <v>585</v>
      </c>
      <c r="C298" s="5" t="s">
        <v>51</v>
      </c>
      <c r="D298" s="7"/>
      <c r="E298" s="7"/>
      <c r="F298" s="7"/>
      <c r="G298" s="7"/>
      <c r="H298" s="7"/>
      <c r="I298" s="7" t="n">
        <v>2</v>
      </c>
      <c r="J298" s="8" t="n">
        <f aca="false">SUM(D298:I298)</f>
        <v>2</v>
      </c>
      <c r="K298" s="9" t="n">
        <v>855</v>
      </c>
      <c r="L298" s="9" t="n">
        <f aca="false">J298*K298</f>
        <v>1710</v>
      </c>
    </row>
    <row r="299" customFormat="false" ht="15" hidden="false" customHeight="false" outlineLevel="0" collapsed="false">
      <c r="A299" s="5" t="s">
        <v>586</v>
      </c>
      <c r="B299" s="6" t="s">
        <v>389</v>
      </c>
      <c r="C299" s="5" t="s">
        <v>51</v>
      </c>
      <c r="D299" s="7"/>
      <c r="E299" s="7"/>
      <c r="F299" s="7"/>
      <c r="G299" s="7"/>
      <c r="H299" s="7"/>
      <c r="I299" s="7" t="n">
        <v>20</v>
      </c>
      <c r="J299" s="8" t="n">
        <f aca="false">SUM(D299:I299)</f>
        <v>20</v>
      </c>
      <c r="K299" s="9" t="n">
        <v>630</v>
      </c>
      <c r="L299" s="9" t="n">
        <f aca="false">J299*K299</f>
        <v>12600</v>
      </c>
    </row>
    <row r="300" customFormat="false" ht="15" hidden="false" customHeight="false" outlineLevel="0" collapsed="false">
      <c r="A300" s="5" t="s">
        <v>587</v>
      </c>
      <c r="B300" s="6" t="s">
        <v>391</v>
      </c>
      <c r="C300" s="5" t="s">
        <v>51</v>
      </c>
      <c r="D300" s="7"/>
      <c r="E300" s="7"/>
      <c r="F300" s="7"/>
      <c r="G300" s="7"/>
      <c r="H300" s="7"/>
      <c r="I300" s="7" t="n">
        <v>20</v>
      </c>
      <c r="J300" s="8" t="n">
        <f aca="false">SUM(D300:I300)</f>
        <v>20</v>
      </c>
      <c r="K300" s="9" t="n">
        <v>630</v>
      </c>
      <c r="L300" s="9" t="n">
        <f aca="false">J300*K300</f>
        <v>12600</v>
      </c>
    </row>
    <row r="301" customFormat="false" ht="15" hidden="false" customHeight="false" outlineLevel="0" collapsed="false">
      <c r="A301" s="5" t="s">
        <v>588</v>
      </c>
      <c r="B301" s="6" t="s">
        <v>393</v>
      </c>
      <c r="C301" s="5" t="s">
        <v>51</v>
      </c>
      <c r="D301" s="7"/>
      <c r="E301" s="7"/>
      <c r="F301" s="7"/>
      <c r="G301" s="7"/>
      <c r="H301" s="7"/>
      <c r="I301" s="7" t="n">
        <v>10</v>
      </c>
      <c r="J301" s="8" t="n">
        <f aca="false">SUM(D301:I301)</f>
        <v>10</v>
      </c>
      <c r="K301" s="9" t="n">
        <v>630</v>
      </c>
      <c r="L301" s="9" t="n">
        <f aca="false">J301*K301</f>
        <v>6300</v>
      </c>
    </row>
    <row r="302" customFormat="false" ht="15" hidden="false" customHeight="false" outlineLevel="0" collapsed="false">
      <c r="A302" s="5" t="s">
        <v>589</v>
      </c>
      <c r="B302" s="6" t="s">
        <v>395</v>
      </c>
      <c r="C302" s="5" t="s">
        <v>51</v>
      </c>
      <c r="D302" s="7"/>
      <c r="E302" s="7"/>
      <c r="F302" s="7"/>
      <c r="G302" s="7"/>
      <c r="H302" s="7"/>
      <c r="I302" s="7" t="n">
        <v>10</v>
      </c>
      <c r="J302" s="8" t="n">
        <f aca="false">SUM(D302:I302)</f>
        <v>10</v>
      </c>
      <c r="K302" s="9" t="n">
        <v>630</v>
      </c>
      <c r="L302" s="9" t="n">
        <f aca="false">J302*K302</f>
        <v>6300</v>
      </c>
    </row>
    <row r="303" customFormat="false" ht="15" hidden="false" customHeight="false" outlineLevel="0" collapsed="false">
      <c r="A303" s="5" t="s">
        <v>590</v>
      </c>
      <c r="B303" s="6" t="s">
        <v>397</v>
      </c>
      <c r="C303" s="5" t="s">
        <v>51</v>
      </c>
      <c r="D303" s="7"/>
      <c r="E303" s="7"/>
      <c r="F303" s="7"/>
      <c r="G303" s="7"/>
      <c r="H303" s="7"/>
      <c r="I303" s="7" t="n">
        <v>1</v>
      </c>
      <c r="J303" s="8" t="n">
        <f aca="false">SUM(D303:I303)</f>
        <v>1</v>
      </c>
      <c r="K303" s="9" t="n">
        <v>1296</v>
      </c>
      <c r="L303" s="9" t="n">
        <f aca="false">J303*K303</f>
        <v>1296</v>
      </c>
    </row>
    <row r="304" customFormat="false" ht="15" hidden="false" customHeight="false" outlineLevel="0" collapsed="false">
      <c r="A304" s="5" t="s">
        <v>591</v>
      </c>
      <c r="B304" s="6" t="s">
        <v>399</v>
      </c>
      <c r="C304" s="5" t="s">
        <v>51</v>
      </c>
      <c r="D304" s="7"/>
      <c r="E304" s="7"/>
      <c r="F304" s="7"/>
      <c r="G304" s="7"/>
      <c r="H304" s="7"/>
      <c r="I304" s="7" t="n">
        <v>1</v>
      </c>
      <c r="J304" s="8" t="n">
        <f aca="false">SUM(D304:I304)</f>
        <v>1</v>
      </c>
      <c r="K304" s="9" t="n">
        <v>3240</v>
      </c>
      <c r="L304" s="9" t="n">
        <f aca="false">J304*K304</f>
        <v>3240</v>
      </c>
    </row>
    <row r="305" customFormat="false" ht="15" hidden="false" customHeight="false" outlineLevel="0" collapsed="false">
      <c r="A305" s="5" t="s">
        <v>592</v>
      </c>
      <c r="B305" s="6" t="s">
        <v>593</v>
      </c>
      <c r="C305" s="5" t="s">
        <v>108</v>
      </c>
      <c r="D305" s="7"/>
      <c r="E305" s="7"/>
      <c r="F305" s="7"/>
      <c r="G305" s="7"/>
      <c r="H305" s="7"/>
      <c r="I305" s="7" t="n">
        <v>14.7</v>
      </c>
      <c r="J305" s="8" t="n">
        <f aca="false">SUM(D305:I305)</f>
        <v>14.7</v>
      </c>
      <c r="K305" s="9" t="n">
        <v>1140</v>
      </c>
      <c r="L305" s="9" t="n">
        <f aca="false">J305*K305</f>
        <v>16758</v>
      </c>
    </row>
    <row r="306" customFormat="false" ht="15" hidden="false" customHeight="false" outlineLevel="0" collapsed="false">
      <c r="A306" s="5" t="s">
        <v>594</v>
      </c>
      <c r="B306" s="6" t="s">
        <v>595</v>
      </c>
      <c r="C306" s="5" t="s">
        <v>108</v>
      </c>
      <c r="D306" s="7"/>
      <c r="E306" s="7"/>
      <c r="F306" s="7"/>
      <c r="G306" s="7"/>
      <c r="H306" s="7"/>
      <c r="I306" s="7" t="n">
        <v>14.6</v>
      </c>
      <c r="J306" s="8" t="n">
        <f aca="false">SUM(D306:I306)</f>
        <v>14.6</v>
      </c>
      <c r="K306" s="9" t="n">
        <v>860</v>
      </c>
      <c r="L306" s="9" t="n">
        <f aca="false">J306*K306</f>
        <v>12556</v>
      </c>
    </row>
    <row r="307" customFormat="false" ht="15" hidden="false" customHeight="false" outlineLevel="0" collapsed="false">
      <c r="A307" s="5" t="s">
        <v>596</v>
      </c>
      <c r="B307" s="6" t="s">
        <v>597</v>
      </c>
      <c r="C307" s="5" t="s">
        <v>108</v>
      </c>
      <c r="D307" s="7"/>
      <c r="E307" s="7"/>
      <c r="F307" s="7"/>
      <c r="G307" s="7"/>
      <c r="H307" s="7"/>
      <c r="I307" s="7" t="n">
        <v>17</v>
      </c>
      <c r="J307" s="8" t="n">
        <f aca="false">SUM(D307:I307)</f>
        <v>17</v>
      </c>
      <c r="K307" s="9" t="n">
        <v>1140</v>
      </c>
      <c r="L307" s="9" t="n">
        <f aca="false">J307*K307</f>
        <v>19380</v>
      </c>
    </row>
    <row r="308" customFormat="false" ht="15" hidden="false" customHeight="false" outlineLevel="0" collapsed="false">
      <c r="A308" s="5" t="s">
        <v>598</v>
      </c>
      <c r="B308" s="6" t="s">
        <v>599</v>
      </c>
      <c r="C308" s="5" t="s">
        <v>108</v>
      </c>
      <c r="D308" s="7"/>
      <c r="E308" s="7"/>
      <c r="F308" s="7"/>
      <c r="G308" s="7"/>
      <c r="H308" s="7"/>
      <c r="I308" s="7" t="n">
        <v>39.6</v>
      </c>
      <c r="J308" s="8" t="n">
        <f aca="false">SUM(D308:I308)</f>
        <v>39.6</v>
      </c>
      <c r="K308" s="9" t="n">
        <v>860</v>
      </c>
      <c r="L308" s="9" t="n">
        <f aca="false">J308*K308</f>
        <v>34056</v>
      </c>
    </row>
    <row r="309" customFormat="false" ht="15" hidden="false" customHeight="false" outlineLevel="0" collapsed="false">
      <c r="A309" s="5" t="s">
        <v>600</v>
      </c>
      <c r="B309" s="6" t="s">
        <v>601</v>
      </c>
      <c r="C309" s="5" t="s">
        <v>108</v>
      </c>
      <c r="D309" s="7"/>
      <c r="E309" s="7"/>
      <c r="F309" s="7"/>
      <c r="G309" s="7"/>
      <c r="H309" s="7"/>
      <c r="I309" s="7" t="n">
        <v>1.5</v>
      </c>
      <c r="J309" s="8" t="n">
        <f aca="false">SUM(D309:I309)</f>
        <v>1.5</v>
      </c>
      <c r="K309" s="9" t="n">
        <v>1360</v>
      </c>
      <c r="L309" s="9" t="n">
        <f aca="false">J309*K309</f>
        <v>2040</v>
      </c>
    </row>
    <row r="310" customFormat="false" ht="15" hidden="false" customHeight="false" outlineLevel="0" collapsed="false">
      <c r="A310" s="5" t="s">
        <v>602</v>
      </c>
      <c r="B310" s="6" t="s">
        <v>603</v>
      </c>
      <c r="C310" s="5" t="s">
        <v>108</v>
      </c>
      <c r="D310" s="7"/>
      <c r="E310" s="7"/>
      <c r="F310" s="7"/>
      <c r="G310" s="7"/>
      <c r="H310" s="7"/>
      <c r="I310" s="7" t="n">
        <v>1.6</v>
      </c>
      <c r="J310" s="8" t="n">
        <f aca="false">SUM(D310:I310)</f>
        <v>1.6</v>
      </c>
      <c r="K310" s="9" t="n">
        <v>1040</v>
      </c>
      <c r="L310" s="9" t="n">
        <f aca="false">J310*K310</f>
        <v>1664</v>
      </c>
    </row>
    <row r="311" customFormat="false" ht="15" hidden="false" customHeight="false" outlineLevel="0" collapsed="false">
      <c r="A311" s="5" t="s">
        <v>604</v>
      </c>
      <c r="B311" s="6" t="s">
        <v>605</v>
      </c>
      <c r="C311" s="5" t="s">
        <v>108</v>
      </c>
      <c r="D311" s="7"/>
      <c r="E311" s="7"/>
      <c r="F311" s="7"/>
      <c r="G311" s="7"/>
      <c r="H311" s="7"/>
      <c r="I311" s="7" t="n">
        <v>1.4</v>
      </c>
      <c r="J311" s="8" t="n">
        <f aca="false">SUM(D311:I311)</f>
        <v>1.4</v>
      </c>
      <c r="K311" s="9" t="n">
        <v>1500</v>
      </c>
      <c r="L311" s="9" t="n">
        <f aca="false">J311*K311</f>
        <v>2100</v>
      </c>
    </row>
    <row r="312" customFormat="false" ht="15" hidden="false" customHeight="false" outlineLevel="0" collapsed="false">
      <c r="A312" s="5" t="s">
        <v>606</v>
      </c>
      <c r="B312" s="6" t="s">
        <v>607</v>
      </c>
      <c r="C312" s="5" t="s">
        <v>108</v>
      </c>
      <c r="D312" s="7"/>
      <c r="E312" s="7"/>
      <c r="F312" s="7"/>
      <c r="G312" s="7"/>
      <c r="H312" s="7"/>
      <c r="I312" s="7" t="n">
        <v>1.2</v>
      </c>
      <c r="J312" s="8" t="n">
        <f aca="false">SUM(D312:I312)</f>
        <v>1.2</v>
      </c>
      <c r="K312" s="9" t="n">
        <v>1140</v>
      </c>
      <c r="L312" s="9" t="n">
        <f aca="false">J312*K312</f>
        <v>1368</v>
      </c>
    </row>
    <row r="313" customFormat="false" ht="15" hidden="false" customHeight="false" outlineLevel="0" collapsed="false">
      <c r="A313" s="5" t="s">
        <v>608</v>
      </c>
      <c r="B313" s="6" t="s">
        <v>609</v>
      </c>
      <c r="C313" s="5" t="s">
        <v>108</v>
      </c>
      <c r="D313" s="7"/>
      <c r="E313" s="7"/>
      <c r="F313" s="7"/>
      <c r="G313" s="7"/>
      <c r="H313" s="7"/>
      <c r="I313" s="7" t="n">
        <v>8</v>
      </c>
      <c r="J313" s="8" t="n">
        <f aca="false">SUM(D313:I313)</f>
        <v>8</v>
      </c>
      <c r="K313" s="9" t="n">
        <v>645</v>
      </c>
      <c r="L313" s="9" t="n">
        <f aca="false">J313*K313</f>
        <v>5160</v>
      </c>
    </row>
    <row r="314" customFormat="false" ht="15" hidden="false" customHeight="false" outlineLevel="0" collapsed="false">
      <c r="A314" s="5" t="s">
        <v>610</v>
      </c>
      <c r="B314" s="6" t="s">
        <v>611</v>
      </c>
      <c r="C314" s="5" t="s">
        <v>108</v>
      </c>
      <c r="D314" s="7"/>
      <c r="E314" s="7"/>
      <c r="F314" s="7"/>
      <c r="G314" s="7"/>
      <c r="H314" s="7"/>
      <c r="I314" s="7" t="n">
        <v>8.1</v>
      </c>
      <c r="J314" s="8" t="n">
        <f aca="false">SUM(D314:I314)</f>
        <v>8.1</v>
      </c>
      <c r="K314" s="9" t="n">
        <v>465</v>
      </c>
      <c r="L314" s="9" t="n">
        <f aca="false">J314*K314</f>
        <v>3766.5</v>
      </c>
    </row>
    <row r="315" customFormat="false" ht="15" hidden="false" customHeight="false" outlineLevel="0" collapsed="false">
      <c r="A315" s="5" t="s">
        <v>612</v>
      </c>
      <c r="B315" s="6" t="s">
        <v>613</v>
      </c>
      <c r="C315" s="5" t="s">
        <v>108</v>
      </c>
      <c r="D315" s="7"/>
      <c r="E315" s="7"/>
      <c r="F315" s="7"/>
      <c r="G315" s="7"/>
      <c r="H315" s="7"/>
      <c r="I315" s="7" t="n">
        <v>8</v>
      </c>
      <c r="J315" s="8" t="n">
        <f aca="false">SUM(D315:I315)</f>
        <v>8</v>
      </c>
      <c r="K315" s="9" t="n">
        <v>680</v>
      </c>
      <c r="L315" s="9" t="n">
        <f aca="false">J315*K315</f>
        <v>5440</v>
      </c>
    </row>
    <row r="316" customFormat="false" ht="15" hidden="false" customHeight="false" outlineLevel="0" collapsed="false">
      <c r="A316" s="5" t="s">
        <v>614</v>
      </c>
      <c r="B316" s="6" t="s">
        <v>615</v>
      </c>
      <c r="C316" s="5" t="s">
        <v>108</v>
      </c>
      <c r="D316" s="7"/>
      <c r="E316" s="7"/>
      <c r="F316" s="7"/>
      <c r="G316" s="7"/>
      <c r="H316" s="7"/>
      <c r="I316" s="7" t="n">
        <v>2</v>
      </c>
      <c r="J316" s="8" t="n">
        <f aca="false">SUM(D316:I316)</f>
        <v>2</v>
      </c>
      <c r="K316" s="9" t="n">
        <v>500</v>
      </c>
      <c r="L316" s="9" t="n">
        <f aca="false">J316*K316</f>
        <v>1000</v>
      </c>
    </row>
    <row r="317" customFormat="false" ht="15" hidden="false" customHeight="false" outlineLevel="0" collapsed="false">
      <c r="A317" s="5" t="s">
        <v>616</v>
      </c>
      <c r="B317" s="6" t="s">
        <v>617</v>
      </c>
      <c r="C317" s="5" t="s">
        <v>108</v>
      </c>
      <c r="D317" s="7"/>
      <c r="E317" s="7"/>
      <c r="F317" s="7"/>
      <c r="G317" s="7"/>
      <c r="H317" s="7"/>
      <c r="I317" s="7" t="n">
        <v>70.3</v>
      </c>
      <c r="J317" s="8" t="n">
        <f aca="false">SUM(D317:I317)</f>
        <v>70.3</v>
      </c>
      <c r="K317" s="9" t="n">
        <v>785</v>
      </c>
      <c r="L317" s="9" t="n">
        <f aca="false">J317*K317</f>
        <v>55185.5</v>
      </c>
    </row>
    <row r="318" customFormat="false" ht="15" hidden="false" customHeight="false" outlineLevel="0" collapsed="false">
      <c r="A318" s="5" t="s">
        <v>618</v>
      </c>
      <c r="B318" s="6" t="s">
        <v>619</v>
      </c>
      <c r="C318" s="5" t="s">
        <v>108</v>
      </c>
      <c r="D318" s="7"/>
      <c r="E318" s="7"/>
      <c r="F318" s="7"/>
      <c r="G318" s="7"/>
      <c r="H318" s="7"/>
      <c r="I318" s="7" t="n">
        <v>77.6</v>
      </c>
      <c r="J318" s="8" t="n">
        <f aca="false">SUM(D318:I318)</f>
        <v>77.6</v>
      </c>
      <c r="K318" s="9" t="n">
        <v>605</v>
      </c>
      <c r="L318" s="9" t="n">
        <f aca="false">J318*K318</f>
        <v>46948</v>
      </c>
    </row>
    <row r="319" customFormat="false" ht="15" hidden="false" customHeight="false" outlineLevel="0" collapsed="false">
      <c r="A319" s="5" t="s">
        <v>620</v>
      </c>
      <c r="B319" s="6" t="s">
        <v>621</v>
      </c>
      <c r="C319" s="5" t="s">
        <v>108</v>
      </c>
      <c r="D319" s="7"/>
      <c r="E319" s="7"/>
      <c r="F319" s="7"/>
      <c r="G319" s="7"/>
      <c r="H319" s="7"/>
      <c r="I319" s="7" t="n">
        <v>3</v>
      </c>
      <c r="J319" s="8" t="n">
        <f aca="false">SUM(D319:I319)</f>
        <v>3</v>
      </c>
      <c r="K319" s="9" t="n">
        <v>895</v>
      </c>
      <c r="L319" s="9" t="n">
        <f aca="false">J319*K319</f>
        <v>2685</v>
      </c>
    </row>
    <row r="320" customFormat="false" ht="15" hidden="false" customHeight="false" outlineLevel="0" collapsed="false">
      <c r="A320" s="5" t="s">
        <v>622</v>
      </c>
      <c r="B320" s="6" t="s">
        <v>623</v>
      </c>
      <c r="C320" s="5" t="s">
        <v>108</v>
      </c>
      <c r="D320" s="7"/>
      <c r="E320" s="7"/>
      <c r="F320" s="7"/>
      <c r="G320" s="7"/>
      <c r="H320" s="7"/>
      <c r="I320" s="7" t="n">
        <v>1.5</v>
      </c>
      <c r="J320" s="8" t="n">
        <f aca="false">SUM(D320:I320)</f>
        <v>1.5</v>
      </c>
      <c r="K320" s="9" t="n">
        <v>680</v>
      </c>
      <c r="L320" s="9" t="n">
        <f aca="false">J320*K320</f>
        <v>1020</v>
      </c>
    </row>
    <row r="321" customFormat="false" ht="15" hidden="false" customHeight="false" outlineLevel="0" collapsed="false">
      <c r="A321" s="5" t="s">
        <v>624</v>
      </c>
      <c r="B321" s="6" t="s">
        <v>625</v>
      </c>
      <c r="C321" s="5" t="s">
        <v>51</v>
      </c>
      <c r="D321" s="7"/>
      <c r="E321" s="7"/>
      <c r="F321" s="7"/>
      <c r="G321" s="7"/>
      <c r="H321" s="7"/>
      <c r="I321" s="7" t="n">
        <v>348</v>
      </c>
      <c r="J321" s="8" t="n">
        <f aca="false">SUM(D321:I321)</f>
        <v>348</v>
      </c>
      <c r="K321" s="9" t="n">
        <v>105</v>
      </c>
      <c r="L321" s="9" t="n">
        <f aca="false">J321*K321</f>
        <v>36540</v>
      </c>
    </row>
    <row r="322" customFormat="false" ht="15" hidden="false" customHeight="false" outlineLevel="0" collapsed="false">
      <c r="A322" s="5" t="s">
        <v>626</v>
      </c>
      <c r="B322" s="6" t="s">
        <v>627</v>
      </c>
      <c r="C322" s="5" t="s">
        <v>51</v>
      </c>
      <c r="D322" s="7"/>
      <c r="E322" s="7"/>
      <c r="F322" s="7"/>
      <c r="G322" s="7"/>
      <c r="H322" s="7"/>
      <c r="I322" s="7" t="n">
        <v>188</v>
      </c>
      <c r="J322" s="8" t="n">
        <f aca="false">SUM(D322:I322)</f>
        <v>188</v>
      </c>
      <c r="K322" s="9" t="n">
        <v>250</v>
      </c>
      <c r="L322" s="9" t="n">
        <f aca="false">J322*K322</f>
        <v>47000</v>
      </c>
    </row>
    <row r="323" customFormat="false" ht="15" hidden="false" customHeight="false" outlineLevel="0" collapsed="false">
      <c r="A323" s="5" t="s">
        <v>628</v>
      </c>
      <c r="B323" s="6" t="s">
        <v>629</v>
      </c>
      <c r="C323" s="5" t="s">
        <v>51</v>
      </c>
      <c r="D323" s="7"/>
      <c r="E323" s="7"/>
      <c r="F323" s="7"/>
      <c r="G323" s="7"/>
      <c r="H323" s="7"/>
      <c r="I323" s="7" t="n">
        <v>76</v>
      </c>
      <c r="J323" s="8" t="n">
        <f aca="false">SUM(D323:I323)</f>
        <v>76</v>
      </c>
      <c r="K323" s="9" t="n">
        <v>320</v>
      </c>
      <c r="L323" s="9" t="n">
        <f aca="false">J323*K323</f>
        <v>24320</v>
      </c>
    </row>
    <row r="324" customFormat="false" ht="25.35" hidden="false" customHeight="false" outlineLevel="0" collapsed="false">
      <c r="A324" s="5" t="s">
        <v>630</v>
      </c>
      <c r="B324" s="6" t="s">
        <v>631</v>
      </c>
      <c r="C324" s="5" t="s">
        <v>51</v>
      </c>
      <c r="D324" s="7"/>
      <c r="E324" s="7"/>
      <c r="F324" s="7"/>
      <c r="G324" s="7"/>
      <c r="H324" s="7"/>
      <c r="I324" s="7" t="n">
        <v>50</v>
      </c>
      <c r="J324" s="8" t="n">
        <f aca="false">SUM(D324:I324)</f>
        <v>50</v>
      </c>
      <c r="K324" s="9" t="n">
        <v>860</v>
      </c>
      <c r="L324" s="9" t="n">
        <f aca="false">J324*K324</f>
        <v>43000</v>
      </c>
    </row>
    <row r="325" customFormat="false" ht="25.35" hidden="false" customHeight="false" outlineLevel="0" collapsed="false">
      <c r="A325" s="5" t="s">
        <v>632</v>
      </c>
      <c r="B325" s="6" t="s">
        <v>633</v>
      </c>
      <c r="C325" s="5" t="s">
        <v>108</v>
      </c>
      <c r="D325" s="7"/>
      <c r="E325" s="7"/>
      <c r="F325" s="7"/>
      <c r="G325" s="7"/>
      <c r="H325" s="7"/>
      <c r="I325" s="7" t="n">
        <v>16.2</v>
      </c>
      <c r="J325" s="8" t="n">
        <f aca="false">SUM(D325:I325)</f>
        <v>16.2</v>
      </c>
      <c r="K325" s="9" t="n">
        <v>430</v>
      </c>
      <c r="L325" s="9" t="n">
        <f aca="false">J325*K325</f>
        <v>6966</v>
      </c>
    </row>
    <row r="326" customFormat="false" ht="25.35" hidden="false" customHeight="false" outlineLevel="0" collapsed="false">
      <c r="A326" s="5" t="s">
        <v>634</v>
      </c>
      <c r="B326" s="6" t="s">
        <v>635</v>
      </c>
      <c r="C326" s="5" t="s">
        <v>636</v>
      </c>
      <c r="D326" s="7"/>
      <c r="E326" s="7"/>
      <c r="F326" s="7"/>
      <c r="G326" s="7"/>
      <c r="H326" s="7"/>
      <c r="I326" s="7" t="n">
        <v>2.2</v>
      </c>
      <c r="J326" s="8" t="n">
        <f aca="false">SUM(D326:I326)</f>
        <v>2.2</v>
      </c>
      <c r="K326" s="9" t="n">
        <v>8580</v>
      </c>
      <c r="L326" s="9" t="n">
        <f aca="false">J326*K326</f>
        <v>18876</v>
      </c>
    </row>
    <row r="327" customFormat="false" ht="15" hidden="false" customHeight="false" outlineLevel="0" collapsed="false">
      <c r="A327" s="5" t="s">
        <v>637</v>
      </c>
      <c r="B327" s="6" t="s">
        <v>401</v>
      </c>
      <c r="C327" s="5" t="s">
        <v>84</v>
      </c>
      <c r="D327" s="7"/>
      <c r="E327" s="7"/>
      <c r="F327" s="7"/>
      <c r="G327" s="7"/>
      <c r="H327" s="7"/>
      <c r="I327" s="7" t="n">
        <v>150</v>
      </c>
      <c r="J327" s="8" t="n">
        <f aca="false">SUM(D327:I327)</f>
        <v>150</v>
      </c>
      <c r="K327" s="9" t="n">
        <v>1040</v>
      </c>
      <c r="L327" s="9" t="n">
        <f aca="false">J327*K327</f>
        <v>156000</v>
      </c>
    </row>
    <row r="328" customFormat="false" ht="15" hidden="false" customHeight="false" outlineLevel="0" collapsed="false">
      <c r="A328" s="5" t="s">
        <v>638</v>
      </c>
      <c r="B328" s="6" t="s">
        <v>403</v>
      </c>
      <c r="C328" s="5" t="s">
        <v>197</v>
      </c>
      <c r="D328" s="7"/>
      <c r="E328" s="7"/>
      <c r="F328" s="7"/>
      <c r="G328" s="7"/>
      <c r="H328" s="7"/>
      <c r="I328" s="7" t="n">
        <v>80</v>
      </c>
      <c r="J328" s="8" t="n">
        <f aca="false">SUM(D328:I328)</f>
        <v>80</v>
      </c>
      <c r="K328" s="9" t="n">
        <v>1020</v>
      </c>
      <c r="L328" s="9" t="n">
        <f aca="false">J328*K328</f>
        <v>81600</v>
      </c>
    </row>
    <row r="329" customFormat="false" ht="15" hidden="false" customHeight="false" outlineLevel="0" collapsed="false">
      <c r="A329" s="5" t="s">
        <v>639</v>
      </c>
      <c r="B329" s="6" t="s">
        <v>640</v>
      </c>
      <c r="C329" s="5" t="s">
        <v>192</v>
      </c>
      <c r="D329" s="7"/>
      <c r="E329" s="7"/>
      <c r="F329" s="7"/>
      <c r="G329" s="7"/>
      <c r="H329" s="7"/>
      <c r="I329" s="7" t="n">
        <v>1</v>
      </c>
      <c r="J329" s="8" t="n">
        <f aca="false">SUM(D329:I329)</f>
        <v>1</v>
      </c>
      <c r="K329" s="9" t="n">
        <v>95000</v>
      </c>
      <c r="L329" s="9" t="n">
        <f aca="false">J329*K329</f>
        <v>95000</v>
      </c>
    </row>
    <row r="330" customFormat="false" ht="15" hidden="false" customHeight="false" outlineLevel="0" collapsed="false">
      <c r="A330" s="3" t="s">
        <v>641</v>
      </c>
      <c r="B330" s="3" t="s">
        <v>642</v>
      </c>
      <c r="C330" s="3"/>
      <c r="D330" s="3"/>
      <c r="E330" s="3"/>
      <c r="F330" s="3"/>
      <c r="G330" s="3"/>
      <c r="H330" s="3"/>
      <c r="I330" s="3"/>
      <c r="J330" s="3"/>
      <c r="K330" s="3"/>
      <c r="L330" s="4" t="n">
        <f aca="false">SUM(L331:L339)</f>
        <v>1225058</v>
      </c>
    </row>
    <row r="331" customFormat="false" ht="15" hidden="false" customHeight="false" outlineLevel="0" collapsed="false">
      <c r="A331" s="5" t="s">
        <v>643</v>
      </c>
      <c r="B331" s="6" t="s">
        <v>644</v>
      </c>
      <c r="C331" s="5" t="s">
        <v>51</v>
      </c>
      <c r="D331" s="7"/>
      <c r="E331" s="7"/>
      <c r="F331" s="7"/>
      <c r="G331" s="7"/>
      <c r="H331" s="7"/>
      <c r="I331" s="7" t="n">
        <v>31</v>
      </c>
      <c r="J331" s="8" t="n">
        <f aca="false">SUM(D331:I331)</f>
        <v>31</v>
      </c>
      <c r="K331" s="9" t="n">
        <v>18200</v>
      </c>
      <c r="L331" s="9" t="n">
        <f aca="false">J331*K331</f>
        <v>564200</v>
      </c>
    </row>
    <row r="332" customFormat="false" ht="25.35" hidden="false" customHeight="false" outlineLevel="0" collapsed="false">
      <c r="A332" s="5" t="s">
        <v>645</v>
      </c>
      <c r="B332" s="6" t="s">
        <v>646</v>
      </c>
      <c r="C332" s="5" t="s">
        <v>51</v>
      </c>
      <c r="D332" s="7"/>
      <c r="E332" s="7"/>
      <c r="F332" s="7"/>
      <c r="G332" s="7"/>
      <c r="H332" s="7"/>
      <c r="I332" s="7" t="n">
        <v>31</v>
      </c>
      <c r="J332" s="8" t="n">
        <f aca="false">SUM(D332:I332)</f>
        <v>31</v>
      </c>
      <c r="K332" s="9" t="n">
        <v>5670</v>
      </c>
      <c r="L332" s="9" t="n">
        <f aca="false">J332*K332</f>
        <v>175770</v>
      </c>
    </row>
    <row r="333" customFormat="false" ht="15" hidden="false" customHeight="false" outlineLevel="0" collapsed="false">
      <c r="A333" s="5" t="s">
        <v>647</v>
      </c>
      <c r="B333" s="6" t="s">
        <v>411</v>
      </c>
      <c r="C333" s="5" t="s">
        <v>51</v>
      </c>
      <c r="D333" s="7"/>
      <c r="E333" s="7"/>
      <c r="F333" s="7"/>
      <c r="G333" s="7"/>
      <c r="H333" s="7"/>
      <c r="I333" s="7" t="n">
        <v>4</v>
      </c>
      <c r="J333" s="8" t="n">
        <f aca="false">SUM(D333:I333)</f>
        <v>4</v>
      </c>
      <c r="K333" s="9" t="n">
        <v>1620</v>
      </c>
      <c r="L333" s="9" t="n">
        <f aca="false">J333*K333</f>
        <v>6480</v>
      </c>
    </row>
    <row r="334" customFormat="false" ht="15" hidden="false" customHeight="false" outlineLevel="0" collapsed="false">
      <c r="A334" s="5" t="s">
        <v>648</v>
      </c>
      <c r="B334" s="6" t="s">
        <v>413</v>
      </c>
      <c r="C334" s="5" t="s">
        <v>51</v>
      </c>
      <c r="D334" s="7"/>
      <c r="E334" s="7"/>
      <c r="F334" s="7"/>
      <c r="G334" s="7"/>
      <c r="H334" s="7"/>
      <c r="I334" s="7" t="n">
        <v>4</v>
      </c>
      <c r="J334" s="8" t="n">
        <f aca="false">SUM(D334:I334)</f>
        <v>4</v>
      </c>
      <c r="K334" s="9" t="n">
        <v>500</v>
      </c>
      <c r="L334" s="9" t="n">
        <f aca="false">J334*K334</f>
        <v>2000</v>
      </c>
    </row>
    <row r="335" customFormat="false" ht="15" hidden="false" customHeight="false" outlineLevel="0" collapsed="false">
      <c r="A335" s="5" t="s">
        <v>649</v>
      </c>
      <c r="B335" s="6" t="s">
        <v>415</v>
      </c>
      <c r="C335" s="5" t="s">
        <v>51</v>
      </c>
      <c r="D335" s="7"/>
      <c r="E335" s="7"/>
      <c r="F335" s="7"/>
      <c r="G335" s="7"/>
      <c r="H335" s="7"/>
      <c r="I335" s="7" t="n">
        <v>31</v>
      </c>
      <c r="J335" s="8" t="n">
        <f aca="false">SUM(D335:I335)</f>
        <v>31</v>
      </c>
      <c r="K335" s="9" t="n">
        <v>1994</v>
      </c>
      <c r="L335" s="9" t="n">
        <f aca="false">J335*K335</f>
        <v>61814</v>
      </c>
    </row>
    <row r="336" customFormat="false" ht="15" hidden="false" customHeight="false" outlineLevel="0" collapsed="false">
      <c r="A336" s="5" t="s">
        <v>650</v>
      </c>
      <c r="B336" s="6" t="s">
        <v>651</v>
      </c>
      <c r="C336" s="5" t="s">
        <v>51</v>
      </c>
      <c r="D336" s="7"/>
      <c r="E336" s="7"/>
      <c r="F336" s="7"/>
      <c r="G336" s="7"/>
      <c r="H336" s="7"/>
      <c r="I336" s="7" t="n">
        <v>31</v>
      </c>
      <c r="J336" s="8" t="n">
        <f aca="false">SUM(D336:I336)</f>
        <v>31</v>
      </c>
      <c r="K336" s="9" t="n">
        <v>1994</v>
      </c>
      <c r="L336" s="9" t="n">
        <f aca="false">J336*K336</f>
        <v>61814</v>
      </c>
    </row>
    <row r="337" customFormat="false" ht="15" hidden="false" customHeight="false" outlineLevel="0" collapsed="false">
      <c r="A337" s="5" t="s">
        <v>652</v>
      </c>
      <c r="B337" s="6" t="s">
        <v>653</v>
      </c>
      <c r="C337" s="5" t="s">
        <v>108</v>
      </c>
      <c r="D337" s="7"/>
      <c r="E337" s="7"/>
      <c r="F337" s="7"/>
      <c r="G337" s="7"/>
      <c r="H337" s="7"/>
      <c r="I337" s="7" t="n">
        <v>30</v>
      </c>
      <c r="J337" s="8" t="n">
        <f aca="false">SUM(D337:I337)</f>
        <v>30</v>
      </c>
      <c r="K337" s="9" t="n">
        <v>486</v>
      </c>
      <c r="L337" s="9" t="n">
        <f aca="false">J337*K337</f>
        <v>14580</v>
      </c>
    </row>
    <row r="338" customFormat="false" ht="15" hidden="false" customHeight="false" outlineLevel="0" collapsed="false">
      <c r="A338" s="5" t="s">
        <v>654</v>
      </c>
      <c r="B338" s="6" t="s">
        <v>477</v>
      </c>
      <c r="C338" s="5" t="s">
        <v>197</v>
      </c>
      <c r="D338" s="7"/>
      <c r="E338" s="7"/>
      <c r="F338" s="7"/>
      <c r="G338" s="7"/>
      <c r="H338" s="7"/>
      <c r="I338" s="7" t="n">
        <v>200</v>
      </c>
      <c r="J338" s="8" t="n">
        <f aca="false">SUM(D338:I338)</f>
        <v>200</v>
      </c>
      <c r="K338" s="9" t="n">
        <v>1092</v>
      </c>
      <c r="L338" s="9" t="n">
        <f aca="false">J338*K338</f>
        <v>218400</v>
      </c>
    </row>
    <row r="339" customFormat="false" ht="15" hidden="false" customHeight="false" outlineLevel="0" collapsed="false">
      <c r="A339" s="5" t="s">
        <v>655</v>
      </c>
      <c r="B339" s="6" t="s">
        <v>640</v>
      </c>
      <c r="C339" s="5" t="s">
        <v>192</v>
      </c>
      <c r="D339" s="7"/>
      <c r="E339" s="7"/>
      <c r="F339" s="7"/>
      <c r="G339" s="7"/>
      <c r="H339" s="7"/>
      <c r="I339" s="7" t="n">
        <v>1</v>
      </c>
      <c r="J339" s="8" t="n">
        <f aca="false">SUM(D339:I339)</f>
        <v>1</v>
      </c>
      <c r="K339" s="9" t="n">
        <v>120000</v>
      </c>
      <c r="L339" s="9" t="n">
        <f aca="false">J339*K339</f>
        <v>120000</v>
      </c>
    </row>
    <row r="341" customFormat="false" ht="15" hidden="false" customHeight="false" outlineLevel="0" collapsed="false">
      <c r="A341" s="10" t="s">
        <v>656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1" t="n">
        <f aca="false">L4+L39+L81+L112+L197+L234+L330</f>
        <v>19120548.701</v>
      </c>
    </row>
    <row r="343" customFormat="false" ht="15" hidden="false" customHeight="false" outlineLevel="0" collapsed="false">
      <c r="B343" s="12" t="s">
        <v>657</v>
      </c>
    </row>
    <row r="346" customFormat="false" ht="15" hidden="false" customHeight="false" outlineLevel="0" collapsed="false">
      <c r="B346" s="13" t="s">
        <v>658</v>
      </c>
      <c r="H346" s="13" t="s">
        <v>659</v>
      </c>
    </row>
    <row r="348" customFormat="false" ht="15" hidden="false" customHeight="false" outlineLevel="0" collapsed="false">
      <c r="B348" s="14" t="s">
        <v>660</v>
      </c>
      <c r="H348" s="14" t="s">
        <v>661</v>
      </c>
    </row>
  </sheetData>
  <mergeCells count="9">
    <mergeCell ref="A1:L1"/>
    <mergeCell ref="B4:K4"/>
    <mergeCell ref="B39:K39"/>
    <mergeCell ref="B81:K81"/>
    <mergeCell ref="B112:K112"/>
    <mergeCell ref="B197:K197"/>
    <mergeCell ref="B234:K234"/>
    <mergeCell ref="B330:K330"/>
    <mergeCell ref="A341:K3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2026-10-20T09:02:31Z</dcterms:created>
  <dc:creator>openpyxl</dc:creator>
  <dc:description/>
  <dc:language>en-US</dc:language>
  <cp:lastModifiedBy/>
  <dcterms:modified xsi:type="dcterms:W3CDTF">2026-10-20T09:02:32Z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