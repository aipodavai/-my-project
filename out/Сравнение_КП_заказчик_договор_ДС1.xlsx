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Ниже договора" sheetId="2" state="visible" r:id="rId4"/>
    <sheet name="Позиции" sheetId="3" state="visible" r:id="rId5"/>
  </sheets>
  <definedNames>
    <definedName function="false" hidden="true" localSheetId="2" name="_xlnm._FilterDatabase" vbProcedure="false">Позиции!$A$4:$Y$332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<sst xmlns="http://schemas.openxmlformats.org/spreadsheetml/2006/main" count="2060" uniqueCount="843">
  <si>
    <t xml:space="preserve">Снижают ли расценки ниже подписанных? — Да, по 2 позициям ДС №1 и по ряду новых работ</t>
  </si>
  <si>
    <t xml:space="preserve">Все цифры — формулы по листу «Позиции». Без НДС.</t>
  </si>
  <si>
    <t xml:space="preserve">Документы</t>
  </si>
  <si>
    <t xml:space="preserve">Договор № СПБ-ГАЗЭ/ОВ/7-9 от 19.06.2026, Прил.1 (7–9 эт.)</t>
  </si>
  <si>
    <t xml:space="preserve">подписан в Диадок 01–07.07.2026</t>
  </si>
  <si>
    <t xml:space="preserve">ДС №1 от 27.07.2026, Прил.1 (3, 7–9 эт.) — заменяет Прил.1</t>
  </si>
  <si>
    <t xml:space="preserve">подписано в Диадок 04.08.2026; оплачено 5 398 522,20</t>
  </si>
  <si>
    <t xml:space="preserve">Наше КП (2, 3, 7–10 эт.)</t>
  </si>
  <si>
    <t xml:space="preserve">исходное</t>
  </si>
  <si>
    <t xml:space="preserve">Файл заказчика — как у них посчитано</t>
  </si>
  <si>
    <t xml:space="preserve">итог из их файла</t>
  </si>
  <si>
    <t xml:space="preserve">Файл заказчика — с учётом всех их комментариев</t>
  </si>
  <si>
    <t xml:space="preserve">+ снижения, внесённые только в комментарии</t>
  </si>
  <si>
    <t xml:space="preserve">НАША ПОЗИЦИЯ ПО ПИСЬМУ (с дымоудалением)</t>
  </si>
  <si>
    <t xml:space="preserve">письмо с возражениями: вернуть 4 316 295,16 + дымоудаление 1 028 480 допником</t>
  </si>
  <si>
    <t xml:space="preserve">Разделы 1–2 (работы по подписанному ДС №1) против разделов 3–7 (новые работы)</t>
  </si>
  <si>
    <t xml:space="preserve">Блок</t>
  </si>
  <si>
    <t xml:space="preserve">По ДС №1 (подписано), ₽</t>
  </si>
  <si>
    <t xml:space="preserve">Наше КП, ₽</t>
  </si>
  <si>
    <t xml:space="preserve">Заказчик, ₽</t>
  </si>
  <si>
    <t xml:space="preserve">Заказчик против КП, ₽</t>
  </si>
  <si>
    <t xml:space="preserve">По нашему письму, ₽</t>
  </si>
  <si>
    <t xml:space="preserve">Разделы 1–2 (3, 7–9 эт.) — по ДС №1</t>
  </si>
  <si>
    <t xml:space="preserve">Разделы 3–7 — новые работы (10 и 2 эт., доп. работы, дымоудаление)</t>
  </si>
  <si>
    <t xml:space="preserve">—</t>
  </si>
  <si>
    <t xml:space="preserve">Итого</t>
  </si>
  <si>
    <t xml:space="preserve">В разделах 1–2 наше КП меньше ДС №1, потому что объёмы пересчитаны по факту, а 9 позиций мы сами пометили «исключено». «По нашему письму» включает дымоудаление (1 028 480), которое уйдёт в отдельный допник.</t>
  </si>
  <si>
    <t xml:space="preserve">Главные выводы</t>
  </si>
  <si>
    <t xml:space="preserve">Вывод</t>
  </si>
  <si>
    <t xml:space="preserve">Позиций</t>
  </si>
  <si>
    <t xml:space="preserve">Сумма, ₽</t>
  </si>
  <si>
    <t xml:space="preserve">Что это значит</t>
  </si>
  <si>
    <t xml:space="preserve">НИЖЕ подписанной цены ДС №1</t>
  </si>
  <si>
    <t xml:space="preserve">Заказчик снизил цены, которые уже подписаны в ДС №1 (п. 2.7 узел регулирования 6 650 → 2 500; п. 1.33 K-Flex 665,89 → 570). По п. 10.1 Договора цену меняет только ДС, подписанное обеими сторонами.</t>
  </si>
  <si>
    <t xml:space="preserve">Новая работа: НИЖЕ цены аналога из ДС</t>
  </si>
  <si>
    <t xml:space="preserve">Новые работы, где заказчик пишет «по договору», а ставит ниже того же изделия в ДС №1: решётки защитные (в ДС 1 425), круглые фасонные изделия (в ДС 855).</t>
  </si>
  <si>
    <t xml:space="preserve">Удалено заказчиком без комментария</t>
  </si>
  <si>
    <t xml:space="preserve">Дренаж, демонтажи, подключение фанкойлов — просто вычеркнуты.</t>
  </si>
  <si>
    <t xml:space="preserve">Перенесено в отдельный допник</t>
  </si>
  <si>
    <t xml:space="preserve">Дымоудаление 10 и 2 эт. — нужен подписанный допник.</t>
  </si>
  <si>
    <t xml:space="preserve">Заказчик прав: вернул цену ДС №1</t>
  </si>
  <si>
    <t xml:space="preserve">Тут ошиблись мы: в КП было 500 и 200 ₽, а в ДС №1 — 400 и 150 ₽ (PEX 25/32, Armaflex 28/35). Спорить не стоит.</t>
  </si>
  <si>
    <t xml:space="preserve">Новая работа: по цене аналога ДС (снижено с нашей)</t>
  </si>
  <si>
    <t xml:space="preserve">Заказчик снизил наши цены до цены такого же изделия в ДС №1 (гофра 760, КВК 950, фасонка 855, воздуховоды и т.д.). У заказчика здесь сильная позиция.</t>
  </si>
  <si>
    <t xml:space="preserve">Новая работа: выше аналога ДС</t>
  </si>
  <si>
    <t xml:space="preserve">Заказчик оставил цену выше, чем в ДС (PEX, теплоизоляция трубок, часть воздуховодов). В нашу пользу, но могут пересмотреть.</t>
  </si>
  <si>
    <t xml:space="preserve">Новая работа: аналога в ДС нет — снижено</t>
  </si>
  <si>
    <t xml:space="preserve">Цены на новые работы — предмет торга; договорной цены нет.</t>
  </si>
  <si>
    <t xml:space="preserve">Для строк 1–2 «Сумма» = цена заказчика против цены ДС/аналога × объём заказчика; для остальных — разница с нашим КП.</t>
  </si>
  <si>
    <t xml:space="preserve">Исключено нами, но есть в ДС №1 (по ценам ДС)</t>
  </si>
  <si>
    <t xml:space="preserve">9 позиций ДС №1 мы сами пометили «исключено» (из них пайка кондиционеров п.2.14 — 646 000). Если работы выполнены — их надо вернуть в КП.</t>
  </si>
  <si>
    <t xml:space="preserve">Позиции, где цена заказчика ниже подписанной цены или цены аналога из ДС №1</t>
  </si>
  <si>
    <t xml:space="preserve">№</t>
  </si>
  <si>
    <t xml:space="preserve">Наименование</t>
  </si>
  <si>
    <t xml:space="preserve">Ед.</t>
  </si>
  <si>
    <t xml:space="preserve">Кол-во (заказчик)</t>
  </si>
  <si>
    <t xml:space="preserve">Цена ДС / аналога, ₽</t>
  </si>
  <si>
    <t xml:space="preserve">Откуда</t>
  </si>
  <si>
    <t xml:space="preserve">Цена заказчика, ₽</t>
  </si>
  <si>
    <t xml:space="preserve">Потеря на ед., ₽</t>
  </si>
  <si>
    <t xml:space="preserve">Потеря на объём, ₽</t>
  </si>
  <si>
    <t xml:space="preserve">Комментарий</t>
  </si>
  <si>
    <t xml:space="preserve">ИТОГО</t>
  </si>
  <si>
    <t xml:space="preserve">Красным — позиции подписанного ДС №1; без заливки — новые работы, где цена ниже такого же изделия в ДС.</t>
  </si>
  <si>
    <t xml:space="preserve">Наше КП (22,67 млн) · правки заказчика (16,07 млн) · подписанные Договор и ДС №1</t>
  </si>
  <si>
    <t xml:space="preserve">Разделы 1–2 (3, 7–9 этажи) — работы по ДС №1 от 27.07.2026, цены подписаны. Разделы 3–7 — новые работы, цен в договоре нет; сравнение с ценой аналога из ДС/договора. Суммы без НДС (Подрядчик на УСН).</t>
  </si>
  <si>
    <t xml:space="preserve">ДС №1 от 27.07.2026 (подписано)</t>
  </si>
  <si>
    <t xml:space="preserve">Договор 19.06</t>
  </si>
  <si>
    <t xml:space="preserve">Наше КП</t>
  </si>
  <si>
    <t xml:space="preserve">Заказчик (с учётом всех правок)</t>
  </si>
  <si>
    <t xml:space="preserve">Сравнение</t>
  </si>
  <si>
    <t xml:space="preserve">Наша позиция по письму</t>
  </si>
  <si>
    <t xml:space="preserve">Раздел</t>
  </si>
  <si>
    <t xml:space="preserve">Кол-во</t>
  </si>
  <si>
    <t xml:space="preserve">Цена, ₽</t>
  </si>
  <si>
    <t xml:space="preserve">Цена в Прил.1
к Договору, ₽</t>
  </si>
  <si>
    <t xml:space="preserve">Цена-ориентир
(ДС или аналог), ₽</t>
  </si>
  <si>
    <t xml:space="preserve">Откуда ориентир</t>
  </si>
  <si>
    <t xml:space="preserve">Заказчик против
ориентира,
₽ за ед.</t>
  </si>
  <si>
    <t xml:space="preserve">Заказчик против
ориентира,
₽ на объём</t>
  </si>
  <si>
    <t xml:space="preserve">Заказчик против
нашего КП, ₽</t>
  </si>
  <si>
    <t xml:space="preserve">Раздел
письма</t>
  </si>
  <si>
    <t xml:space="preserve">1. Вентиляция  — работы по ДС №1</t>
  </si>
  <si>
    <t xml:space="preserve">1. Вентиляция</t>
  </si>
  <si>
    <t xml:space="preserve">1.1</t>
  </si>
  <si>
    <t xml:space="preserve">Диффузор 160 мм</t>
  </si>
  <si>
    <t xml:space="preserve">шт</t>
  </si>
  <si>
    <t xml:space="preserve">ДС №1 п.1.1</t>
  </si>
  <si>
    <t xml:space="preserve">Цена ДС №1 — без изменений</t>
  </si>
  <si>
    <t xml:space="preserve">1.2</t>
  </si>
  <si>
    <t xml:space="preserve">Диффузор 160 мм (сущ) исключено</t>
  </si>
  <si>
    <t xml:space="preserve">ДС №1 п.1.2</t>
  </si>
  <si>
    <t xml:space="preserve">Исключено нами (в ДС есть)</t>
  </si>
  <si>
    <t xml:space="preserve">В ДС №1: 16 × 600.00 ₽. Мы сами пометили «исключено» — проверить  выполнялась ли работа.</t>
  </si>
  <si>
    <t xml:space="preserve">1.3</t>
  </si>
  <si>
    <t xml:space="preserve">Диффузор 100 мм</t>
  </si>
  <si>
    <t xml:space="preserve">ДС №1 п.1.3</t>
  </si>
  <si>
    <t xml:space="preserve">1.4</t>
  </si>
  <si>
    <t xml:space="preserve">Решетка щелевая SWANa 2-1200 (сущ) исключено</t>
  </si>
  <si>
    <t xml:space="preserve">ДС №1 п.1.4</t>
  </si>
  <si>
    <t xml:space="preserve">В ДС №1: 8 × 4 000.00 ₽. Мы сами пометили «исключено» — проверить  выполнялась ли работа.</t>
  </si>
  <si>
    <t xml:space="preserve">1.5</t>
  </si>
  <si>
    <t xml:space="preserve">Регулятор расхода воздуха, Ø100</t>
  </si>
  <si>
    <t xml:space="preserve">ДС №1 п.1.5</t>
  </si>
  <si>
    <t xml:space="preserve">1.6</t>
  </si>
  <si>
    <t xml:space="preserve">Регулятор расхода воздуха, Ø160</t>
  </si>
  <si>
    <t xml:space="preserve">ДС №1 п.1.6</t>
  </si>
  <si>
    <t xml:space="preserve">1.7</t>
  </si>
  <si>
    <t xml:space="preserve">Регулятор расхода воздуха, Ø200</t>
  </si>
  <si>
    <t xml:space="preserve">ДС №1 п.1.7</t>
  </si>
  <si>
    <t xml:space="preserve">1.8</t>
  </si>
  <si>
    <t xml:space="preserve">Регулятор расхода воздуха, Ø250</t>
  </si>
  <si>
    <t xml:space="preserve">ДС №1 п.1.8</t>
  </si>
  <si>
    <t xml:space="preserve">1.9</t>
  </si>
  <si>
    <t xml:space="preserve">Воздуховод гофрированный 160 исключено</t>
  </si>
  <si>
    <t xml:space="preserve">м</t>
  </si>
  <si>
    <t xml:space="preserve">ДС №1 п.1.9</t>
  </si>
  <si>
    <t xml:space="preserve">В ДС №1: 40 × 474.36 ₽. Мы сами пометили «исключено» — проверить  выполнялась ли работа.</t>
  </si>
  <si>
    <t xml:space="preserve">1.10</t>
  </si>
  <si>
    <t xml:space="preserve">Воздуховод гофрированный 100</t>
  </si>
  <si>
    <t xml:space="preserve">ДС №1 п.1.10</t>
  </si>
  <si>
    <t xml:space="preserve">1.11</t>
  </si>
  <si>
    <t xml:space="preserve">Воздуховод гофрированный Ø160 алюдек</t>
  </si>
  <si>
    <t xml:space="preserve">ДС №1 п.1.11</t>
  </si>
  <si>
    <t xml:space="preserve">1.12</t>
  </si>
  <si>
    <t xml:space="preserve">Воздуховод гофрированный изолированный, Ø160 санодек</t>
  </si>
  <si>
    <t xml:space="preserve">ДС №1 п.1.12</t>
  </si>
  <si>
    <t xml:space="preserve">1.13</t>
  </si>
  <si>
    <t xml:space="preserve">Воздуховод(класс герм. "В") толщина лист. стали b-0,5мм 100 -</t>
  </si>
  <si>
    <t xml:space="preserve">ДС №1 п.1.13</t>
  </si>
  <si>
    <t xml:space="preserve">1.14</t>
  </si>
  <si>
    <t xml:space="preserve">Воздуховод(класс герм. "В") толщина лист. стали b-0,5мм 160</t>
  </si>
  <si>
    <t xml:space="preserve">ДС №1 п.1.14</t>
  </si>
  <si>
    <t xml:space="preserve">1.15</t>
  </si>
  <si>
    <t xml:space="preserve">Воздуховод(класс герм. "В") толщина лист. стали b-0,5мм 200</t>
  </si>
  <si>
    <t xml:space="preserve">ДС №1 п.1.15</t>
  </si>
  <si>
    <t xml:space="preserve">1.16</t>
  </si>
  <si>
    <t xml:space="preserve">Воздуховод(класс герм. "В") толщина лист. стали b-0,6мм 250</t>
  </si>
  <si>
    <t xml:space="preserve">ДС №1 п.1.16</t>
  </si>
  <si>
    <t xml:space="preserve">1.17</t>
  </si>
  <si>
    <t xml:space="preserve">Тройник ф 160</t>
  </si>
  <si>
    <t xml:space="preserve">шт.</t>
  </si>
  <si>
    <t xml:space="preserve">ДС №1 п.1.17</t>
  </si>
  <si>
    <t xml:space="preserve">1.18</t>
  </si>
  <si>
    <t xml:space="preserve">Тройник ф 200</t>
  </si>
  <si>
    <t xml:space="preserve">ДС №1 п.1.18</t>
  </si>
  <si>
    <t xml:space="preserve">1.19</t>
  </si>
  <si>
    <t xml:space="preserve">Переход 160-200</t>
  </si>
  <si>
    <t xml:space="preserve">ДС №1 п.1.19</t>
  </si>
  <si>
    <t xml:space="preserve">1.20</t>
  </si>
  <si>
    <t xml:space="preserve">Отвод 90 ф160</t>
  </si>
  <si>
    <t xml:space="preserve">ДС №1 п.1.20</t>
  </si>
  <si>
    <t xml:space="preserve">1.21</t>
  </si>
  <si>
    <t xml:space="preserve">Отвод 45 Ф160</t>
  </si>
  <si>
    <t xml:space="preserve">ДС №1 п.1.21</t>
  </si>
  <si>
    <t xml:space="preserve">1.22</t>
  </si>
  <si>
    <t xml:space="preserve">Тройник 200/160/200 исключено</t>
  </si>
  <si>
    <t xml:space="preserve">ДС №1 п.1.22</t>
  </si>
  <si>
    <t xml:space="preserve">В ДС №1: 108 × 855.00 ₽. Мы сами пометили «исключено» — проверить  выполнялась ли работа.</t>
  </si>
  <si>
    <t xml:space="preserve">1.23</t>
  </si>
  <si>
    <t xml:space="preserve">КВК ф250 исключено</t>
  </si>
  <si>
    <t xml:space="preserve">ДС №1 п.1.23</t>
  </si>
  <si>
    <t xml:space="preserve">В ДС №1: 4 × 950.00 ₽. Мы сами пометили «исключено» — проверить  выполнялась ли работа.</t>
  </si>
  <si>
    <t xml:space="preserve">1.24</t>
  </si>
  <si>
    <t xml:space="preserve">Переход с воздуховодов на врезку балки</t>
  </si>
  <si>
    <t xml:space="preserve">ДС №1 п.1.24</t>
  </si>
  <si>
    <t xml:space="preserve">1.25</t>
  </si>
  <si>
    <t xml:space="preserve">Отвод 90 ф200</t>
  </si>
  <si>
    <t xml:space="preserve">ДС №1 п.1.25</t>
  </si>
  <si>
    <t xml:space="preserve">1.26</t>
  </si>
  <si>
    <t xml:space="preserve">Отвод 45 ф 200</t>
  </si>
  <si>
    <t xml:space="preserve">ДС №1 п.1.26</t>
  </si>
  <si>
    <t xml:space="preserve">1.27</t>
  </si>
  <si>
    <t xml:space="preserve">КВК ф 200 исключено</t>
  </si>
  <si>
    <t xml:space="preserve">ДС №1 п.1.27</t>
  </si>
  <si>
    <t xml:space="preserve">В ДС №1: 88 × 950.00 ₽. Мы сами пометили «исключено» — проверить  выполнялась ли работа.</t>
  </si>
  <si>
    <t xml:space="preserve">1.28</t>
  </si>
  <si>
    <t xml:space="preserve">КВК160 исключено</t>
  </si>
  <si>
    <t xml:space="preserve">ДС №1 п.1.28</t>
  </si>
  <si>
    <t xml:space="preserve">В ДС №1: 24 × 950.00 ₽. Мы сами пометили «исключено» — проверить  выполнялась ли работа.</t>
  </si>
  <si>
    <t xml:space="preserve">1.29</t>
  </si>
  <si>
    <t xml:space="preserve">Отвод 90 ф100</t>
  </si>
  <si>
    <t xml:space="preserve">ДС №1 п.1.29</t>
  </si>
  <si>
    <t xml:space="preserve">1.30</t>
  </si>
  <si>
    <t xml:space="preserve">Переход 250\200</t>
  </si>
  <si>
    <t xml:space="preserve">ДС №1 п.1.30</t>
  </si>
  <si>
    <t xml:space="preserve">1.31</t>
  </si>
  <si>
    <t xml:space="preserve">КВК ф100 исключено</t>
  </si>
  <si>
    <t xml:space="preserve">ДС №1 п.1.31</t>
  </si>
  <si>
    <t xml:space="preserve">1.32</t>
  </si>
  <si>
    <t xml:space="preserve">Проделка отверстий</t>
  </si>
  <si>
    <t xml:space="preserve">ДС №1 п.1.32</t>
  </si>
  <si>
    <t xml:space="preserve">1.33</t>
  </si>
  <si>
    <t xml:space="preserve">Универсальная теплоизоляция в виде рулонов, толщиной 6 мм K- Flex-ST</t>
  </si>
  <si>
    <t xml:space="preserve">м2</t>
  </si>
  <si>
    <t xml:space="preserve">ДС №1 п.1.33</t>
  </si>
  <si>
    <t xml:space="preserve">Заказчик: р по договору</t>
  </si>
  <si>
    <t xml:space="preserve">1</t>
  </si>
  <si>
    <t xml:space="preserve">1.34</t>
  </si>
  <si>
    <t xml:space="preserve">ПНР 3-10 эт</t>
  </si>
  <si>
    <t xml:space="preserve">комп</t>
  </si>
  <si>
    <t xml:space="preserve">ДС №1 п.1.34</t>
  </si>
  <si>
    <t xml:space="preserve">2. Кондиционирование  — работы по ДС №1</t>
  </si>
  <si>
    <t xml:space="preserve">2. Кондиционирование</t>
  </si>
  <si>
    <t xml:space="preserve">2.1</t>
  </si>
  <si>
    <t xml:space="preserve">Климатическая балка Swegon PARASOL</t>
  </si>
  <si>
    <t xml:space="preserve">ДС №1 п.2.1</t>
  </si>
  <si>
    <t xml:space="preserve">2.2</t>
  </si>
  <si>
    <t xml:space="preserve">Решетка защитная круглая, Ø160</t>
  </si>
  <si>
    <t xml:space="preserve">ДС №1 п.2.2</t>
  </si>
  <si>
    <t xml:space="preserve">2.3</t>
  </si>
  <si>
    <t xml:space="preserve">Решетка защитная круглая, Ø200</t>
  </si>
  <si>
    <t xml:space="preserve">ДС №1 п.2.3</t>
  </si>
  <si>
    <t xml:space="preserve">2.4</t>
  </si>
  <si>
    <t xml:space="preserve">Решетка защитная прямоугольная, 400х200</t>
  </si>
  <si>
    <t xml:space="preserve">ДС №1 п.2.4</t>
  </si>
  <si>
    <t xml:space="preserve">2.5</t>
  </si>
  <si>
    <t xml:space="preserve">Ручной балансировочный клапан, Ду15 STAD ТА</t>
  </si>
  <si>
    <t xml:space="preserve">ДС №1 п.2.5</t>
  </si>
  <si>
    <t xml:space="preserve">2.6</t>
  </si>
  <si>
    <t xml:space="preserve">Шаровый кран полнопроходной с накидной гайкой, Ду15 BVR- FR 065B8303RG Ридан</t>
  </si>
  <si>
    <t xml:space="preserve">ДС №1 п.2.6</t>
  </si>
  <si>
    <t xml:space="preserve">2.7</t>
  </si>
  <si>
    <t xml:space="preserve">Узел регулирования климатической балки 1/2 Modulator ½</t>
  </si>
  <si>
    <t xml:space="preserve">ДС №1 п.2.7</t>
  </si>
  <si>
    <t xml:space="preserve">Заказчик: по договоренности | В исходном Договоре (п.11.2 Смесительный узел): 5 000.00 ₽</t>
  </si>
  <si>
    <t xml:space="preserve">2.8</t>
  </si>
  <si>
    <t xml:space="preserve">Автоматический воздухоотводчик, ½” Danfoss Airvent 065B8323R</t>
  </si>
  <si>
    <t xml:space="preserve">ДС №1 п.2.8</t>
  </si>
  <si>
    <t xml:space="preserve">2.9</t>
  </si>
  <si>
    <t xml:space="preserve">Трубопровод из полимерных труб РЕХ-а, Дн25х3.5 REHAU Rautitan Flex 11303701006</t>
  </si>
  <si>
    <t xml:space="preserve">м.п.</t>
  </si>
  <si>
    <t xml:space="preserve">ДС №1 п.2.9</t>
  </si>
  <si>
    <t xml:space="preserve">Заказчик: по договру</t>
  </si>
  <si>
    <t xml:space="preserve">2.10</t>
  </si>
  <si>
    <t xml:space="preserve">Трубопровод из полимерных труб РЕХ-а, Дн32х3.5 REHAU Rautitan Flex</t>
  </si>
  <si>
    <t xml:space="preserve">ДС №1 п.2.10</t>
  </si>
  <si>
    <t xml:space="preserve">2.11</t>
  </si>
  <si>
    <t xml:space="preserve">Трубопровод из полимерных труб РЕХ-а, Дн40х3.5 REHAU Rautitan Flex</t>
  </si>
  <si>
    <t xml:space="preserve">ДС №1 п.2.11</t>
  </si>
  <si>
    <t xml:space="preserve">2.12</t>
  </si>
  <si>
    <t xml:space="preserve">Трубопровод из полимерных труб РЕХ-а, Дн50х6,9 REHAU Rautitan Flex</t>
  </si>
  <si>
    <t xml:space="preserve">ДС №1 п.2.12</t>
  </si>
  <si>
    <t xml:space="preserve">2.13</t>
  </si>
  <si>
    <t xml:space="preserve">Трубопровод из полимерных труб РЕХ-а, Дн63х8,6 REHAU Rautitan Flex</t>
  </si>
  <si>
    <t xml:space="preserve">ДС №1 п.2.13</t>
  </si>
  <si>
    <t xml:space="preserve">2.14</t>
  </si>
  <si>
    <t xml:space="preserve">Пайка кондиционеров подача обратка переход с меди на рехао исключено</t>
  </si>
  <si>
    <t xml:space="preserve">ДС №1 п.2.14</t>
  </si>
  <si>
    <t xml:space="preserve">В ДС №1: 680 × 950.00 ₽. Мы сами пометили «исключено» — проверить  выполнялась ли работа.</t>
  </si>
  <si>
    <t xml:space="preserve">2.15</t>
  </si>
  <si>
    <t xml:space="preserve">Рехао тройник 63*8,7/32*4,4/63*8,7</t>
  </si>
  <si>
    <t xml:space="preserve">ДС №1 п.2.15</t>
  </si>
  <si>
    <t xml:space="preserve">2.16</t>
  </si>
  <si>
    <t xml:space="preserve">Рехао тройник 32*4,4/25*3,5/32*4,4</t>
  </si>
  <si>
    <t xml:space="preserve">ДС №1 п.2.16</t>
  </si>
  <si>
    <t xml:space="preserve">2.17</t>
  </si>
  <si>
    <t xml:space="preserve">Рехао Переходник 32*4,4 -25*3,5</t>
  </si>
  <si>
    <t xml:space="preserve">ДС №1 п.2.17</t>
  </si>
  <si>
    <t xml:space="preserve">2.18</t>
  </si>
  <si>
    <t xml:space="preserve">Отвод 90 25*3,5</t>
  </si>
  <si>
    <t xml:space="preserve">ДС №1 п.2.18</t>
  </si>
  <si>
    <t xml:space="preserve">2.19</t>
  </si>
  <si>
    <t xml:space="preserve">Отвод 90 32*4,4</t>
  </si>
  <si>
    <t xml:space="preserve">ДС №1 п.2.19</t>
  </si>
  <si>
    <t xml:space="preserve">2.20</t>
  </si>
  <si>
    <t xml:space="preserve">Полуотвод 45 63*8,7</t>
  </si>
  <si>
    <t xml:space="preserve">ДС №1 п.2.20</t>
  </si>
  <si>
    <t xml:space="preserve">2.21</t>
  </si>
  <si>
    <t xml:space="preserve">Переход 63*4,4/ 50*6,9</t>
  </si>
  <si>
    <t xml:space="preserve">ДС №1 п.2.21</t>
  </si>
  <si>
    <t xml:space="preserve">2.22</t>
  </si>
  <si>
    <t xml:space="preserve">Рехао Тройник 50*6,9/32*4,4/50*6,9</t>
  </si>
  <si>
    <t xml:space="preserve">ДС №1 п.2.22</t>
  </si>
  <si>
    <t xml:space="preserve">2.23</t>
  </si>
  <si>
    <t xml:space="preserve">Переход 50*6,9 / 40*5,5</t>
  </si>
  <si>
    <t xml:space="preserve">ДС №1 п.2.23</t>
  </si>
  <si>
    <t xml:space="preserve">2.24</t>
  </si>
  <si>
    <t xml:space="preserve">Рехао тройник 40*5,5/32*4,4/40*5,5</t>
  </si>
  <si>
    <t xml:space="preserve">ДС №1 п.2.24</t>
  </si>
  <si>
    <t xml:space="preserve">2.25</t>
  </si>
  <si>
    <t xml:space="preserve">полуотвод 25*3,5</t>
  </si>
  <si>
    <t xml:space="preserve">ДС №1 п.2.25</t>
  </si>
  <si>
    <t xml:space="preserve">2.26</t>
  </si>
  <si>
    <t xml:space="preserve">полуотвод 32*4,4</t>
  </si>
  <si>
    <t xml:space="preserve">ДС №1 п.2.26</t>
  </si>
  <si>
    <t xml:space="preserve">2.27</t>
  </si>
  <si>
    <t xml:space="preserve">переходник 40*5,5 32*4,4</t>
  </si>
  <si>
    <t xml:space="preserve">ДС №1 п.2.27</t>
  </si>
  <si>
    <t xml:space="preserve">2.28</t>
  </si>
  <si>
    <t xml:space="preserve">Тройник 40*5,5/25*3,5/ 40*5,5</t>
  </si>
  <si>
    <t xml:space="preserve">ДС №1 п.2.28</t>
  </si>
  <si>
    <t xml:space="preserve">2.29</t>
  </si>
  <si>
    <t xml:space="preserve">Отвод 90 50*6,9</t>
  </si>
  <si>
    <t xml:space="preserve">ДС №1 п.2.29</t>
  </si>
  <si>
    <t xml:space="preserve">2.30</t>
  </si>
  <si>
    <t xml:space="preserve">Тройник 50*6,9/25*3,5/50*6,9</t>
  </si>
  <si>
    <t xml:space="preserve">ДС №1 п.2.30</t>
  </si>
  <si>
    <t xml:space="preserve">2.31</t>
  </si>
  <si>
    <t xml:space="preserve">Тройник 63*8,7 /25*3,6/63*8,7</t>
  </si>
  <si>
    <t xml:space="preserve">ДС №1 п.2.31</t>
  </si>
  <si>
    <t xml:space="preserve">2.32</t>
  </si>
  <si>
    <t xml:space="preserve">Полуотвод 63*8,7</t>
  </si>
  <si>
    <t xml:space="preserve">ДС №1 п.2.32</t>
  </si>
  <si>
    <t xml:space="preserve">2.33</t>
  </si>
  <si>
    <t xml:space="preserve">Тройник 25*3,5</t>
  </si>
  <si>
    <t xml:space="preserve">ДС №1 п.2.33</t>
  </si>
  <si>
    <t xml:space="preserve">2.34</t>
  </si>
  <si>
    <t xml:space="preserve">Отвод 90 63*8,7</t>
  </si>
  <si>
    <t xml:space="preserve">ДС №1 п.2.34</t>
  </si>
  <si>
    <t xml:space="preserve">2.35</t>
  </si>
  <si>
    <t xml:space="preserve">Отвод 90 40*5,5</t>
  </si>
  <si>
    <t xml:space="preserve">ДС №1 п.2.35</t>
  </si>
  <si>
    <t xml:space="preserve">2.36</t>
  </si>
  <si>
    <t xml:space="preserve">ДС №1 п.2.36</t>
  </si>
  <si>
    <t xml:space="preserve">2.37</t>
  </si>
  <si>
    <t xml:space="preserve">Тепловая изоляция из вспененного каучука, толщиной 9 мм Armaflex АСЕ 28*13</t>
  </si>
  <si>
    <t xml:space="preserve">ДС №1 п.2.37</t>
  </si>
  <si>
    <t xml:space="preserve">Заказчик: по договору</t>
  </si>
  <si>
    <t xml:space="preserve">2.38</t>
  </si>
  <si>
    <t xml:space="preserve">Тепловая изоляция из вспененного каучука, толщиной 9 мм Armaflex АСЕ 35*13</t>
  </si>
  <si>
    <t xml:space="preserve">ДС №1 п.2.38</t>
  </si>
  <si>
    <t xml:space="preserve">2.39</t>
  </si>
  <si>
    <t xml:space="preserve">Тепловая изоляция из вспененного каучука, толщиной 9 мм Armaflex АСЕ 42*13</t>
  </si>
  <si>
    <t xml:space="preserve">ДС №1 п.2.39</t>
  </si>
  <si>
    <t xml:space="preserve">2.40</t>
  </si>
  <si>
    <t xml:space="preserve">Тепловая изоляция из вспененного каучука, толщиной 13 мм Armaflex АСЕ 50*13</t>
  </si>
  <si>
    <t xml:space="preserve">ДС №1 п.2.40</t>
  </si>
  <si>
    <t xml:space="preserve">2.41</t>
  </si>
  <si>
    <t xml:space="preserve">Тепловая изоляция из вспененного каучука, толщиной 13 мм Armaflex АСЕ 63*13</t>
  </si>
  <si>
    <t xml:space="preserve">ДС №1 п.2.41</t>
  </si>
  <si>
    <t xml:space="preserve">2.42</t>
  </si>
  <si>
    <t xml:space="preserve">Компл.</t>
  </si>
  <si>
    <t xml:space="preserve">ДС №1 п.2.42</t>
  </si>
  <si>
    <t xml:space="preserve">3. Дополнительные работы 3,7,8,9 этаж  — новые работы (нет в договоре)</t>
  </si>
  <si>
    <t xml:space="preserve">3. Дополнительные работы 3,7,8,9 этаж</t>
  </si>
  <si>
    <t xml:space="preserve">3.1</t>
  </si>
  <si>
    <t xml:space="preserve">Тройник ф 250</t>
  </si>
  <si>
    <t xml:space="preserve">Новая работа: аналога в ДС нет</t>
  </si>
  <si>
    <t xml:space="preserve">3.2</t>
  </si>
  <si>
    <t xml:space="preserve">Отвод 45 ф 250</t>
  </si>
  <si>
    <t xml:space="preserve">3.3</t>
  </si>
  <si>
    <t xml:space="preserve">Врезка седлообразная ф160\160</t>
  </si>
  <si>
    <t xml:space="preserve">3.4</t>
  </si>
  <si>
    <t xml:space="preserve">Врезка седлообразная ф160\200</t>
  </si>
  <si>
    <t xml:space="preserve">3.5</t>
  </si>
  <si>
    <t xml:space="preserve">Врезка седлообразная ф200\200</t>
  </si>
  <si>
    <t xml:space="preserve">3.6</t>
  </si>
  <si>
    <t xml:space="preserve">Врезка прямая ф100</t>
  </si>
  <si>
    <t xml:space="preserve">3.7</t>
  </si>
  <si>
    <t xml:space="preserve">Изоляция изделий (отводы, тройники, переходы, клапана)</t>
  </si>
  <si>
    <t xml:space="preserve">5</t>
  </si>
  <si>
    <t xml:space="preserve">3.8</t>
  </si>
  <si>
    <t xml:space="preserve">Ниппель ф160</t>
  </si>
  <si>
    <t xml:space="preserve">3.9</t>
  </si>
  <si>
    <t xml:space="preserve">Монтаж пожарного клапана</t>
  </si>
  <si>
    <t xml:space="preserve">к-т</t>
  </si>
  <si>
    <t xml:space="preserve">Заказчик: сильно завышена расценка</t>
  </si>
  <si>
    <t xml:space="preserve">6</t>
  </si>
  <si>
    <t xml:space="preserve">3.10</t>
  </si>
  <si>
    <t xml:space="preserve">Обрезка вытяжных воздуховодов</t>
  </si>
  <si>
    <t xml:space="preserve">3.11</t>
  </si>
  <si>
    <t xml:space="preserve">Демонтаж вытяжки 400*200</t>
  </si>
  <si>
    <t xml:space="preserve">мп</t>
  </si>
  <si>
    <t xml:space="preserve">3.12</t>
  </si>
  <si>
    <t xml:space="preserve">Демонтаж вытяжки ф200</t>
  </si>
  <si>
    <t xml:space="preserve">3.13</t>
  </si>
  <si>
    <t xml:space="preserve">Перемонтаж щелевых диффузоров</t>
  </si>
  <si>
    <t xml:space="preserve">Заказчик: сильно завышено, что за диффузоры? С КСД? Размер?</t>
  </si>
  <si>
    <t xml:space="preserve">3.14</t>
  </si>
  <si>
    <t xml:space="preserve">Перемонтаж вентканалов</t>
  </si>
  <si>
    <t xml:space="preserve">Заказчик: Какие размеры?</t>
  </si>
  <si>
    <t xml:space="preserve">3.15</t>
  </si>
  <si>
    <t xml:space="preserve">Демонтаж диффузора, монтаж гибкой подводки</t>
  </si>
  <si>
    <t xml:space="preserve">Заказчик: Расписать какой диффузор, какая гибкая подводка?</t>
  </si>
  <si>
    <t xml:space="preserve">3.16</t>
  </si>
  <si>
    <t xml:space="preserve">Перемонтаж вентканалов (пересечение с АУПТ)</t>
  </si>
  <si>
    <t xml:space="preserve">Заказчик: расписать что за работа?</t>
  </si>
  <si>
    <t xml:space="preserve">3.17</t>
  </si>
  <si>
    <t xml:space="preserve">Демонтаж труб пожаротушения (сплинклер)</t>
  </si>
  <si>
    <t xml:space="preserve">Заказчик: какая труба?</t>
  </si>
  <si>
    <t xml:space="preserve">3.18</t>
  </si>
  <si>
    <t xml:space="preserve">Устройство проходок (изоляция)</t>
  </si>
  <si>
    <t xml:space="preserve">Заказчик: Где проходка? Что изолируется?</t>
  </si>
  <si>
    <t xml:space="preserve">3.19</t>
  </si>
  <si>
    <t xml:space="preserve">Демонтаж короба щелевой решетки</t>
  </si>
  <si>
    <t xml:space="preserve">Заказчик: непонятно что за работа, расписать</t>
  </si>
  <si>
    <t xml:space="preserve">3.20</t>
  </si>
  <si>
    <t xml:space="preserve">соединитель 63</t>
  </si>
  <si>
    <t xml:space="preserve">3.21</t>
  </si>
  <si>
    <t xml:space="preserve">соединитель 50</t>
  </si>
  <si>
    <t xml:space="preserve">3.22</t>
  </si>
  <si>
    <t xml:space="preserve">соединитель 40</t>
  </si>
  <si>
    <t xml:space="preserve">3.23</t>
  </si>
  <si>
    <t xml:space="preserve">соединитель 32</t>
  </si>
  <si>
    <t xml:space="preserve">3.24</t>
  </si>
  <si>
    <t xml:space="preserve">соединитель 25</t>
  </si>
  <si>
    <t xml:space="preserve">3.25</t>
  </si>
  <si>
    <t xml:space="preserve">тройник 63*63*63</t>
  </si>
  <si>
    <t xml:space="preserve">3.26</t>
  </si>
  <si>
    <t xml:space="preserve">тройник 32*32*32</t>
  </si>
  <si>
    <t xml:space="preserve">3.27</t>
  </si>
  <si>
    <t xml:space="preserve">подключение к вводу</t>
  </si>
  <si>
    <t xml:space="preserve">Заказчик: что за подключение? Непонятно</t>
  </si>
  <si>
    <t xml:space="preserve">3.28</t>
  </si>
  <si>
    <t xml:space="preserve">перемонтаж кронштейнов (подвесов, хомутов)</t>
  </si>
  <si>
    <t xml:space="preserve">Заказчик: по какой причине? Расценка завышена для хомутов, монтаж трубы полностью 500р, а подвесы с хомутами 420?</t>
  </si>
  <si>
    <t xml:space="preserve">3.29</t>
  </si>
  <si>
    <t xml:space="preserve">переделка заготовок подвесов</t>
  </si>
  <si>
    <t xml:space="preserve">Заказчик: по какой причине?  Что входит в заготовку?</t>
  </si>
  <si>
    <t xml:space="preserve">3.30</t>
  </si>
  <si>
    <t xml:space="preserve">монтаж узла подсоединения к магистрали</t>
  </si>
  <si>
    <t xml:space="preserve">Заказчик: Расписать подробнее что за узел?</t>
  </si>
  <si>
    <t xml:space="preserve">4. Вентиляция 10 этаж  — новые работы (нет в договоре)</t>
  </si>
  <si>
    <t xml:space="preserve">4. Вентиляция 10 этаж</t>
  </si>
  <si>
    <t xml:space="preserve">4.1</t>
  </si>
  <si>
    <t xml:space="preserve">Решетка защитная круглая, Ø100 БСК 100</t>
  </si>
  <si>
    <t xml:space="preserve">ДС п.2.2–2.3 (решётка защитная круглая)</t>
  </si>
  <si>
    <t xml:space="preserve">Новая работа: наша цена ниже аналога ДС</t>
  </si>
  <si>
    <t xml:space="preserve">4.2</t>
  </si>
  <si>
    <t xml:space="preserve">Диффузор круглый со статической камерой и регулятором расхода, Ø100 ЛК 100 + КСД 0 100 100</t>
  </si>
  <si>
    <t xml:space="preserve">4.3</t>
  </si>
  <si>
    <t xml:space="preserve">Диффузор круглый со статической камерой и регулятором расхода, Ø125 ЛК 125 + КСД 0 125 125</t>
  </si>
  <si>
    <t xml:space="preserve">4.4</t>
  </si>
  <si>
    <t xml:space="preserve">Диффузор круглый со статической камерой и регулятором расхода, Ø200 ЛК 200 + КСД 0 200 200</t>
  </si>
  <si>
    <t xml:space="preserve">4.5</t>
  </si>
  <si>
    <t xml:space="preserve">Решетка щелевая, 1000мм ЛРЩ 22-1-1000-У1</t>
  </si>
  <si>
    <t xml:space="preserve">ДС п.1.4 (решётка щелевая)</t>
  </si>
  <si>
    <t xml:space="preserve">4.6</t>
  </si>
  <si>
    <t xml:space="preserve">Решетка щелевая, 1000мм ЛРЩ 22-1-1000-У2</t>
  </si>
  <si>
    <t xml:space="preserve">4.7</t>
  </si>
  <si>
    <t xml:space="preserve">Адаптер для щелевой решетки с регулятором расхода и увеличенным патрубком, 1000мм Адаптер для ЛРЩ 22-1-1000 y=67мм + заслонка</t>
  </si>
  <si>
    <t xml:space="preserve">Заказчик: расценка сильно завышена</t>
  </si>
  <si>
    <t xml:space="preserve">4.8</t>
  </si>
  <si>
    <t xml:space="preserve">Решетка щелевая, 1400мм ЛРЩ 22-1-1400-У2</t>
  </si>
  <si>
    <t xml:space="preserve">4.9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</si>
  <si>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22-1-1400 y=67мм + подключение 2х160мм + заслонка</t>
  </si>
  <si>
    <t xml:space="preserve">4.10</t>
  </si>
  <si>
    <t xml:space="preserve">Решетка щелевая, 1500мм ЛРЩ 22-1-1500-У2</t>
  </si>
  <si>
    <t xml:space="preserve">4.11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</si>
  <si>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22-1-1500 y=67мм + подключение 2х160мм + заслонка</t>
  </si>
  <si>
    <t xml:space="preserve">4.12</t>
  </si>
  <si>
    <t xml:space="preserve">Решетка щелевая, 500мм ЛРЩ 22-1-8500-У2</t>
  </si>
  <si>
    <t xml:space="preserve">4.13</t>
  </si>
  <si>
    <t xml:space="preserve">Адаптер для щелевой решетки с регулятором расхода и увеличенным патрубком, 500мм Адаптер для ЛРЩ 22-1-500 y=67мм + заслонка</t>
  </si>
  <si>
    <t xml:space="preserve">4.14</t>
  </si>
  <si>
    <t xml:space="preserve">Регулятор расхода воздуха, Ø100 квк100</t>
  </si>
  <si>
    <t xml:space="preserve">ДС п.1.5–1.8</t>
  </si>
  <si>
    <t xml:space="preserve">4.15</t>
  </si>
  <si>
    <t xml:space="preserve">Воздуховод гофрированный, Ø100</t>
  </si>
  <si>
    <t xml:space="preserve">ДС п.1.10–1.12</t>
  </si>
  <si>
    <t xml:space="preserve">4.16</t>
  </si>
  <si>
    <t xml:space="preserve">Воздуховод гофрированный, Ø125</t>
  </si>
  <si>
    <t xml:space="preserve">4.17</t>
  </si>
  <si>
    <t xml:space="preserve">Воздуховод гофрированный, Ø160</t>
  </si>
  <si>
    <t xml:space="preserve">4.18</t>
  </si>
  <si>
    <t xml:space="preserve">Воздуховод гофрированный, Ø200</t>
  </si>
  <si>
    <t xml:space="preserve">4.19</t>
  </si>
  <si>
    <t xml:space="preserve">Воздуховод гофрированный изолированный, Ø100</t>
  </si>
  <si>
    <t xml:space="preserve">4.20</t>
  </si>
  <si>
    <t xml:space="preserve">Воздуховод гофрированный изолированный, Ø125</t>
  </si>
  <si>
    <t xml:space="preserve">4.21</t>
  </si>
  <si>
    <t xml:space="preserve">Воздуховод гофрированный изолированный, Ø160</t>
  </si>
  <si>
    <t xml:space="preserve">4.22</t>
  </si>
  <si>
    <t xml:space="preserve">Воздуховод гофрированный изолированный, Ø200</t>
  </si>
  <si>
    <t xml:space="preserve">4.23</t>
  </si>
  <si>
    <t xml:space="preserve">Воздуховод из оцинкованной стали толщиной 0,5мм, класса «В», Ø100</t>
  </si>
  <si>
    <t xml:space="preserve">ДС п.1.13</t>
  </si>
  <si>
    <t xml:space="preserve">4.24</t>
  </si>
  <si>
    <t xml:space="preserve">Воздуховод из оцинкованной стали толщиной 0,5мм, класса «В», Ø125</t>
  </si>
  <si>
    <t xml:space="preserve">4.25</t>
  </si>
  <si>
    <t xml:space="preserve">Воздуховод из оцинкованной стали толщиной 0,5мм, класса «В», Ø160</t>
  </si>
  <si>
    <t xml:space="preserve">ДС п.1.14</t>
  </si>
  <si>
    <t xml:space="preserve">4.26</t>
  </si>
  <si>
    <t xml:space="preserve">Воздуховод из оцинкованной стали толщиной 0,5мм, класса «В», Ø200</t>
  </si>
  <si>
    <t xml:space="preserve">ДС п.1.15</t>
  </si>
  <si>
    <t xml:space="preserve">4.27</t>
  </si>
  <si>
    <t xml:space="preserve">Воздуховод из оцинкованной стали толщиной 0,7мм, класса «В», 300x200</t>
  </si>
  <si>
    <t xml:space="preserve">Договор 19.06 п.1.10 (300×200)</t>
  </si>
  <si>
    <t xml:space="preserve">4.28</t>
  </si>
  <si>
    <t xml:space="preserve">Воздуховод из оцинкованной стали толщиной 0,7мм, класса «В», 400x200</t>
  </si>
  <si>
    <t xml:space="preserve">4.29</t>
  </si>
  <si>
    <t xml:space="preserve">Воздуховод из оцинкованной стали толщиной 0,7мм, класса «В», 500x200</t>
  </si>
  <si>
    <t xml:space="preserve">4.30</t>
  </si>
  <si>
    <t xml:space="preserve">Воздуховод из оцинкованной стали толщиной 0,7мм, класса «В», 500x250</t>
  </si>
  <si>
    <t xml:space="preserve">4.31</t>
  </si>
  <si>
    <t xml:space="preserve">Воздуховод из оцинкованной стали толщиной 0,7мм, класса «В», 500x300</t>
  </si>
  <si>
    <t xml:space="preserve">4.32</t>
  </si>
  <si>
    <t xml:space="preserve">Воздуховод из оцинкованной стали толщиной 0,7мм, класса «В», 600x200</t>
  </si>
  <si>
    <t xml:space="preserve">4.33</t>
  </si>
  <si>
    <t xml:space="preserve">Воздуховод из оцинкованной стали толщиной 0,7мм, класса «В», 600x250</t>
  </si>
  <si>
    <t xml:space="preserve">4.34</t>
  </si>
  <si>
    <t xml:space="preserve">Воздуховод из оцинкованной стали толщиной 0,7мм, класса «В», 700x250</t>
  </si>
  <si>
    <t xml:space="preserve">4.35</t>
  </si>
  <si>
    <t xml:space="preserve">Отвод 150 из оцинкованной стали толщиной 0,5мм, класса «В», Ø160</t>
  </si>
  <si>
    <t xml:space="preserve">ДС п.1.17–1.30 (круглые фасонные 855)</t>
  </si>
  <si>
    <t xml:space="preserve">4.36</t>
  </si>
  <si>
    <t xml:space="preserve">Отвод 300 из оцинкованной стали толщиной 0,5мм, класса «В», Ø200</t>
  </si>
  <si>
    <t xml:space="preserve">4.37</t>
  </si>
  <si>
    <t xml:space="preserve">Отвод 300 из оцинкованной стали толщиной 0,7мм, класса «В», 200x300</t>
  </si>
  <si>
    <t xml:space="preserve">Заказчик: исходя из м2 изделия</t>
  </si>
  <si>
    <t xml:space="preserve">4.38</t>
  </si>
  <si>
    <t xml:space="preserve">Отвод 300 из оцинкованной стали толщиной 0,7мм, класса «В», 250x700</t>
  </si>
  <si>
    <t xml:space="preserve">4.39</t>
  </si>
  <si>
    <t xml:space="preserve">Отвод 300 из оцинкованной стали толщиной 0,7мм, класса «В», 300x500</t>
  </si>
  <si>
    <t xml:space="preserve">4.40</t>
  </si>
  <si>
    <t xml:space="preserve">Отвод 300 из оцинкованной стали толщиной 0,7мм, класса «В», 600x200</t>
  </si>
  <si>
    <t xml:space="preserve">4.41</t>
  </si>
  <si>
    <t xml:space="preserve">Отвод 450 из оцинкованной стали толщиной 0,5мм, класса «В», Ø160</t>
  </si>
  <si>
    <t xml:space="preserve">4.42</t>
  </si>
  <si>
    <t xml:space="preserve">Отвод 450 из оцинкованной стали толщиной 0,7мм, класса «В», 300x200</t>
  </si>
  <si>
    <t xml:space="preserve">4.43</t>
  </si>
  <si>
    <t xml:space="preserve">Отвод 450 из оцинкованной стали толщиной 0,7мм, класса «В», 500x200</t>
  </si>
  <si>
    <t xml:space="preserve">4.44</t>
  </si>
  <si>
    <t xml:space="preserve">Отвод 600 из оцинкованной стали толщиной 0,7мм, класса «В», 600x200</t>
  </si>
  <si>
    <t xml:space="preserve">4.45</t>
  </si>
  <si>
    <t xml:space="preserve">Отвод 900 из оцинкованной стали толщиной 0,5мм, класса «В», Ø100</t>
  </si>
  <si>
    <t xml:space="preserve">4.46</t>
  </si>
  <si>
    <t xml:space="preserve">Отвод 900 из оцинкованной стали толщиной 0,5мм, класса «В», Ø125</t>
  </si>
  <si>
    <t xml:space="preserve">4.47</t>
  </si>
  <si>
    <t xml:space="preserve">Отвод 900 из оцинкованной стали толщиной 0,5мм, класса «В», Ø160</t>
  </si>
  <si>
    <t xml:space="preserve">4.48</t>
  </si>
  <si>
    <t xml:space="preserve">Отвод 900 из оцинкованной стали толщиной 0,5мм, класса «В», Ø200</t>
  </si>
  <si>
    <t xml:space="preserve">4.49</t>
  </si>
  <si>
    <t xml:space="preserve">Отвод 900 из оцинкованной стали толщиной 0,7мм, класса «В», 300x200</t>
  </si>
  <si>
    <t xml:space="preserve">4.50</t>
  </si>
  <si>
    <t xml:space="preserve">Отвод 900 из оцинкованной стали толщиной 0,7мм, класса «В», 400x200</t>
  </si>
  <si>
    <t xml:space="preserve">4.51</t>
  </si>
  <si>
    <t xml:space="preserve">Отвод 900 из оцинкованной стали толщиной 0,7мм, класса «В», 500x250</t>
  </si>
  <si>
    <t xml:space="preserve">4.52</t>
  </si>
  <si>
    <t xml:space="preserve">Отвод 900 из оцинкованной стали толщиной 0,7мм, класса «В», 500x300</t>
  </si>
  <si>
    <t xml:space="preserve">4.53</t>
  </si>
  <si>
    <t xml:space="preserve">Отвод 900 из оцинкованной стали толщиной 0,7мм, класса «В», 600x200</t>
  </si>
  <si>
    <t xml:space="preserve">4.54</t>
  </si>
  <si>
    <t xml:space="preserve">Отвод 900 из оцинкованной стали толщиной 0,7мм, класса «В», 600x250</t>
  </si>
  <si>
    <t xml:space="preserve">4.55</t>
  </si>
  <si>
    <t xml:space="preserve">Отвод 900 из оцинкованной стали толщиной 0,7мм, класса «В», 700x250</t>
  </si>
  <si>
    <t xml:space="preserve">4.56</t>
  </si>
  <si>
    <t xml:space="preserve">Врезка плоская из оцинкованной стали толщиной 0,5мм, класса «В», Ø100</t>
  </si>
  <si>
    <t xml:space="preserve">7.3</t>
  </si>
  <si>
    <t xml:space="preserve">4.57</t>
  </si>
  <si>
    <t xml:space="preserve">Врезка плоская из оцинкованной стали толщиной 0,5мм, класса «В», Ø160</t>
  </si>
  <si>
    <t xml:space="preserve">4.58</t>
  </si>
  <si>
    <t xml:space="preserve">Врезка плоская из оцинкованной стали толщиной 0,5мм, класса «В», Ø200</t>
  </si>
  <si>
    <t xml:space="preserve">4.59</t>
  </si>
  <si>
    <t xml:space="preserve">Врезка-седло из оцинкованной стали толщиной 0,5мм, класса «В», Ø160/Ø100</t>
  </si>
  <si>
    <t xml:space="preserve">4.60</t>
  </si>
  <si>
    <t xml:space="preserve">Врезка-седло из оцинкованной стали толщиной 0,5мм, класса «В», Ø160/Ø125</t>
  </si>
  <si>
    <t xml:space="preserve">4.61</t>
  </si>
  <si>
    <t xml:space="preserve">Врезка-седло из оцинкованной стали толщиной 0,5мм, класса «В», Ø200/Ø160</t>
  </si>
  <si>
    <t xml:space="preserve">4.62</t>
  </si>
  <si>
    <t xml:space="preserve">Тройник из оцинкованной стали толщиной 0,5мм, класса «В», Ø125/Ø125/Ø125</t>
  </si>
  <si>
    <t xml:space="preserve">4.63</t>
  </si>
  <si>
    <t xml:space="preserve">Переход из оцинкованной стали толщиной 0,5мм, класса «В», Ø125/Ø100</t>
  </si>
  <si>
    <t xml:space="preserve">4.64</t>
  </si>
  <si>
    <t xml:space="preserve">Переход из оцинкованной стали толщиной 0,5мм, класса «В», Ø160/Ø100</t>
  </si>
  <si>
    <t xml:space="preserve">4.65</t>
  </si>
  <si>
    <t xml:space="preserve">Переход из оцинкованной стали толщиной 0,5мм, класса «В», Ø160/Ø125</t>
  </si>
  <si>
    <t xml:space="preserve">4.66</t>
  </si>
  <si>
    <t xml:space="preserve">Переход из оцинкованной стали толщиной 0,5мм, класса «В», Ø200/Ø160</t>
  </si>
  <si>
    <t xml:space="preserve">4.67</t>
  </si>
  <si>
    <t xml:space="preserve">Переход из оцинкованной стали толщиной 0,7мм, класса «В», 300x200/Ø160</t>
  </si>
  <si>
    <t xml:space="preserve">4.68</t>
  </si>
  <si>
    <t xml:space="preserve">Переход из оцинкованной стали толщиной 0,7мм, класса «В», 400x200/Ø200</t>
  </si>
  <si>
    <t xml:space="preserve">4.69</t>
  </si>
  <si>
    <t xml:space="preserve">Переход из оцинкованной стали толщиной 0,7мм, класса «В», 500x200/300x200</t>
  </si>
  <si>
    <t xml:space="preserve">4.70</t>
  </si>
  <si>
    <t xml:space="preserve">Переход из оцинкованной стали толщиной 0,7мм, класса «В», 500x200/400x200</t>
  </si>
  <si>
    <t xml:space="preserve">4.71</t>
  </si>
  <si>
    <t xml:space="preserve">Переход из оцинкованной стали толщиной 0,7мм, класса «В», 500x250/500x200</t>
  </si>
  <si>
    <t xml:space="preserve">4.72</t>
  </si>
  <si>
    <t xml:space="preserve">Переход из оцинкованной стали толщиной 0,7мм, класса «В», 500x300/500x200</t>
  </si>
  <si>
    <t xml:space="preserve">4.73</t>
  </si>
  <si>
    <t xml:space="preserve">Переход из оцинкованной стали толщиной 0,7мм, класса «В», 600x200/500x200</t>
  </si>
  <si>
    <t xml:space="preserve">4.74</t>
  </si>
  <si>
    <t xml:space="preserve">Переход из оцинкованной стали толщиной 0,7мм, класса «В», 600x250/500x300</t>
  </si>
  <si>
    <t xml:space="preserve">4.75</t>
  </si>
  <si>
    <t xml:space="preserve">Переход из оцинкованной стали толщиной 0,7мм, класса «В», 700x250/600x200</t>
  </si>
  <si>
    <t xml:space="preserve">4.76</t>
  </si>
  <si>
    <t xml:space="preserve">Ниппель из оцинкованной стали толщиной 0,5мм, класса «В», Ø100</t>
  </si>
  <si>
    <t xml:space="preserve">7.2</t>
  </si>
  <si>
    <t xml:space="preserve">4.77</t>
  </si>
  <si>
    <t xml:space="preserve">Ниппель из оцинкованной стали толщиной 0,5мм, класса «В», Ø125</t>
  </si>
  <si>
    <t xml:space="preserve">4.78</t>
  </si>
  <si>
    <t xml:space="preserve">Ниппель из оцинкованной стали толщиной 0,5мм, класса «В», Ø160</t>
  </si>
  <si>
    <t xml:space="preserve">4.79</t>
  </si>
  <si>
    <t xml:space="preserve">Ниппель из оцинкованной стали толщиной 0,5мм, класса «В», Ø200</t>
  </si>
  <si>
    <t xml:space="preserve">4.80</t>
  </si>
  <si>
    <t xml:space="preserve">Изоляция круглого изделия от Ф100-ф250</t>
  </si>
  <si>
    <t xml:space="preserve">4.81</t>
  </si>
  <si>
    <t xml:space="preserve">Изоляция прямоугольного изделия</t>
  </si>
  <si>
    <t xml:space="preserve">Заказчик: за м2 а не за штуку</t>
  </si>
  <si>
    <t xml:space="preserve">4.82</t>
  </si>
  <si>
    <t xml:space="preserve">Изоляция прямоугольных воздуховодов</t>
  </si>
  <si>
    <t xml:space="preserve">ДС п.1.33 (K-Flex, м²)</t>
  </si>
  <si>
    <t xml:space="preserve">4.83</t>
  </si>
  <si>
    <t xml:space="preserve">Изоляция круглых воздуховодов</t>
  </si>
  <si>
    <t xml:space="preserve">Заказчик: за м2</t>
  </si>
  <si>
    <t xml:space="preserve">4.84</t>
  </si>
  <si>
    <t xml:space="preserve">ПНР10этаж</t>
  </si>
  <si>
    <t xml:space="preserve">Заказчик: по тип.эт</t>
  </si>
  <si>
    <t xml:space="preserve">4. Дымоудаление (10 этаж)  — новые работы (нет в договоре)</t>
  </si>
  <si>
    <t xml:space="preserve">4. Дымоудаление (10 этаж)</t>
  </si>
  <si>
    <t xml:space="preserve">4.85</t>
  </si>
  <si>
    <t xml:space="preserve">Воздуховод 800*500</t>
  </si>
  <si>
    <t xml:space="preserve">Заказчик: удалить (если будут данные позиции сделаем отдельный допник)</t>
  </si>
  <si>
    <t xml:space="preserve">8</t>
  </si>
  <si>
    <t xml:space="preserve">4.86</t>
  </si>
  <si>
    <t xml:space="preserve">Изоляция М-БОР</t>
  </si>
  <si>
    <t xml:space="preserve">4.87</t>
  </si>
  <si>
    <t xml:space="preserve">Отвод 90гр 800*500</t>
  </si>
  <si>
    <t xml:space="preserve">4.88</t>
  </si>
  <si>
    <t xml:space="preserve">Отвод 45гр 800*500</t>
  </si>
  <si>
    <t xml:space="preserve">5. Холодоснабжение 10 этаж  — новые работы (нет в договоре)</t>
  </si>
  <si>
    <t xml:space="preserve">5. Холодоснабжение 10 этаж</t>
  </si>
  <si>
    <t xml:space="preserve">5.1</t>
  </si>
  <si>
    <t xml:space="preserve">Фанкойл кассетный, 600x600 SK-32</t>
  </si>
  <si>
    <t xml:space="preserve">Заказчик: в чем разница в 2,5раза от балок?</t>
  </si>
  <si>
    <t xml:space="preserve">4</t>
  </si>
  <si>
    <t xml:space="preserve">5.2</t>
  </si>
  <si>
    <t xml:space="preserve">Шаровый кран полнопроходной с накидной гайкой, Ду15 BVR-FR</t>
  </si>
  <si>
    <t xml:space="preserve">ДС п.2.6</t>
  </si>
  <si>
    <t xml:space="preserve">5.3</t>
  </si>
  <si>
    <t xml:space="preserve">Воздухоотводчик автоматический, Ду15 Airvent-R</t>
  </si>
  <si>
    <t xml:space="preserve">ДС п.2.8</t>
  </si>
  <si>
    <t xml:space="preserve">5.4</t>
  </si>
  <si>
    <t xml:space="preserve">Комбинированный балансировочный клапан, Ду20</t>
  </si>
  <si>
    <t xml:space="preserve">5.5</t>
  </si>
  <si>
    <t xml:space="preserve">Комплект трехходовой клапан, запорные краны, медные патрубк</t>
  </si>
  <si>
    <t xml:space="preserve">5.6</t>
  </si>
  <si>
    <t xml:space="preserve">Кран шаровый со спускным элементом, Ду20 BVR-DR</t>
  </si>
  <si>
    <t xml:space="preserve">5.7</t>
  </si>
  <si>
    <t xml:space="preserve">Фильтр сетчатый с пробкой, Ду20 FVR-R</t>
  </si>
  <si>
    <t xml:space="preserve">5.8</t>
  </si>
  <si>
    <t xml:space="preserve">Ниппель 3/4"</t>
  </si>
  <si>
    <t xml:space="preserve">5.9</t>
  </si>
  <si>
    <t xml:space="preserve">Муфта переходная 3/4"x 1/2"</t>
  </si>
  <si>
    <t xml:space="preserve">5.10</t>
  </si>
  <si>
    <t xml:space="preserve">Гибкая подводка 3/4" гайка/штуцер, длиной 500мм</t>
  </si>
  <si>
    <t xml:space="preserve">5.11</t>
  </si>
  <si>
    <t xml:space="preserve">Ниппель переходной 3/4"</t>
  </si>
  <si>
    <t xml:space="preserve">5.12</t>
  </si>
  <si>
    <t xml:space="preserve">Переходник 32-R 3/4</t>
  </si>
  <si>
    <t xml:space="preserve">5.13</t>
  </si>
  <si>
    <t xml:space="preserve">Монтажная гильза 32 LX</t>
  </si>
  <si>
    <t xml:space="preserve">5.14</t>
  </si>
  <si>
    <t xml:space="preserve">Муфта полипропиленовая 32 x 1/2"</t>
  </si>
  <si>
    <t xml:space="preserve">5.15</t>
  </si>
  <si>
    <t xml:space="preserve">Штуцер 1/2" x 14мм</t>
  </si>
  <si>
    <t xml:space="preserve">5.16</t>
  </si>
  <si>
    <t xml:space="preserve">Труба из сшитого полиэтилена PEX-a, Ø32х4,4</t>
  </si>
  <si>
    <t xml:space="preserve">ДС п.2.10</t>
  </si>
  <si>
    <t xml:space="preserve">5.17</t>
  </si>
  <si>
    <t xml:space="preserve">Труба из сшитого полиэтилена PEX-a, Ø40х5,5</t>
  </si>
  <si>
    <t xml:space="preserve">ДС п.2.11</t>
  </si>
  <si>
    <t xml:space="preserve">5.18</t>
  </si>
  <si>
    <t xml:space="preserve">Труба из сшитого полиэтилена PEX-a, Ø50х6,9</t>
  </si>
  <si>
    <t xml:space="preserve">ДС п.2.12</t>
  </si>
  <si>
    <t xml:space="preserve">5.19</t>
  </si>
  <si>
    <t xml:space="preserve">Трубки теплоизоляционные для трубы Ø32х4,4 толщиной 9мм</t>
  </si>
  <si>
    <t xml:space="preserve">ДС п.2.37–2.38 (Armaflex)</t>
  </si>
  <si>
    <t xml:space="preserve">5.20</t>
  </si>
  <si>
    <t xml:space="preserve">Трубки теплоизоляционные для трубы Ø40х5,5 толщиной 9мм</t>
  </si>
  <si>
    <t xml:space="preserve">ДС п.2.39–2.40 (Armaflex)</t>
  </si>
  <si>
    <t xml:space="preserve">5.21</t>
  </si>
  <si>
    <t xml:space="preserve">Трубки теплоизоляционные для трубы Ø50х6,9 толщиной 13мм</t>
  </si>
  <si>
    <t xml:space="preserve">5.22</t>
  </si>
  <si>
    <t xml:space="preserve">Муфта полипропиленовая, 32</t>
  </si>
  <si>
    <t xml:space="preserve">5.23</t>
  </si>
  <si>
    <t xml:space="preserve">Муфта полипропиленовая, 40</t>
  </si>
  <si>
    <t xml:space="preserve">5.24</t>
  </si>
  <si>
    <t xml:space="preserve">Муфта переходная полипропиленовая, 40/32</t>
  </si>
  <si>
    <t xml:space="preserve">5.25</t>
  </si>
  <si>
    <t xml:space="preserve">Угольник 450 полипропиленовый, 32</t>
  </si>
  <si>
    <t xml:space="preserve">5.26</t>
  </si>
  <si>
    <t xml:space="preserve">Угольник 450 полипропиленовый, 40</t>
  </si>
  <si>
    <t xml:space="preserve">5.27</t>
  </si>
  <si>
    <t xml:space="preserve">Угольник 900 полипропиленовый, 32</t>
  </si>
  <si>
    <t xml:space="preserve">5.28</t>
  </si>
  <si>
    <t xml:space="preserve">Угольник 900 полипропиленовый, 40</t>
  </si>
  <si>
    <t xml:space="preserve">5.29</t>
  </si>
  <si>
    <t xml:space="preserve">Тройник полипропиленовый, 32</t>
  </si>
  <si>
    <t xml:space="preserve">5.30</t>
  </si>
  <si>
    <t xml:space="preserve">Тройник полипропиленовый, 40</t>
  </si>
  <si>
    <t xml:space="preserve">5.31</t>
  </si>
  <si>
    <t xml:space="preserve">Труба полипропиленовая, Ø32х5,4</t>
  </si>
  <si>
    <t xml:space="preserve">5.32</t>
  </si>
  <si>
    <t xml:space="preserve">Труба полипропиленовая, Ø40х6,7</t>
  </si>
  <si>
    <t xml:space="preserve">5.33</t>
  </si>
  <si>
    <t xml:space="preserve">Трубки теплоизоляционные для трубы Ø32х5,4 толщиной 6мм</t>
  </si>
  <si>
    <t xml:space="preserve">5.34</t>
  </si>
  <si>
    <t xml:space="preserve">Трубки теплоизоляционные для трубы Ø40х6,7 толщиной 6мм</t>
  </si>
  <si>
    <t xml:space="preserve">5.35</t>
  </si>
  <si>
    <t xml:space="preserve">Дренаж</t>
  </si>
  <si>
    <t xml:space="preserve">2</t>
  </si>
  <si>
    <t xml:space="preserve">5.36</t>
  </si>
  <si>
    <t xml:space="preserve">ПНР 10й этаж</t>
  </si>
  <si>
    <t xml:space="preserve">6. Вентиляция 2 этаж  — новые работы (нет в договоре)</t>
  </si>
  <si>
    <t xml:space="preserve">6. Вентиляция 2 этаж</t>
  </si>
  <si>
    <t xml:space="preserve">6.1</t>
  </si>
  <si>
    <t xml:space="preserve">7.1</t>
  </si>
  <si>
    <t xml:space="preserve">6.2</t>
  </si>
  <si>
    <t xml:space="preserve">Решетка защитная круглая, Ø160 БСК 160</t>
  </si>
  <si>
    <t xml:space="preserve">6.3</t>
  </si>
  <si>
    <t xml:space="preserve">Решетка защитная круглая, Ø200 БСК 200</t>
  </si>
  <si>
    <t xml:space="preserve">6.4</t>
  </si>
  <si>
    <t xml:space="preserve">Диффузор круглый, Ø100 ЛК 100</t>
  </si>
  <si>
    <t xml:space="preserve">ДС п.1.1–1.3</t>
  </si>
  <si>
    <t xml:space="preserve">6.5</t>
  </si>
  <si>
    <t xml:space="preserve">Диффузор круглый, Ø125 ЛК 125</t>
  </si>
  <si>
    <t xml:space="preserve">6.6</t>
  </si>
  <si>
    <t xml:space="preserve">Диффузор круглый, Ø160 ЛК 160</t>
  </si>
  <si>
    <t xml:space="preserve">6.7</t>
  </si>
  <si>
    <t xml:space="preserve">Диффузор круглый, Ø160 VE 160</t>
  </si>
  <si>
    <t xml:space="preserve">6.8</t>
  </si>
  <si>
    <t xml:space="preserve">Регулятор расхода воздуха, Ø100 КВК 100</t>
  </si>
  <si>
    <t xml:space="preserve">6.9</t>
  </si>
  <si>
    <t xml:space="preserve">Регулятор расхода воздуха, Ø125 КВК 125</t>
  </si>
  <si>
    <t xml:space="preserve">6.10</t>
  </si>
  <si>
    <t xml:space="preserve">Регулятор расхода воздуха, Ø160 КВК 160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</si>
  <si>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</si>
  <si>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</si>
  <si>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</si>
  <si>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</si>
  <si>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</si>
  <si>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</si>
  <si>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</si>
  <si>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</si>
  <si>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</si>
  <si>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Воздуховод из оцинкованной стали толщиной 0,6мм, класса «В», Ø250</t>
  </si>
  <si>
    <t xml:space="preserve">ДС п.1.16</t>
  </si>
  <si>
    <t xml:space="preserve">6.20</t>
  </si>
  <si>
    <t xml:space="preserve">6.21</t>
  </si>
  <si>
    <t xml:space="preserve">Воздуховод из оцинкованной стали толщиной 0,7мм, класса «В», 300x250</t>
  </si>
  <si>
    <t xml:space="preserve">6.22</t>
  </si>
  <si>
    <t xml:space="preserve">6.23</t>
  </si>
  <si>
    <t xml:space="preserve">6.24</t>
  </si>
  <si>
    <t xml:space="preserve">Воздуховод из оцинкованной стали толщиной 0,7мм, класса «В», 700x200</t>
  </si>
  <si>
    <t xml:space="preserve">6.25</t>
  </si>
  <si>
    <t xml:space="preserve">Отвод 150 из оцинкованной стали толщиной 0,5мм, класса «В», Ø200</t>
  </si>
  <si>
    <t xml:space="preserve">7.4</t>
  </si>
  <si>
    <t xml:space="preserve">6.26</t>
  </si>
  <si>
    <t xml:space="preserve">Отвод 150 из оцинкованной стали толщиной 0,7мм, класса «В», 600x250</t>
  </si>
  <si>
    <t xml:space="preserve">6.27</t>
  </si>
  <si>
    <t xml:space="preserve">Отвод 300 из оцинкованной стали толщиной 0,5мм, класса «В», Ø100</t>
  </si>
  <si>
    <t xml:space="preserve">6.28</t>
  </si>
  <si>
    <t xml:space="preserve">Отвод 300 из оцинкованной стали толщиной 0,5мм, класса «В», Ø125</t>
  </si>
  <si>
    <t xml:space="preserve">6.29</t>
  </si>
  <si>
    <t xml:space="preserve">6.30</t>
  </si>
  <si>
    <t xml:space="preserve">Отвод 300 из оцинкованной стали толщиной 0,6мм, класса «В», Ø250</t>
  </si>
  <si>
    <t xml:space="preserve">6.31</t>
  </si>
  <si>
    <t xml:space="preserve">Отвод 300 из оцинкованной стали толщиной 0,7мм, класса «В», 300x200</t>
  </si>
  <si>
    <t xml:space="preserve">6.32</t>
  </si>
  <si>
    <t xml:space="preserve">Отвод 300 из оцинкованной стали толщиной 0,7мм, класса «В», 300x250</t>
  </si>
  <si>
    <t xml:space="preserve">6.33</t>
  </si>
  <si>
    <t xml:space="preserve">Отвод 450 из оцинкованной стали толщиной 0,5мм, класса «В», Ø100</t>
  </si>
  <si>
    <t xml:space="preserve">6.34</t>
  </si>
  <si>
    <t xml:space="preserve">Отвод 450 из оцинкованной стали толщиной 0,5мм, класса «В», Ø125</t>
  </si>
  <si>
    <t xml:space="preserve">6.35</t>
  </si>
  <si>
    <t xml:space="preserve">Отвод 450 из оцинкованной стали толщиной 0,5мм, класса «В», Ø200</t>
  </si>
  <si>
    <t xml:space="preserve">6.36</t>
  </si>
  <si>
    <t xml:space="preserve">Отвод 450 из оцинкованной стали толщиной 0,7мм, класса «В», 200x300</t>
  </si>
  <si>
    <t xml:space="preserve">6.37</t>
  </si>
  <si>
    <t xml:space="preserve">Отвод 450 из оцинкованной стали толщиной 0,7мм, класса «В», 200x400</t>
  </si>
  <si>
    <t xml:space="preserve">6.38</t>
  </si>
  <si>
    <t xml:space="preserve">Отвод 600 из оцинкованной стали толщиной 0,5мм, класса «В», Ø200</t>
  </si>
  <si>
    <t xml:space="preserve">6.39</t>
  </si>
  <si>
    <t xml:space="preserve">6.40</t>
  </si>
  <si>
    <t xml:space="preserve">6.41</t>
  </si>
  <si>
    <t xml:space="preserve">6.42</t>
  </si>
  <si>
    <t xml:space="preserve">Отвод 900 из оцинкованной стали толщиной 0,6мм, класса «В», Ø250</t>
  </si>
  <si>
    <t xml:space="preserve">6.43</t>
  </si>
  <si>
    <t xml:space="preserve">Отвод 900 из оцинкованной стали толщиной 0,7мм, класса «В», 200x300</t>
  </si>
  <si>
    <t xml:space="preserve">6.44</t>
  </si>
  <si>
    <t xml:space="preserve">Отвод 900 из оцинкованной стали толщиной 0,7мм, класса «В», 200x400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</si>
  <si>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</si>
  <si>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</si>
  <si>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</si>
  <si>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</si>
  <si>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</si>
  <si>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Врезка плоская из оцинкованной стали толщиной 0,5мм, класса «В», Ø125</t>
  </si>
  <si>
    <t xml:space="preserve">6.50</t>
  </si>
  <si>
    <t xml:space="preserve">6.51</t>
  </si>
  <si>
    <t xml:space="preserve">6.52</t>
  </si>
  <si>
    <t xml:space="preserve">6.53</t>
  </si>
  <si>
    <t xml:space="preserve">Врезка-седло из оцинкованной стали толщиной 0,6мм, класса «В», Ø250/Ø100</t>
  </si>
  <si>
    <t xml:space="preserve">6.54</t>
  </si>
  <si>
    <t xml:space="preserve">6.55</t>
  </si>
  <si>
    <t xml:space="preserve">Переход из оцинкованной стали толщиной 0,5мм, класса «В», Ø200/Ø125</t>
  </si>
  <si>
    <t xml:space="preserve">6.56</t>
  </si>
  <si>
    <t xml:space="preserve">Переход из оцинкованной стали толщиной 0,6мм, класса «В», Ø250/Ø200</t>
  </si>
  <si>
    <t xml:space="preserve">6.57</t>
  </si>
  <si>
    <t xml:space="preserve">Переход из оцинкованной стали толщиной 0,7мм, класса «В», 300x200/Ø200</t>
  </si>
  <si>
    <t xml:space="preserve">6.58</t>
  </si>
  <si>
    <t xml:space="preserve">Переход из оцинкованной стали толщиной 0,7мм, класса «В», 300x250/Ø200</t>
  </si>
  <si>
    <t xml:space="preserve">6.59</t>
  </si>
  <si>
    <t xml:space="preserve">Переход из оцинкованной стали толщиной 0,7мм, класса «В», 400x200/Ø250</t>
  </si>
  <si>
    <t xml:space="preserve">6.60</t>
  </si>
  <si>
    <t xml:space="preserve">Переход из оцинкованной стали толщиной 0,7мм, класса «В», 400x200/300x200</t>
  </si>
  <si>
    <t xml:space="preserve">6.61</t>
  </si>
  <si>
    <t xml:space="preserve">Переход из оцинкованной стали толщиной 0,7мм, класса «В», 600x250/400x200</t>
  </si>
  <si>
    <t xml:space="preserve">6.62</t>
  </si>
  <si>
    <t xml:space="preserve">Переход из оцинкованной стали толщиной 0,7мм, класса «В», 700x200/600x250</t>
  </si>
  <si>
    <t xml:space="preserve">6.63</t>
  </si>
  <si>
    <t xml:space="preserve">Заглушка из оцинкованной стали толщиной 0,5мм, класса «В», Ø200</t>
  </si>
  <si>
    <t xml:space="preserve">6.64</t>
  </si>
  <si>
    <t xml:space="preserve">Заглушка из оцинкованной стали толщиной 0,7мм, класса «В», 400x200</t>
  </si>
  <si>
    <t xml:space="preserve">7.5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</si>
  <si>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</si>
  <si>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</si>
  <si>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</si>
  <si>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</si>
  <si>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</si>
  <si>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6.70</t>
  </si>
  <si>
    <t xml:space="preserve">6.71</t>
  </si>
  <si>
    <t xml:space="preserve">демонтаж воздуховодов</t>
  </si>
  <si>
    <t xml:space="preserve">6.72</t>
  </si>
  <si>
    <t xml:space="preserve">6.73</t>
  </si>
  <si>
    <t xml:space="preserve">6.74</t>
  </si>
  <si>
    <t xml:space="preserve">ПНР 2й этаж</t>
  </si>
  <si>
    <t xml:space="preserve">6. Дымоудаление (2 этаж)  — новые работы (нет в договоре)</t>
  </si>
  <si>
    <t xml:space="preserve">6. Дымоудаление (2 этаж)</t>
  </si>
  <si>
    <t xml:space="preserve">6.75</t>
  </si>
  <si>
    <t xml:space="preserve">6.76</t>
  </si>
  <si>
    <t xml:space="preserve">6.77</t>
  </si>
  <si>
    <t xml:space="preserve">6.78</t>
  </si>
  <si>
    <t xml:space="preserve">7. Холодоснабжение 2 этаж  — новые работы (нет в договоре)</t>
  </si>
  <si>
    <t xml:space="preserve">7. Холодоснабжение 2 этаж</t>
  </si>
  <si>
    <t xml:space="preserve">Фанкойл кассетный, 600x600 SK-12</t>
  </si>
  <si>
    <t xml:space="preserve">Подключение фанкойлов в радиусе 2,5 м</t>
  </si>
  <si>
    <t xml:space="preserve">Заказчик: в п.5.5 стоит 1944</t>
  </si>
  <si>
    <t xml:space="preserve">7.6</t>
  </si>
  <si>
    <t xml:space="preserve">Комплект трехходовой клапан, запорные краны, медные патрубки</t>
  </si>
  <si>
    <t xml:space="preserve">7.7</t>
  </si>
  <si>
    <t xml:space="preserve">теплоизоляция труб</t>
  </si>
  <si>
    <t xml:space="preserve">ДС п.2.39–2.40</t>
  </si>
  <si>
    <t xml:space="preserve">7.8</t>
  </si>
  <si>
    <t xml:space="preserve">дренаж</t>
  </si>
  <si>
    <t xml:space="preserve">7.9</t>
  </si>
  <si>
    <t xml:space="preserve">демонтаж холодоснабжения</t>
  </si>
  <si>
    <t xml:space="preserve">7.10</t>
  </si>
  <si>
    <t xml:space="preserve">демонтаж дренажной системы</t>
  </si>
  <si>
    <t xml:space="preserve">7.11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</si>
</sst>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;\–"/>
    <numFmt numFmtId="166" formatCode="General"/>
    <numFmt numFmtId="167" formatCode="#,##0.##;\-#,##0.##;\–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E4DFEC"/>
        <bgColor rgb="FFDDEBF7"/>
      </patternFill>
    </fill>
    <fill>
      <patternFill patternType="solid">
        <fgColor rgb="FF1F4E78"/>
        <bgColor rgb="FF333F4F"/>
      </patternFill>
    </fill>
    <fill>
      <patternFill patternType="solid">
        <fgColor rgb="FF7030A0"/>
        <bgColor rgb="FF993366"/>
      </patternFill>
    </fill>
    <fill>
      <patternFill patternType="solid">
        <fgColor rgb="FFFCE4E4"/>
        <bgColor rgb="FFFBE5D6"/>
      </patternFill>
    </fill>
    <fill>
      <patternFill patternType="solid">
        <fgColor rgb="FF833C0B"/>
        <bgColor rgb="FF7F6000"/>
      </patternFill>
    </fill>
    <fill>
      <patternFill patternType="solid">
        <fgColor rgb="FF333F4F"/>
        <bgColor rgb="FF1F4E78"/>
      </patternFill>
    </fill>
    <fill>
      <patternFill patternType="solid">
        <fgColor rgb="FF375623"/>
        <bgColor rgb="FF333F4F"/>
      </patternFill>
    </fill>
    <fill>
      <patternFill patternType="solid">
        <fgColor rgb="FF7F6000"/>
        <bgColor rgb="FF833C0B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BE5D6"/>
        <bgColor rgb="FFFCE4E4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333F4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E4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833C0B"/>
      <rgbColor rgb="FF993366"/>
      <rgbColor rgb="FF1F4E78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0"/>
    <col collapsed="false" customWidth="true" hidden="false" outlineLevel="0" max="4" min="4" style="0" width="80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8698406.74</v>
      </c>
      <c r="C5" s="4" t="s">
        <v>4</v>
      </c>
    </row>
    <row r="6" customFormat="false" ht="15" hidden="false" customHeight="false" outlineLevel="0" collapsed="false">
      <c r="A6" s="6" t="s">
        <v>5</v>
      </c>
      <c r="B6" s="7" t="n">
        <v>13716754.78</v>
      </c>
      <c r="C6" s="4" t="s">
        <v>6</v>
      </c>
    </row>
    <row r="7" customFormat="false" ht="15" hidden="false" customHeight="false" outlineLevel="0" collapsed="false">
      <c r="A7" s="4" t="s">
        <v>7</v>
      </c>
      <c r="B7" s="5" t="n">
        <f aca="false">SUM(Позиции!$K$6:$K$332)</f>
        <v>22665254.141</v>
      </c>
      <c r="C7" s="4" t="s">
        <v>8</v>
      </c>
    </row>
    <row r="8" customFormat="false" ht="15" hidden="false" customHeight="false" outlineLevel="0" collapsed="false">
      <c r="A8" s="4" t="s">
        <v>9</v>
      </c>
      <c r="B8" s="5" t="n">
        <v>16526808.3</v>
      </c>
      <c r="C8" s="4" t="s">
        <v>10</v>
      </c>
    </row>
    <row r="9" customFormat="false" ht="15" hidden="false" customHeight="false" outlineLevel="0" collapsed="false">
      <c r="A9" s="4" t="s">
        <v>11</v>
      </c>
      <c r="B9" s="5" t="n">
        <f aca="false">SUM(Позиции!$N$6:$N$332)</f>
        <v>16074197.141</v>
      </c>
      <c r="C9" s="4" t="s">
        <v>12</v>
      </c>
    </row>
    <row r="10" customFormat="false" ht="15" hidden="false" customHeight="false" outlineLevel="0" collapsed="false">
      <c r="A10" s="8" t="s">
        <v>13</v>
      </c>
      <c r="B10" s="9" t="n">
        <f aca="false">SUM(Позиции!$Y$6:$Y$332)</f>
        <v>21418972.301</v>
      </c>
      <c r="C10" s="8" t="s">
        <v>14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0" t="s">
        <v>15</v>
      </c>
    </row>
    <row r="13" customFormat="false" ht="26.85" hidden="false" customHeight="false" outlineLevel="0" collapsed="false">
      <c r="A13" s="10" t="s">
        <v>16</v>
      </c>
      <c r="B13" s="10" t="s">
        <v>17</v>
      </c>
      <c r="C13" s="10" t="s">
        <v>18</v>
      </c>
      <c r="D13" s="10" t="s">
        <v>19</v>
      </c>
      <c r="E13" s="10" t="s">
        <v>20</v>
      </c>
      <c r="F13" s="11" t="s">
        <v>21</v>
      </c>
    </row>
    <row r="14" customFormat="false" ht="15" hidden="false" customHeight="false" outlineLevel="0" collapsed="false">
      <c r="A14" s="12" t="s">
        <v>22</v>
      </c>
      <c r="B14" s="12" t="n">
        <f aca="false">SUMIFS(Позиции!$G$6:$G$332,Позиции!$A$6:$A$332,"1. *")+SUMIFS(Позиции!$G$6:$G$332,Позиции!$A$6:$A$332,"2. *")</f>
        <v>13716754.78</v>
      </c>
      <c r="C14" s="12" t="n">
        <f aca="false">SUMIFS(Позиции!$K$6:$K$332,Позиции!$A$6:$A$332,"1. *")+SUMIFS(Позиции!$K$6:$K$332,Позиции!$A$6:$A$332,"2. *")</f>
        <v>13040298.941</v>
      </c>
      <c r="D14" s="12" t="n">
        <f aca="false">SUMIFS(Позиции!$N$6:$N$332,Позиции!$A$6:$A$332,"1. *")+SUMIFS(Позиции!$N$6:$N$332,Позиции!$A$6:$A$332,"2. *")</f>
        <v>11232723.961</v>
      </c>
      <c r="E14" s="5" t="n">
        <f aca="false">D14-C14</f>
        <v>-1807574.98</v>
      </c>
      <c r="F14" s="12" t="n">
        <f aca="false">SUMIFS(Позиции!$Y$6:$Y$332,Позиции!$A$6:$A$332,"1. *")+SUMIFS(Позиции!$Y$6:$Y$332,Позиции!$A$6:$A$332,"2. *")</f>
        <v>12728298.941</v>
      </c>
    </row>
    <row r="15" customFormat="false" ht="15" hidden="false" customHeight="false" outlineLevel="0" collapsed="false">
      <c r="A15" s="12" t="s">
        <v>23</v>
      </c>
      <c r="B15" s="12" t="s">
        <v>24</v>
      </c>
      <c r="C15" s="12" t="n">
        <f aca="false">SUM(Позиции!$K$6:$K$332)-C14</f>
        <v>9624955.2</v>
      </c>
      <c r="D15" s="12" t="n">
        <f aca="false">SUM(Позиции!$N$6:$N$332)-D14</f>
        <v>4841473.18</v>
      </c>
      <c r="E15" s="5" t="n">
        <f aca="false">D15-C15</f>
        <v>-4783482.02</v>
      </c>
      <c r="F15" s="12" t="n">
        <f aca="false">SUM(Позиции!$Y$6:$Y$332)-F14</f>
        <v>8690673.36</v>
      </c>
    </row>
    <row r="16" customFormat="false" ht="15" hidden="false" customHeight="false" outlineLevel="0" collapsed="false">
      <c r="A16" s="5" t="s">
        <v>25</v>
      </c>
      <c r="B16" s="5" t="n">
        <f aca="false">B14</f>
        <v>13716754.78</v>
      </c>
      <c r="C16" s="5" t="n">
        <f aca="false">C14+C15</f>
        <v>22665254.141</v>
      </c>
      <c r="D16" s="5" t="n">
        <f aca="false">D14+D15</f>
        <v>16074197.141</v>
      </c>
      <c r="E16" s="5" t="n">
        <f aca="false">E14+E15</f>
        <v>-6591057</v>
      </c>
      <c r="F16" s="5" t="n">
        <f aca="false">F14+F15</f>
        <v>21418972.301</v>
      </c>
    </row>
    <row r="17" customFormat="false" ht="15" hidden="false" customHeight="false" outlineLevel="0" collapsed="false">
      <c r="A17" s="2" t="s">
        <v>26</v>
      </c>
    </row>
    <row r="18" customFormat="false" ht="15" hidden="false" customHeight="false" outlineLevel="0" collapsed="false">
      <c r="A18" s="3" t="s">
        <v>27</v>
      </c>
    </row>
    <row r="19" customFormat="false" ht="15" hidden="false" customHeight="false" outlineLevel="0" collapsed="false">
      <c r="A19" s="10" t="s">
        <v>28</v>
      </c>
      <c r="B19" s="10" t="s">
        <v>29</v>
      </c>
      <c r="C19" s="10" t="s">
        <v>30</v>
      </c>
      <c r="D19" s="10" t="s">
        <v>31</v>
      </c>
    </row>
    <row r="20" customFormat="false" ht="39.55" hidden="false" customHeight="false" outlineLevel="0" collapsed="false">
      <c r="A20" s="13" t="s">
        <v>32</v>
      </c>
      <c r="B20" s="14" t="n">
        <f aca="false">COUNTIF(Позиции!$T$6:$T$332,A20)</f>
        <v>2</v>
      </c>
      <c r="C20" s="15" t="n">
        <f aca="false">SUMIFS(Позиции!$R$6:$R$332,Позиции!$T$6:$T$332,A20)</f>
        <v>-1495574.98</v>
      </c>
      <c r="D20" s="14" t="s">
        <v>33</v>
      </c>
    </row>
    <row r="21" customFormat="false" ht="39.55" hidden="false" customHeight="false" outlineLevel="0" collapsed="false">
      <c r="A21" s="13" t="s">
        <v>34</v>
      </c>
      <c r="B21" s="14" t="n">
        <f aca="false">COUNTIF(Позиции!$T$6:$T$332,A21)</f>
        <v>16</v>
      </c>
      <c r="C21" s="15" t="n">
        <f aca="false">SUMIFS(Позиции!$R$6:$R$332,Позиции!$T$6:$T$332,A21)</f>
        <v>-74399.98</v>
      </c>
      <c r="D21" s="14" t="s">
        <v>35</v>
      </c>
    </row>
    <row r="22" customFormat="false" ht="15" hidden="false" customHeight="false" outlineLevel="0" collapsed="false">
      <c r="A22" s="14" t="s">
        <v>36</v>
      </c>
      <c r="B22" s="14" t="n">
        <f aca="false">COUNTIF(Позиции!$T$6:$T$332,A22)</f>
        <v>6</v>
      </c>
      <c r="C22" s="15" t="n">
        <f aca="false">SUMIFS(Позиции!$S$6:$S$332,Позиции!$T$6:$T$332,A22)</f>
        <v>-1151370</v>
      </c>
      <c r="D22" s="14" t="s">
        <v>37</v>
      </c>
    </row>
    <row r="23" customFormat="false" ht="15" hidden="false" customHeight="false" outlineLevel="0" collapsed="false">
      <c r="A23" s="14" t="s">
        <v>38</v>
      </c>
      <c r="B23" s="14" t="n">
        <f aca="false">COUNTIF(Позиции!$T$6:$T$332,A23)</f>
        <v>8</v>
      </c>
      <c r="C23" s="15" t="n">
        <f aca="false">SUMIFS(Позиции!$S$6:$S$332,Позиции!$T$6:$T$332,A23)</f>
        <v>-1028480</v>
      </c>
      <c r="D23" s="14" t="s">
        <v>39</v>
      </c>
    </row>
    <row r="24" customFormat="false" ht="26.85" hidden="false" customHeight="false" outlineLevel="0" collapsed="false">
      <c r="A24" s="14" t="s">
        <v>40</v>
      </c>
      <c r="B24" s="14" t="n">
        <f aca="false">COUNTIF(Позиции!$T$6:$T$332,A24)</f>
        <v>4</v>
      </c>
      <c r="C24" s="15" t="n">
        <f aca="false">SUMIFS(Позиции!$S$6:$S$332,Позиции!$T$6:$T$332,A24)</f>
        <v>-312000</v>
      </c>
      <c r="D24" s="14" t="s">
        <v>41</v>
      </c>
    </row>
    <row r="25" customFormat="false" ht="26.85" hidden="false" customHeight="false" outlineLevel="0" collapsed="false">
      <c r="A25" s="14" t="s">
        <v>42</v>
      </c>
      <c r="B25" s="14" t="n">
        <f aca="false">COUNTIF(Позиции!$T$6:$T$332,A25)</f>
        <v>61</v>
      </c>
      <c r="C25" s="15" t="n">
        <f aca="false">SUMIFS(Позиции!$S$6:$S$332,Позиции!$T$6:$T$332,A25)</f>
        <v>-139881.81</v>
      </c>
      <c r="D25" s="14" t="s">
        <v>43</v>
      </c>
    </row>
    <row r="26" customFormat="false" ht="26.85" hidden="false" customHeight="false" outlineLevel="0" collapsed="false">
      <c r="A26" s="14" t="s">
        <v>44</v>
      </c>
      <c r="B26" s="14" t="n">
        <f aca="false">COUNTIF(Позиции!$T$6:$T$332,A26)</f>
        <v>12</v>
      </c>
      <c r="C26" s="15" t="n">
        <f aca="false">SUMIFS(Позиции!$S$6:$S$332,Позиции!$T$6:$T$332,A26)</f>
        <v>-199677.66</v>
      </c>
      <c r="D26" s="14" t="s">
        <v>45</v>
      </c>
    </row>
    <row r="27" customFormat="false" ht="15" hidden="false" customHeight="false" outlineLevel="0" collapsed="false">
      <c r="A27" s="14" t="s">
        <v>46</v>
      </c>
      <c r="B27" s="14" t="n">
        <f aca="false">COUNTIF(Позиции!$T$6:$T$332,A27)</f>
        <v>90</v>
      </c>
      <c r="C27" s="15" t="n">
        <f aca="false">SUMIFS(Позиции!$S$6:$S$332,Позиции!$T$6:$T$332,A27)</f>
        <v>-2138990.37</v>
      </c>
      <c r="D27" s="14" t="s">
        <v>47</v>
      </c>
    </row>
    <row r="28" customFormat="false" ht="15" hidden="false" customHeight="false" outlineLevel="0" collapsed="false">
      <c r="A28" s="2" t="s">
        <v>48</v>
      </c>
    </row>
    <row r="29" customFormat="false" ht="28.35" hidden="false" customHeight="false" outlineLevel="0" collapsed="false">
      <c r="A29" s="16" t="s">
        <v>49</v>
      </c>
      <c r="B29" s="17"/>
      <c r="C29" s="5" t="n">
        <f aca="false">SUMPRODUCT((Позиции!$T$6:$T$332="Исключено нами (в ДС есть)")*1,Позиции!$G$6:$G$332)</f>
        <v>912914.4</v>
      </c>
      <c r="D29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" t="s">
        <v>51</v>
      </c>
    </row>
    <row r="3" customFormat="false" ht="39.55" hidden="false" customHeight="false" outlineLevel="0" collapsed="false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28</v>
      </c>
      <c r="K3" s="19" t="s">
        <v>61</v>
      </c>
    </row>
    <row r="4" customFormat="false" ht="26.85" hidden="false" customHeight="false" outlineLevel="0" collapsed="false">
      <c r="A4" s="20" t="str">
        <f aca="false">IF(Позиции!B47="","",Позиции!B47)</f>
        <v>2.7</v>
      </c>
      <c r="B4" s="13" t="str">
        <f aca="false">IF(Позиции!C47="","",Позиции!C47)</f>
        <v>Узел регулирования климатической балки 1/2 Modulator ½</v>
      </c>
      <c r="C4" s="20" t="str">
        <f aca="false">IF(Позиции!D47="","",Позиции!D47)</f>
        <v>шт.</v>
      </c>
      <c r="D4" s="21" t="n">
        <f aca="false">IF(Позиции!L47="","",Позиции!L47)</f>
        <v>340</v>
      </c>
      <c r="E4" s="22" t="n">
        <f aca="false">IF(Позиции!O47="","",Позиции!O47)</f>
        <v>6650</v>
      </c>
      <c r="F4" s="13" t="str">
        <f aca="false">IF(Позиции!P47="","",Позиции!P47)</f>
        <v>ДС №1 п.2.7</v>
      </c>
      <c r="G4" s="22" t="n">
        <f aca="false">IF(Позиции!M47="","",Позиции!M47)</f>
        <v>2500</v>
      </c>
      <c r="H4" s="22" t="n">
        <f aca="false">IF(Позиции!Q47="","",Позиции!Q47)</f>
        <v>-4150</v>
      </c>
      <c r="I4" s="22" t="n">
        <f aca="false">IF(Позиции!R47="","",Позиции!R47)</f>
        <v>-1411000</v>
      </c>
      <c r="J4" s="13" t="str">
        <f aca="false">IF(Позиции!T47="","",Позиции!T47)</f>
        <v>НИЖЕ подписанной цены ДС №1</v>
      </c>
      <c r="K4" s="13" t="str">
        <f aca="false">IF(Позиции!U47="","",Позиции!U47)</f>
        <v>Заказчик: по договоренности | В исходном Договоре (п.11.2 Смесительный узел): 5 000.00 ₽</v>
      </c>
    </row>
    <row r="5" customFormat="false" ht="26.85" hidden="false" customHeight="false" outlineLevel="0" collapsed="false">
      <c r="A5" s="20" t="str">
        <f aca="false">IF(Позиции!B38="","",Позиции!B38)</f>
        <v>1.33</v>
      </c>
      <c r="B5" s="13" t="str">
        <f aca="false">IF(Позиции!C38="","",Позиции!C38)</f>
        <v>Универсальная теплоизоляция в виде рулонов, толщиной 6 мм K- Flex-ST</v>
      </c>
      <c r="C5" s="20" t="str">
        <f aca="false">IF(Позиции!D38="","",Позиции!D38)</f>
        <v>м2</v>
      </c>
      <c r="D5" s="21" t="n">
        <f aca="false">IF(Позиции!L38="","",Позиции!L38)</f>
        <v>882</v>
      </c>
      <c r="E5" s="22" t="n">
        <f aca="false">IF(Позиции!O38="","",Позиции!O38)</f>
        <v>665.89</v>
      </c>
      <c r="F5" s="13" t="str">
        <f aca="false">IF(Позиции!P38="","",Позиции!P38)</f>
        <v>ДС №1 п.1.33</v>
      </c>
      <c r="G5" s="22" t="n">
        <f aca="false">IF(Позиции!M38="","",Позиции!M38)</f>
        <v>570</v>
      </c>
      <c r="H5" s="22" t="n">
        <f aca="false">IF(Позиции!Q38="","",Позиции!Q38)</f>
        <v>-95.89</v>
      </c>
      <c r="I5" s="22" t="n">
        <f aca="false">IF(Позиции!R38="","",Позиции!R38)</f>
        <v>-84574.98</v>
      </c>
      <c r="J5" s="13" t="str">
        <f aca="false">IF(Позиции!T38="","",Позиции!T38)</f>
        <v>НИЖЕ подписанной цены ДС №1</v>
      </c>
      <c r="K5" s="13" t="str">
        <f aca="false">IF(Позиции!U38="","",Позиции!U38)</f>
        <v>Заказчик: р по договору</v>
      </c>
    </row>
    <row r="6" customFormat="false" ht="26.85" hidden="false" customHeight="false" outlineLevel="0" collapsed="false">
      <c r="A6" s="23" t="str">
        <f aca="false">IF(Позиции!B244="","",Позиции!B244)</f>
        <v>6.3</v>
      </c>
      <c r="B6" s="14" t="str">
        <f aca="false">IF(Позиции!C244="","",Позиции!C244)</f>
        <v>Решетка защитная круглая, Ø200 БСК 200</v>
      </c>
      <c r="C6" s="23" t="str">
        <f aca="false">IF(Позиции!D244="","",Позиции!D244)</f>
        <v>шт.</v>
      </c>
      <c r="D6" s="24" t="n">
        <f aca="false">IF(Позиции!L244="","",Позиции!L244)</f>
        <v>44</v>
      </c>
      <c r="E6" s="25" t="n">
        <f aca="false">IF(Позиции!O244="","",Позиции!O244)</f>
        <v>1425</v>
      </c>
      <c r="F6" s="14" t="str">
        <f aca="false">IF(Позиции!P244="","",Позиции!P244)</f>
        <v>ДС п.2.2–2.3 (решётка защитная круглая)</v>
      </c>
      <c r="G6" s="25" t="n">
        <f aca="false">IF(Позиции!M244="","",Позиции!M244)</f>
        <v>298.89</v>
      </c>
      <c r="H6" s="25" t="n">
        <f aca="false">IF(Позиции!Q244="","",Позиции!Q244)</f>
        <v>-1126.11</v>
      </c>
      <c r="I6" s="25" t="n">
        <f aca="false">IF(Позиции!R244="","",Позиции!R244)</f>
        <v>-49548.84</v>
      </c>
      <c r="J6" s="14" t="str">
        <f aca="false">IF(Позиции!T244="","",Позиции!T244)</f>
        <v>Новая работа: НИЖЕ цены аналога из ДС</v>
      </c>
      <c r="K6" s="14" t="str">
        <f aca="false">IF(Позиции!U244="","",Позиции!U244)</f>
        <v>Заказчик: по договору</v>
      </c>
    </row>
    <row r="7" customFormat="false" ht="26.85" hidden="false" customHeight="false" outlineLevel="0" collapsed="false">
      <c r="A7" s="23" t="str">
        <f aca="false">IF(Позиции!B171="","",Позиции!B171)</f>
        <v>4.57</v>
      </c>
      <c r="B7" s="14" t="str">
        <f aca="false">IF(Позиции!C171="","",Позиции!C171)</f>
        <v>Врезка плоская из оцинкованной стали толщиной 0,5мм, класса «В», Ø160</v>
      </c>
      <c r="C7" s="23" t="str">
        <f aca="false">IF(Позиции!D171="","",Позиции!D171)</f>
        <v>шт.</v>
      </c>
      <c r="D7" s="24" t="n">
        <f aca="false">IF(Позиции!L171="","",Позиции!L171)</f>
        <v>14</v>
      </c>
      <c r="E7" s="25" t="n">
        <f aca="false">IF(Позиции!O171="","",Позиции!O171)</f>
        <v>855</v>
      </c>
      <c r="F7" s="14" t="str">
        <f aca="false">IF(Позиции!P171="","",Позиции!P171)</f>
        <v>ДС п.1.17–1.30 (круглые фасонные 855)</v>
      </c>
      <c r="G7" s="25" t="n">
        <f aca="false">IF(Позиции!M171="","",Позиции!M171)</f>
        <v>370</v>
      </c>
      <c r="H7" s="25" t="n">
        <f aca="false">IF(Позиции!Q171="","",Позиции!Q171)</f>
        <v>-485</v>
      </c>
      <c r="I7" s="25" t="n">
        <f aca="false">IF(Позиции!R171="","",Позиции!R171)</f>
        <v>-6790</v>
      </c>
      <c r="J7" s="14" t="str">
        <f aca="false">IF(Позиции!T171="","",Позиции!T171)</f>
        <v>Новая работа: НИЖЕ цены аналога из ДС</v>
      </c>
      <c r="K7" s="14" t="str">
        <f aca="false">IF(Позиции!U171="","",Позиции!U171)</f>
        <v/>
      </c>
    </row>
    <row r="8" customFormat="false" ht="26.85" hidden="false" customHeight="false" outlineLevel="0" collapsed="false">
      <c r="A8" s="23" t="str">
        <f aca="false">IF(Позиции!B172="","",Позиции!B172)</f>
        <v>4.58</v>
      </c>
      <c r="B8" s="14" t="str">
        <f aca="false">IF(Позиции!C172="","",Позиции!C172)</f>
        <v>Врезка плоская из оцинкованной стали толщиной 0,5мм, класса «В», Ø200</v>
      </c>
      <c r="C8" s="23" t="str">
        <f aca="false">IF(Позиции!D172="","",Позиции!D172)</f>
        <v>шт.</v>
      </c>
      <c r="D8" s="24" t="n">
        <f aca="false">IF(Позиции!L172="","",Позиции!L172)</f>
        <v>12</v>
      </c>
      <c r="E8" s="25" t="n">
        <f aca="false">IF(Позиции!O172="","",Позиции!O172)</f>
        <v>855</v>
      </c>
      <c r="F8" s="14" t="str">
        <f aca="false">IF(Позиции!P172="","",Позиции!P172)</f>
        <v>ДС п.1.17–1.30 (круглые фасонные 855)</v>
      </c>
      <c r="G8" s="25" t="n">
        <f aca="false">IF(Позиции!M172="","",Позиции!M172)</f>
        <v>370</v>
      </c>
      <c r="H8" s="25" t="n">
        <f aca="false">IF(Позиции!Q172="","",Позиции!Q172)</f>
        <v>-485</v>
      </c>
      <c r="I8" s="25" t="n">
        <f aca="false">IF(Позиции!R172="","",Позиции!R172)</f>
        <v>-5820</v>
      </c>
      <c r="J8" s="14" t="str">
        <f aca="false">IF(Позиции!T172="","",Позиции!T172)</f>
        <v>Новая работа: НИЖЕ цены аналога из ДС</v>
      </c>
      <c r="K8" s="14" t="str">
        <f aca="false">IF(Позиции!U172="","",Позиции!U172)</f>
        <v/>
      </c>
    </row>
    <row r="9" customFormat="false" ht="26.85" hidden="false" customHeight="false" outlineLevel="0" collapsed="false">
      <c r="A9" s="23" t="str">
        <f aca="false">IF(Позиции!B242="","",Позиции!B242)</f>
        <v>6.1</v>
      </c>
      <c r="B9" s="14" t="str">
        <f aca="false">IF(Позиции!C242="","",Позиции!C242)</f>
        <v>Решетка защитная круглая, Ø100 БСК 100</v>
      </c>
      <c r="C9" s="23" t="str">
        <f aca="false">IF(Позиции!D242="","",Позиции!D242)</f>
        <v>шт.</v>
      </c>
      <c r="D9" s="24" t="n">
        <f aca="false">IF(Позиции!L242="","",Позиции!L242)</f>
        <v>3</v>
      </c>
      <c r="E9" s="25" t="n">
        <f aca="false">IF(Позиции!O242="","",Позиции!O242)</f>
        <v>1425</v>
      </c>
      <c r="F9" s="14" t="str">
        <f aca="false">IF(Позиции!P242="","",Позиции!P242)</f>
        <v>ДС п.2.2–2.3 (решётка защитная круглая)</v>
      </c>
      <c r="G9" s="25" t="n">
        <f aca="false">IF(Позиции!M242="","",Позиции!M242)</f>
        <v>185</v>
      </c>
      <c r="H9" s="25" t="n">
        <f aca="false">IF(Позиции!Q242="","",Позиции!Q242)</f>
        <v>-1240</v>
      </c>
      <c r="I9" s="25" t="n">
        <f aca="false">IF(Позиции!R242="","",Позиции!R242)</f>
        <v>-3720</v>
      </c>
      <c r="J9" s="14" t="str">
        <f aca="false">IF(Позиции!T242="","",Позиции!T242)</f>
        <v>Новая работа: НИЖЕ цены аналога из ДС</v>
      </c>
      <c r="K9" s="14" t="str">
        <f aca="false">IF(Позиции!U242="","",Позиции!U242)</f>
        <v>Заказчик: по договору</v>
      </c>
    </row>
    <row r="10" customFormat="false" ht="26.85" hidden="false" customHeight="false" outlineLevel="0" collapsed="false">
      <c r="A10" s="23" t="str">
        <f aca="false">IF(Позиции!B175="","",Позиции!B175)</f>
        <v>4.61</v>
      </c>
      <c r="B10" s="14" t="str">
        <f aca="false">IF(Позиции!C175="","",Позиции!C175)</f>
        <v>Врезка-седло из оцинкованной стали толщиной 0,5мм, класса «В», Ø200/Ø160</v>
      </c>
      <c r="C10" s="23" t="str">
        <f aca="false">IF(Позиции!D175="","",Позиции!D175)</f>
        <v>шт.</v>
      </c>
      <c r="D10" s="24" t="n">
        <f aca="false">IF(Позиции!L175="","",Позиции!L175)</f>
        <v>3</v>
      </c>
      <c r="E10" s="25" t="n">
        <f aca="false">IF(Позиции!O175="","",Позиции!O175)</f>
        <v>855</v>
      </c>
      <c r="F10" s="14" t="str">
        <f aca="false">IF(Позиции!P175="","",Позиции!P175)</f>
        <v>ДС п.1.17–1.30 (круглые фасонные 855)</v>
      </c>
      <c r="G10" s="25" t="n">
        <f aca="false">IF(Позиции!M175="","",Позиции!M175)</f>
        <v>370</v>
      </c>
      <c r="H10" s="25" t="n">
        <f aca="false">IF(Позиции!Q175="","",Позиции!Q175)</f>
        <v>-485</v>
      </c>
      <c r="I10" s="25" t="n">
        <f aca="false">IF(Позиции!R175="","",Позиции!R175)</f>
        <v>-1455</v>
      </c>
      <c r="J10" s="14" t="str">
        <f aca="false">IF(Позиции!T175="","",Позиции!T175)</f>
        <v>Новая работа: НИЖЕ цены аналога из ДС</v>
      </c>
      <c r="K10" s="14" t="str">
        <f aca="false">IF(Позиции!U175="","",Позиции!U175)</f>
        <v/>
      </c>
    </row>
    <row r="11" customFormat="false" ht="26.85" hidden="false" customHeight="false" outlineLevel="0" collapsed="false">
      <c r="A11" s="23" t="str">
        <f aca="false">IF(Позиции!B243="","",Позиции!B243)</f>
        <v>6.2</v>
      </c>
      <c r="B11" s="14" t="str">
        <f aca="false">IF(Позиции!C243="","",Позиции!C243)</f>
        <v>Решетка защитная круглая, Ø160 БСК 160</v>
      </c>
      <c r="C11" s="23" t="str">
        <f aca="false">IF(Позиции!D243="","",Позиции!D243)</f>
        <v>шт.</v>
      </c>
      <c r="D11" s="24" t="n">
        <f aca="false">IF(Позиции!L243="","",Позиции!L243)</f>
        <v>1</v>
      </c>
      <c r="E11" s="25" t="n">
        <f aca="false">IF(Позиции!O243="","",Позиции!O243)</f>
        <v>1425</v>
      </c>
      <c r="F11" s="14" t="str">
        <f aca="false">IF(Позиции!P243="","",Позиции!P243)</f>
        <v>ДС п.2.2–2.3 (решётка защитная круглая)</v>
      </c>
      <c r="G11" s="25" t="n">
        <f aca="false">IF(Позиции!M243="","",Позиции!M243)</f>
        <v>205.66</v>
      </c>
      <c r="H11" s="25" t="n">
        <f aca="false">IF(Позиции!Q243="","",Позиции!Q243)</f>
        <v>-1219.34</v>
      </c>
      <c r="I11" s="25" t="n">
        <f aca="false">IF(Позиции!R243="","",Позиции!R243)</f>
        <v>-1219.34</v>
      </c>
      <c r="J11" s="14" t="str">
        <f aca="false">IF(Позиции!T243="","",Позиции!T243)</f>
        <v>Новая работа: НИЖЕ цены аналога из ДС</v>
      </c>
      <c r="K11" s="14" t="str">
        <f aca="false">IF(Позиции!U243="","",Позиции!U243)</f>
        <v>Заказчик: по договору</v>
      </c>
    </row>
    <row r="12" customFormat="false" ht="26.85" hidden="false" customHeight="false" outlineLevel="0" collapsed="false">
      <c r="A12" s="23" t="str">
        <f aca="false">IF(Позиции!B266="","",Позиции!B266)</f>
        <v>6.25</v>
      </c>
      <c r="B12" s="14" t="str">
        <f aca="false">IF(Позиции!C266="","",Позиции!C266)</f>
        <v>Отвод 150 из оцинкованной стали толщиной 0,5мм, класса «В», Ø200</v>
      </c>
      <c r="C12" s="23" t="str">
        <f aca="false">IF(Позиции!D266="","",Позиции!D266)</f>
        <v>шт.</v>
      </c>
      <c r="D12" s="24" t="n">
        <f aca="false">IF(Позиции!L266="","",Позиции!L266)</f>
        <v>2</v>
      </c>
      <c r="E12" s="25" t="n">
        <f aca="false">IF(Позиции!O266="","",Позиции!O266)</f>
        <v>855</v>
      </c>
      <c r="F12" s="14" t="str">
        <f aca="false">IF(Позиции!P266="","",Позиции!P266)</f>
        <v>ДС п.1.17–1.30 (круглые фасонные 855)</v>
      </c>
      <c r="G12" s="25" t="n">
        <f aca="false">IF(Позиции!M266="","",Позиции!M266)</f>
        <v>340</v>
      </c>
      <c r="H12" s="25" t="n">
        <f aca="false">IF(Позиции!Q266="","",Позиции!Q266)</f>
        <v>-515</v>
      </c>
      <c r="I12" s="25" t="n">
        <f aca="false">IF(Позиции!R266="","",Позиции!R266)</f>
        <v>-1030</v>
      </c>
      <c r="J12" s="14" t="str">
        <f aca="false">IF(Позиции!T266="","",Позиции!T266)</f>
        <v>Новая работа: НИЖЕ цены аналога из ДС</v>
      </c>
      <c r="K12" s="14" t="str">
        <f aca="false">IF(Позиции!U266="","",Позиции!U266)</f>
        <v/>
      </c>
    </row>
    <row r="13" customFormat="false" ht="26.85" hidden="false" customHeight="false" outlineLevel="0" collapsed="false">
      <c r="A13" s="23" t="str">
        <f aca="false">IF(Позиции!B170="","",Позиции!B170)</f>
        <v>4.56</v>
      </c>
      <c r="B13" s="14" t="str">
        <f aca="false">IF(Позиции!C170="","",Позиции!C170)</f>
        <v>Врезка плоская из оцинкованной стали толщиной 0,5мм, класса «В», Ø100</v>
      </c>
      <c r="C13" s="23" t="str">
        <f aca="false">IF(Позиции!D170="","",Позиции!D170)</f>
        <v>шт.</v>
      </c>
      <c r="D13" s="24" t="n">
        <f aca="false">IF(Позиции!L170="","",Позиции!L170)</f>
        <v>2</v>
      </c>
      <c r="E13" s="25" t="n">
        <f aca="false">IF(Позиции!O170="","",Позиции!O170)</f>
        <v>855</v>
      </c>
      <c r="F13" s="14" t="str">
        <f aca="false">IF(Позиции!P170="","",Позиции!P170)</f>
        <v>ДС п.1.17–1.30 (круглые фасонные 855)</v>
      </c>
      <c r="G13" s="25" t="n">
        <f aca="false">IF(Позиции!M170="","",Позиции!M170)</f>
        <v>370</v>
      </c>
      <c r="H13" s="25" t="n">
        <f aca="false">IF(Позиции!Q170="","",Позиции!Q170)</f>
        <v>-485</v>
      </c>
      <c r="I13" s="25" t="n">
        <f aca="false">IF(Позиции!R170="","",Позиции!R170)</f>
        <v>-970</v>
      </c>
      <c r="J13" s="14" t="str">
        <f aca="false">IF(Позиции!T170="","",Позиции!T170)</f>
        <v>Новая работа: НИЖЕ цены аналога из ДС</v>
      </c>
      <c r="K13" s="14" t="str">
        <f aca="false">IF(Позиции!U170="","",Позиции!U170)</f>
        <v/>
      </c>
    </row>
    <row r="14" customFormat="false" ht="26.85" hidden="false" customHeight="false" outlineLevel="0" collapsed="false">
      <c r="A14" s="23" t="str">
        <f aca="false">IF(Позиции!B177="","",Позиции!B177)</f>
        <v>4.63</v>
      </c>
      <c r="B14" s="14" t="str">
        <f aca="false">IF(Позиции!C177="","",Позиции!C177)</f>
        <v>Переход из оцинкованной стали толщиной 0,5мм, класса «В», Ø125/Ø100</v>
      </c>
      <c r="C14" s="23" t="str">
        <f aca="false">IF(Позиции!D177="","",Позиции!D177)</f>
        <v>шт.</v>
      </c>
      <c r="D14" s="24" t="n">
        <f aca="false">IF(Позиции!L177="","",Позиции!L177)</f>
        <v>2</v>
      </c>
      <c r="E14" s="25" t="n">
        <f aca="false">IF(Позиции!O177="","",Позиции!O177)</f>
        <v>855</v>
      </c>
      <c r="F14" s="14" t="str">
        <f aca="false">IF(Позиции!P177="","",Позиции!P177)</f>
        <v>ДС п.1.17–1.30 (круглые фасонные 855)</v>
      </c>
      <c r="G14" s="25" t="n">
        <f aca="false">IF(Позиции!M177="","",Позиции!M177)</f>
        <v>370</v>
      </c>
      <c r="H14" s="25" t="n">
        <f aca="false">IF(Позиции!Q177="","",Позиции!Q177)</f>
        <v>-485</v>
      </c>
      <c r="I14" s="25" t="n">
        <f aca="false">IF(Позиции!R177="","",Позиции!R177)</f>
        <v>-970</v>
      </c>
      <c r="J14" s="14" t="str">
        <f aca="false">IF(Позиции!T177="","",Позиции!T177)</f>
        <v>Новая работа: НИЖЕ цены аналога из ДС</v>
      </c>
      <c r="K14" s="14" t="str">
        <f aca="false">IF(Позиции!U177="","",Позиции!U177)</f>
        <v/>
      </c>
    </row>
    <row r="15" customFormat="false" ht="26.85" hidden="false" customHeight="false" outlineLevel="0" collapsed="false">
      <c r="A15" s="23" t="str">
        <f aca="false">IF(Позиции!B173="","",Позиции!B173)</f>
        <v>4.59</v>
      </c>
      <c r="B15" s="14" t="str">
        <f aca="false">IF(Позиции!C173="","",Позиции!C173)</f>
        <v>Врезка-седло из оцинкованной стали толщиной 0,5мм, класса «В», Ø160/Ø100</v>
      </c>
      <c r="C15" s="23" t="str">
        <f aca="false">IF(Позиции!D173="","",Позиции!D173)</f>
        <v>шт.</v>
      </c>
      <c r="D15" s="24" t="n">
        <f aca="false">IF(Позиции!L173="","",Позиции!L173)</f>
        <v>1</v>
      </c>
      <c r="E15" s="25" t="n">
        <f aca="false">IF(Позиции!O173="","",Позиции!O173)</f>
        <v>855</v>
      </c>
      <c r="F15" s="14" t="str">
        <f aca="false">IF(Позиции!P173="","",Позиции!P173)</f>
        <v>ДС п.1.17–1.30 (круглые фасонные 855)</v>
      </c>
      <c r="G15" s="25" t="n">
        <f aca="false">IF(Позиции!M173="","",Позиции!M173)</f>
        <v>370</v>
      </c>
      <c r="H15" s="25" t="n">
        <f aca="false">IF(Позиции!Q173="","",Позиции!Q173)</f>
        <v>-485</v>
      </c>
      <c r="I15" s="25" t="n">
        <f aca="false">IF(Позиции!R173="","",Позиции!R173)</f>
        <v>-485</v>
      </c>
      <c r="J15" s="14" t="str">
        <f aca="false">IF(Позиции!T173="","",Позиции!T173)</f>
        <v>Новая работа: НИЖЕ цены аналога из ДС</v>
      </c>
      <c r="K15" s="14" t="str">
        <f aca="false">IF(Позиции!U173="","",Позиции!U173)</f>
        <v/>
      </c>
    </row>
    <row r="16" customFormat="false" ht="26.85" hidden="false" customHeight="false" outlineLevel="0" collapsed="false">
      <c r="A16" s="23" t="str">
        <f aca="false">IF(Позиции!B174="","",Позиции!B174)</f>
        <v>4.60</v>
      </c>
      <c r="B16" s="14" t="str">
        <f aca="false">IF(Позиции!C174="","",Позиции!C174)</f>
        <v>Врезка-седло из оцинкованной стали толщиной 0,5мм, класса «В», Ø160/Ø125</v>
      </c>
      <c r="C16" s="23" t="str">
        <f aca="false">IF(Позиции!D174="","",Позиции!D174)</f>
        <v>шт.</v>
      </c>
      <c r="D16" s="24" t="n">
        <f aca="false">IF(Позиции!L174="","",Позиции!L174)</f>
        <v>1</v>
      </c>
      <c r="E16" s="25" t="n">
        <f aca="false">IF(Позиции!O174="","",Позиции!O174)</f>
        <v>855</v>
      </c>
      <c r="F16" s="14" t="str">
        <f aca="false">IF(Позиции!P174="","",Позиции!P174)</f>
        <v>ДС п.1.17–1.30 (круглые фасонные 855)</v>
      </c>
      <c r="G16" s="25" t="n">
        <f aca="false">IF(Позиции!M174="","",Позиции!M174)</f>
        <v>370</v>
      </c>
      <c r="H16" s="25" t="n">
        <f aca="false">IF(Позиции!Q174="","",Позиции!Q174)</f>
        <v>-485</v>
      </c>
      <c r="I16" s="25" t="n">
        <f aca="false">IF(Позиции!R174="","",Позиции!R174)</f>
        <v>-485</v>
      </c>
      <c r="J16" s="14" t="str">
        <f aca="false">IF(Позиции!T174="","",Позиции!T174)</f>
        <v>Новая работа: НИЖЕ цены аналога из ДС</v>
      </c>
      <c r="K16" s="14" t="str">
        <f aca="false">IF(Позиции!U174="","",Позиции!U174)</f>
        <v/>
      </c>
    </row>
    <row r="17" customFormat="false" ht="26.85" hidden="false" customHeight="false" outlineLevel="0" collapsed="false">
      <c r="A17" s="23" t="str">
        <f aca="false">IF(Позиции!B176="","",Позиции!B176)</f>
        <v>4.62</v>
      </c>
      <c r="B17" s="14" t="str">
        <f aca="false">IF(Позиции!C176="","",Позиции!C176)</f>
        <v>Тройник из оцинкованной стали толщиной 0,5мм, класса «В», Ø125/Ø125/Ø125</v>
      </c>
      <c r="C17" s="23" t="str">
        <f aca="false">IF(Позиции!D176="","",Позиции!D176)</f>
        <v>шт.</v>
      </c>
      <c r="D17" s="24" t="n">
        <f aca="false">IF(Позиции!L176="","",Позиции!L176)</f>
        <v>1</v>
      </c>
      <c r="E17" s="25" t="n">
        <f aca="false">IF(Позиции!O176="","",Позиции!O176)</f>
        <v>855</v>
      </c>
      <c r="F17" s="14" t="str">
        <f aca="false">IF(Позиции!P176="","",Позиции!P176)</f>
        <v>ДС п.1.17–1.30 (круглые фасонные 855)</v>
      </c>
      <c r="G17" s="25" t="n">
        <f aca="false">IF(Позиции!M176="","",Позиции!M176)</f>
        <v>370</v>
      </c>
      <c r="H17" s="25" t="n">
        <f aca="false">IF(Позиции!Q176="","",Позиции!Q176)</f>
        <v>-485</v>
      </c>
      <c r="I17" s="25" t="n">
        <f aca="false">IF(Позиции!R176="","",Позиции!R176)</f>
        <v>-485</v>
      </c>
      <c r="J17" s="14" t="str">
        <f aca="false">IF(Позиции!T176="","",Позиции!T176)</f>
        <v>Новая работа: НИЖЕ цены аналога из ДС</v>
      </c>
      <c r="K17" s="14" t="str">
        <f aca="false">IF(Позиции!U176="","",Позиции!U176)</f>
        <v/>
      </c>
    </row>
    <row r="18" customFormat="false" ht="26.85" hidden="false" customHeight="false" outlineLevel="0" collapsed="false">
      <c r="A18" s="23" t="str">
        <f aca="false">IF(Позиции!B178="","",Позиции!B178)</f>
        <v>4.64</v>
      </c>
      <c r="B18" s="14" t="str">
        <f aca="false">IF(Позиции!C178="","",Позиции!C178)</f>
        <v>Переход из оцинкованной стали толщиной 0,5мм, класса «В», Ø160/Ø100</v>
      </c>
      <c r="C18" s="23" t="str">
        <f aca="false">IF(Позиции!D178="","",Позиции!D178)</f>
        <v>шт.</v>
      </c>
      <c r="D18" s="24" t="n">
        <f aca="false">IF(Позиции!L178="","",Позиции!L178)</f>
        <v>1</v>
      </c>
      <c r="E18" s="25" t="n">
        <f aca="false">IF(Позиции!O178="","",Позиции!O178)</f>
        <v>855</v>
      </c>
      <c r="F18" s="14" t="str">
        <f aca="false">IF(Позиции!P178="","",Позиции!P178)</f>
        <v>ДС п.1.17–1.30 (круглые фасонные 855)</v>
      </c>
      <c r="G18" s="25" t="n">
        <f aca="false">IF(Позиции!M178="","",Позиции!M178)</f>
        <v>370</v>
      </c>
      <c r="H18" s="25" t="n">
        <f aca="false">IF(Позиции!Q178="","",Позиции!Q178)</f>
        <v>-485</v>
      </c>
      <c r="I18" s="25" t="n">
        <f aca="false">IF(Позиции!R178="","",Позиции!R178)</f>
        <v>-485</v>
      </c>
      <c r="J18" s="14" t="str">
        <f aca="false">IF(Позиции!T178="","",Позиции!T178)</f>
        <v>Новая работа: НИЖЕ цены аналога из ДС</v>
      </c>
      <c r="K18" s="14" t="str">
        <f aca="false">IF(Позиции!U178="","",Позиции!U178)</f>
        <v/>
      </c>
    </row>
    <row r="19" customFormat="false" ht="26.85" hidden="false" customHeight="false" outlineLevel="0" collapsed="false">
      <c r="A19" s="23" t="str">
        <f aca="false">IF(Позиции!B179="","",Позиции!B179)</f>
        <v>4.65</v>
      </c>
      <c r="B19" s="14" t="str">
        <f aca="false">IF(Позиции!C179="","",Позиции!C179)</f>
        <v>Переход из оцинкованной стали толщиной 0,5мм, класса «В», Ø160/Ø125</v>
      </c>
      <c r="C19" s="23" t="str">
        <f aca="false">IF(Позиции!D179="","",Позиции!D179)</f>
        <v>шт.</v>
      </c>
      <c r="D19" s="24" t="n">
        <f aca="false">IF(Позиции!L179="","",Позиции!L179)</f>
        <v>1</v>
      </c>
      <c r="E19" s="25" t="n">
        <f aca="false">IF(Позиции!O179="","",Позиции!O179)</f>
        <v>855</v>
      </c>
      <c r="F19" s="14" t="str">
        <f aca="false">IF(Позиции!P179="","",Позиции!P179)</f>
        <v>ДС п.1.17–1.30 (круглые фасонные 855)</v>
      </c>
      <c r="G19" s="25" t="n">
        <f aca="false">IF(Позиции!M179="","",Позиции!M179)</f>
        <v>440</v>
      </c>
      <c r="H19" s="25" t="n">
        <f aca="false">IF(Позиции!Q179="","",Позиции!Q179)</f>
        <v>-415</v>
      </c>
      <c r="I19" s="25" t="n">
        <f aca="false">IF(Позиции!R179="","",Позиции!R179)</f>
        <v>-415</v>
      </c>
      <c r="J19" s="14" t="str">
        <f aca="false">IF(Позиции!T179="","",Позиции!T179)</f>
        <v>Новая работа: НИЖЕ цены аналога из ДС</v>
      </c>
      <c r="K19" s="14" t="str">
        <f aca="false">IF(Позиции!U179="","",Позиции!U179)</f>
        <v/>
      </c>
    </row>
    <row r="20" customFormat="false" ht="26.85" hidden="false" customHeight="false" outlineLevel="0" collapsed="false">
      <c r="A20" s="23" t="str">
        <f aca="false">IF(Позиции!B180="","",Позиции!B180)</f>
        <v>4.66</v>
      </c>
      <c r="B20" s="14" t="str">
        <f aca="false">IF(Позиции!C180="","",Позиции!C180)</f>
        <v>Переход из оцинкованной стали толщиной 0,5мм, класса «В», Ø200/Ø160</v>
      </c>
      <c r="C20" s="23" t="str">
        <f aca="false">IF(Позиции!D180="","",Позиции!D180)</f>
        <v>шт.</v>
      </c>
      <c r="D20" s="24" t="n">
        <f aca="false">IF(Позиции!L180="","",Позиции!L180)</f>
        <v>1</v>
      </c>
      <c r="E20" s="25" t="n">
        <f aca="false">IF(Позиции!O180="","",Позиции!O180)</f>
        <v>855</v>
      </c>
      <c r="F20" s="14" t="str">
        <f aca="false">IF(Позиции!P180="","",Позиции!P180)</f>
        <v>ДС п.1.17–1.30 (круглые фасонные 855)</v>
      </c>
      <c r="G20" s="25" t="n">
        <f aca="false">IF(Позиции!M180="","",Позиции!M180)</f>
        <v>440</v>
      </c>
      <c r="H20" s="25" t="n">
        <f aca="false">IF(Позиции!Q180="","",Позиции!Q180)</f>
        <v>-415</v>
      </c>
      <c r="I20" s="25" t="n">
        <f aca="false">IF(Позиции!R180="","",Позиции!R180)</f>
        <v>-415</v>
      </c>
      <c r="J20" s="14" t="str">
        <f aca="false">IF(Позиции!T180="","",Позиции!T180)</f>
        <v>Новая работа: НИЖЕ цены аналога из ДС</v>
      </c>
      <c r="K20" s="14" t="str">
        <f aca="false">IF(Позиции!U180="","",Позиции!U180)</f>
        <v/>
      </c>
    </row>
    <row r="21" customFormat="false" ht="26.85" hidden="false" customHeight="false" outlineLevel="0" collapsed="false">
      <c r="A21" s="23" t="str">
        <f aca="false">IF(Позиции!B196="","",Позиции!B196)</f>
        <v>4.82</v>
      </c>
      <c r="B21" s="14" t="str">
        <f aca="false">IF(Позиции!C196="","",Позиции!C196)</f>
        <v>Изоляция прямоугольных воздуховодов</v>
      </c>
      <c r="C21" s="23" t="str">
        <f aca="false">IF(Позиции!D196="","",Позиции!D196)</f>
        <v>м2</v>
      </c>
      <c r="D21" s="24" t="n">
        <f aca="false">IF(Позиции!L196="","",Позиции!L196)</f>
        <v>120</v>
      </c>
      <c r="E21" s="25" t="n">
        <f aca="false">IF(Позиции!O196="","",Позиции!O196)</f>
        <v>665.89</v>
      </c>
      <c r="F21" s="14" t="str">
        <f aca="false">IF(Позиции!P196="","",Позиции!P196)</f>
        <v>ДС п.1.33 (K-Flex, м²)</v>
      </c>
      <c r="G21" s="25" t="n">
        <f aca="false">IF(Позиции!M196="","",Позиции!M196)</f>
        <v>665</v>
      </c>
      <c r="H21" s="25" t="n">
        <f aca="false">IF(Позиции!Q196="","",Позиции!Q196)</f>
        <v>-0.889999999999986</v>
      </c>
      <c r="I21" s="25" t="n">
        <f aca="false">IF(Позиции!R196="","",Позиции!R196)</f>
        <v>-106.799999999998</v>
      </c>
      <c r="J21" s="14" t="str">
        <f aca="false">IF(Позиции!T196="","",Позиции!T196)</f>
        <v>Новая работа: НИЖЕ цены аналога из ДС</v>
      </c>
      <c r="K21" s="14" t="str">
        <f aca="false">IF(Позиции!U196="","",Позиции!U196)</f>
        <v/>
      </c>
    </row>
    <row r="22" customFormat="false" ht="15" hidden="false" customHeight="false" outlineLevel="0" collapsed="false">
      <c r="B22" s="26" t="s">
        <v>62</v>
      </c>
      <c r="I22" s="27" t="n">
        <f aca="false">SUM(I4:I21)</f>
        <v>-1569974.96</v>
      </c>
    </row>
    <row r="23" customFormat="false" ht="15" hidden="false" customHeight="false" outlineLevel="0" collapsed="false">
      <c r="B23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9" min="18" style="0" width="14"/>
    <col collapsed="false" customWidth="true" hidden="false" outlineLevel="0" max="20" min="20" style="0" width="26"/>
    <col collapsed="false" customWidth="true" hidden="false" outlineLevel="0" max="21" min="21" style="0" width="48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11"/>
    <col collapsed="false" customWidth="true" hidden="false" outlineLevel="0" max="25" min="25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26.85" hidden="false" customHeight="true" outlineLevel="0" collapsed="false">
      <c r="A3" s="28"/>
      <c r="B3" s="28"/>
      <c r="C3" s="28"/>
      <c r="D3" s="28"/>
      <c r="E3" s="29" t="s">
        <v>66</v>
      </c>
      <c r="F3" s="29"/>
      <c r="G3" s="29"/>
      <c r="H3" s="29" t="s">
        <v>67</v>
      </c>
      <c r="I3" s="10" t="s">
        <v>68</v>
      </c>
      <c r="J3" s="10"/>
      <c r="K3" s="10"/>
      <c r="L3" s="19" t="s">
        <v>69</v>
      </c>
      <c r="M3" s="19"/>
      <c r="N3" s="19"/>
      <c r="O3" s="30" t="s">
        <v>70</v>
      </c>
      <c r="P3" s="30"/>
      <c r="Q3" s="30"/>
      <c r="R3" s="30"/>
      <c r="S3" s="30"/>
      <c r="T3" s="30"/>
      <c r="U3" s="28"/>
      <c r="V3" s="11" t="s">
        <v>71</v>
      </c>
      <c r="W3" s="11"/>
      <c r="X3" s="11"/>
      <c r="Y3" s="11"/>
    </row>
    <row r="4" customFormat="false" ht="61.5" hidden="false" customHeight="true" outlineLevel="0" collapsed="false">
      <c r="A4" s="28" t="s">
        <v>72</v>
      </c>
      <c r="B4" s="28" t="s">
        <v>52</v>
      </c>
      <c r="C4" s="28" t="s">
        <v>53</v>
      </c>
      <c r="D4" s="28" t="s">
        <v>54</v>
      </c>
      <c r="E4" s="29" t="s">
        <v>73</v>
      </c>
      <c r="F4" s="29" t="s">
        <v>74</v>
      </c>
      <c r="G4" s="29" t="s">
        <v>30</v>
      </c>
      <c r="H4" s="29" t="s">
        <v>75</v>
      </c>
      <c r="I4" s="10" t="s">
        <v>73</v>
      </c>
      <c r="J4" s="10" t="s">
        <v>74</v>
      </c>
      <c r="K4" s="10" t="s">
        <v>30</v>
      </c>
      <c r="L4" s="19" t="s">
        <v>73</v>
      </c>
      <c r="M4" s="19" t="s">
        <v>74</v>
      </c>
      <c r="N4" s="19" t="s">
        <v>30</v>
      </c>
      <c r="O4" s="30" t="s">
        <v>76</v>
      </c>
      <c r="P4" s="30" t="s">
        <v>77</v>
      </c>
      <c r="Q4" s="30" t="s">
        <v>78</v>
      </c>
      <c r="R4" s="30" t="s">
        <v>79</v>
      </c>
      <c r="S4" s="30" t="s">
        <v>80</v>
      </c>
      <c r="T4" s="30" t="s">
        <v>28</v>
      </c>
      <c r="U4" s="28" t="s">
        <v>61</v>
      </c>
      <c r="V4" s="11" t="s">
        <v>81</v>
      </c>
      <c r="W4" s="11" t="s">
        <v>73</v>
      </c>
      <c r="X4" s="11" t="s">
        <v>74</v>
      </c>
      <c r="Y4" s="11" t="s">
        <v>30</v>
      </c>
    </row>
    <row r="5" customFormat="false" ht="15" hidden="false" customHeight="false" outlineLevel="0" collapsed="false">
      <c r="A5" s="31"/>
      <c r="B5" s="32" t="s">
        <v>82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customFormat="false" ht="26.85" hidden="false" customHeight="false" outlineLevel="0" collapsed="false">
      <c r="A6" s="23" t="s">
        <v>83</v>
      </c>
      <c r="B6" s="23" t="s">
        <v>84</v>
      </c>
      <c r="C6" s="14" t="s">
        <v>85</v>
      </c>
      <c r="D6" s="23" t="s">
        <v>86</v>
      </c>
      <c r="E6" s="24" t="n">
        <v>4</v>
      </c>
      <c r="F6" s="25" t="n">
        <v>600</v>
      </c>
      <c r="G6" s="25" t="n">
        <f aca="false">IF(E6="","",E6*F6)</f>
        <v>2400</v>
      </c>
      <c r="H6" s="25" t="n">
        <v>600</v>
      </c>
      <c r="I6" s="24" t="n">
        <v>72</v>
      </c>
      <c r="J6" s="25" t="n">
        <v>600</v>
      </c>
      <c r="K6" s="25" t="n">
        <f aca="false">I6*J6</f>
        <v>43200</v>
      </c>
      <c r="L6" s="24" t="n">
        <v>72</v>
      </c>
      <c r="M6" s="25" t="n">
        <v>600</v>
      </c>
      <c r="N6" s="25" t="n">
        <f aca="false">L6*M6</f>
        <v>43200</v>
      </c>
      <c r="O6" s="25" t="n">
        <v>600</v>
      </c>
      <c r="P6" s="14" t="s">
        <v>87</v>
      </c>
      <c r="Q6" s="25" t="n">
        <f aca="false">IF(OR(O6="",M6=""),"",M6-O6)</f>
        <v>0</v>
      </c>
      <c r="R6" s="33" t="n">
        <f aca="false">IF(Q6="","",Q6*L6)</f>
        <v>0</v>
      </c>
      <c r="S6" s="33" t="n">
        <f aca="false">N6-K6</f>
        <v>0</v>
      </c>
      <c r="T6" s="14" t="s">
        <v>88</v>
      </c>
      <c r="U6" s="14"/>
      <c r="V6" s="23"/>
      <c r="W6" s="24" t="n">
        <f aca="false">L6</f>
        <v>72</v>
      </c>
      <c r="X6" s="25" t="n">
        <f aca="false">M6</f>
        <v>600</v>
      </c>
      <c r="Y6" s="5" t="n">
        <f aca="false">IF(OR(W6="",X6=""),0,W6*X6)</f>
        <v>43200</v>
      </c>
    </row>
    <row r="7" customFormat="false" ht="39.55" hidden="false" customHeight="false" outlineLevel="0" collapsed="false">
      <c r="A7" s="23" t="s">
        <v>83</v>
      </c>
      <c r="B7" s="23" t="s">
        <v>89</v>
      </c>
      <c r="C7" s="14" t="s">
        <v>90</v>
      </c>
      <c r="D7" s="23" t="s">
        <v>86</v>
      </c>
      <c r="E7" s="24" t="n">
        <v>16</v>
      </c>
      <c r="F7" s="25" t="n">
        <v>600</v>
      </c>
      <c r="G7" s="25" t="n">
        <f aca="false">IF(E7="","",E7*F7)</f>
        <v>9600</v>
      </c>
      <c r="H7" s="25"/>
      <c r="I7" s="24" t="n">
        <v>0</v>
      </c>
      <c r="J7" s="25" t="n">
        <v>0</v>
      </c>
      <c r="K7" s="25" t="n">
        <f aca="false">I7*J7</f>
        <v>0</v>
      </c>
      <c r="L7" s="24" t="n">
        <v>0</v>
      </c>
      <c r="M7" s="25"/>
      <c r="N7" s="25" t="n">
        <f aca="false">L7*M7</f>
        <v>0</v>
      </c>
      <c r="O7" s="25" t="n">
        <v>600</v>
      </c>
      <c r="P7" s="14" t="s">
        <v>91</v>
      </c>
      <c r="Q7" s="34" t="str">
        <f aca="false">IF(OR(O7="",M7=""),"",M7-O7)</f>
        <v/>
      </c>
      <c r="R7" s="35" t="str">
        <f aca="false">IF(Q7="","",Q7*L7)</f>
        <v/>
      </c>
      <c r="S7" s="35" t="n">
        <f aca="false">N7-K7</f>
        <v>0</v>
      </c>
      <c r="T7" s="36" t="s">
        <v>92</v>
      </c>
      <c r="U7" s="14" t="s">
        <v>93</v>
      </c>
      <c r="V7" s="23"/>
      <c r="W7" s="24" t="n">
        <f aca="false">L7</f>
        <v>0</v>
      </c>
      <c r="X7" s="25" t="n">
        <f aca="false">M7</f>
        <v>0</v>
      </c>
      <c r="Y7" s="5" t="n">
        <f aca="false">IF(OR(W7="",X7=""),0,W7*X7)</f>
        <v>0</v>
      </c>
    </row>
    <row r="8" customFormat="false" ht="26.85" hidden="false" customHeight="false" outlineLevel="0" collapsed="false">
      <c r="A8" s="23" t="s">
        <v>83</v>
      </c>
      <c r="B8" s="23" t="s">
        <v>94</v>
      </c>
      <c r="C8" s="14" t="s">
        <v>95</v>
      </c>
      <c r="D8" s="23" t="s">
        <v>86</v>
      </c>
      <c r="E8" s="24" t="n">
        <v>12</v>
      </c>
      <c r="F8" s="25" t="n">
        <v>600</v>
      </c>
      <c r="G8" s="25" t="n">
        <f aca="false">IF(E8="","",E8*F8)</f>
        <v>7200</v>
      </c>
      <c r="H8" s="25"/>
      <c r="I8" s="24" t="n">
        <v>8</v>
      </c>
      <c r="J8" s="25" t="n">
        <v>600</v>
      </c>
      <c r="K8" s="25" t="n">
        <f aca="false">I8*J8</f>
        <v>4800</v>
      </c>
      <c r="L8" s="24" t="n">
        <v>8</v>
      </c>
      <c r="M8" s="25" t="n">
        <v>600</v>
      </c>
      <c r="N8" s="25" t="n">
        <f aca="false">L8*M8</f>
        <v>4800</v>
      </c>
      <c r="O8" s="25" t="n">
        <v>600</v>
      </c>
      <c r="P8" s="14" t="s">
        <v>96</v>
      </c>
      <c r="Q8" s="25" t="n">
        <f aca="false">IF(OR(O8="",M8=""),"",M8-O8)</f>
        <v>0</v>
      </c>
      <c r="R8" s="33" t="n">
        <f aca="false">IF(Q8="","",Q8*L8)</f>
        <v>0</v>
      </c>
      <c r="S8" s="33" t="n">
        <f aca="false">N8-K8</f>
        <v>0</v>
      </c>
      <c r="T8" s="14" t="s">
        <v>88</v>
      </c>
      <c r="U8" s="14"/>
      <c r="V8" s="23"/>
      <c r="W8" s="24" t="n">
        <f aca="false">L8</f>
        <v>8</v>
      </c>
      <c r="X8" s="25" t="n">
        <f aca="false">M8</f>
        <v>600</v>
      </c>
      <c r="Y8" s="5" t="n">
        <f aca="false">IF(OR(W8="",X8=""),0,W8*X8)</f>
        <v>4800</v>
      </c>
    </row>
    <row r="9" customFormat="false" ht="39.55" hidden="false" customHeight="false" outlineLevel="0" collapsed="false">
      <c r="A9" s="23" t="s">
        <v>83</v>
      </c>
      <c r="B9" s="23" t="s">
        <v>97</v>
      </c>
      <c r="C9" s="14" t="s">
        <v>98</v>
      </c>
      <c r="D9" s="23" t="s">
        <v>86</v>
      </c>
      <c r="E9" s="24" t="n">
        <v>8</v>
      </c>
      <c r="F9" s="25" t="n">
        <v>4000</v>
      </c>
      <c r="G9" s="25" t="n">
        <f aca="false">IF(E9="","",E9*F9)</f>
        <v>32000</v>
      </c>
      <c r="H9" s="25"/>
      <c r="I9" s="24" t="n">
        <v>0</v>
      </c>
      <c r="J9" s="25" t="n">
        <v>0</v>
      </c>
      <c r="K9" s="25" t="n">
        <f aca="false">I9*J9</f>
        <v>0</v>
      </c>
      <c r="L9" s="24" t="n">
        <v>0</v>
      </c>
      <c r="M9" s="25"/>
      <c r="N9" s="25" t="n">
        <f aca="false">L9*M9</f>
        <v>0</v>
      </c>
      <c r="O9" s="25" t="n">
        <v>4000</v>
      </c>
      <c r="P9" s="14" t="s">
        <v>99</v>
      </c>
      <c r="Q9" s="34" t="str">
        <f aca="false">IF(OR(O9="",M9=""),"",M9-O9)</f>
        <v/>
      </c>
      <c r="R9" s="35" t="str">
        <f aca="false">IF(Q9="","",Q9*L9)</f>
        <v/>
      </c>
      <c r="S9" s="35" t="n">
        <f aca="false">N9-K9</f>
        <v>0</v>
      </c>
      <c r="T9" s="36" t="s">
        <v>92</v>
      </c>
      <c r="U9" s="14" t="s">
        <v>100</v>
      </c>
      <c r="V9" s="23"/>
      <c r="W9" s="24" t="n">
        <f aca="false">L9</f>
        <v>0</v>
      </c>
      <c r="X9" s="25" t="n">
        <f aca="false">M9</f>
        <v>0</v>
      </c>
      <c r="Y9" s="5" t="n">
        <f aca="false">IF(OR(W9="",X9=""),0,W9*X9)</f>
        <v>0</v>
      </c>
    </row>
    <row r="10" customFormat="false" ht="26.85" hidden="false" customHeight="false" outlineLevel="0" collapsed="false">
      <c r="A10" s="23" t="s">
        <v>83</v>
      </c>
      <c r="B10" s="23" t="s">
        <v>101</v>
      </c>
      <c r="C10" s="14" t="s">
        <v>102</v>
      </c>
      <c r="D10" s="23" t="s">
        <v>86</v>
      </c>
      <c r="E10" s="24" t="n">
        <v>12</v>
      </c>
      <c r="F10" s="25" t="n">
        <v>950</v>
      </c>
      <c r="G10" s="25" t="n">
        <f aca="false">IF(E10="","",E10*F10)</f>
        <v>11400</v>
      </c>
      <c r="H10" s="25"/>
      <c r="I10" s="24" t="n">
        <v>12</v>
      </c>
      <c r="J10" s="25" t="n">
        <v>950</v>
      </c>
      <c r="K10" s="25" t="n">
        <f aca="false">I10*J10</f>
        <v>11400</v>
      </c>
      <c r="L10" s="24" t="n">
        <v>12</v>
      </c>
      <c r="M10" s="25" t="n">
        <v>950</v>
      </c>
      <c r="N10" s="25" t="n">
        <f aca="false">L10*M10</f>
        <v>11400</v>
      </c>
      <c r="O10" s="25" t="n">
        <v>950</v>
      </c>
      <c r="P10" s="14" t="s">
        <v>103</v>
      </c>
      <c r="Q10" s="25" t="n">
        <f aca="false">IF(OR(O10="",M10=""),"",M10-O10)</f>
        <v>0</v>
      </c>
      <c r="R10" s="33" t="n">
        <f aca="false">IF(Q10="","",Q10*L10)</f>
        <v>0</v>
      </c>
      <c r="S10" s="33" t="n">
        <f aca="false">N10-K10</f>
        <v>0</v>
      </c>
      <c r="T10" s="14" t="s">
        <v>88</v>
      </c>
      <c r="U10" s="14"/>
      <c r="V10" s="23"/>
      <c r="W10" s="24" t="n">
        <f aca="false">L10</f>
        <v>12</v>
      </c>
      <c r="X10" s="25" t="n">
        <f aca="false">M10</f>
        <v>950</v>
      </c>
      <c r="Y10" s="5" t="n">
        <f aca="false">IF(OR(W10="",X10=""),0,W10*X10)</f>
        <v>11400</v>
      </c>
    </row>
    <row r="11" customFormat="false" ht="26.85" hidden="false" customHeight="false" outlineLevel="0" collapsed="false">
      <c r="A11" s="23" t="s">
        <v>83</v>
      </c>
      <c r="B11" s="23" t="s">
        <v>104</v>
      </c>
      <c r="C11" s="14" t="s">
        <v>105</v>
      </c>
      <c r="D11" s="23" t="s">
        <v>86</v>
      </c>
      <c r="E11" s="24" t="n">
        <v>36</v>
      </c>
      <c r="F11" s="25" t="n">
        <v>950</v>
      </c>
      <c r="G11" s="25" t="n">
        <f aca="false">IF(E11="","",E11*F11)</f>
        <v>34200</v>
      </c>
      <c r="H11" s="25"/>
      <c r="I11" s="24" t="n">
        <v>60</v>
      </c>
      <c r="J11" s="25" t="n">
        <v>950</v>
      </c>
      <c r="K11" s="25" t="n">
        <f aca="false">I11*J11</f>
        <v>57000</v>
      </c>
      <c r="L11" s="24" t="n">
        <v>60</v>
      </c>
      <c r="M11" s="25" t="n">
        <v>950</v>
      </c>
      <c r="N11" s="25" t="n">
        <f aca="false">L11*M11</f>
        <v>57000</v>
      </c>
      <c r="O11" s="25" t="n">
        <v>950</v>
      </c>
      <c r="P11" s="14" t="s">
        <v>106</v>
      </c>
      <c r="Q11" s="25" t="n">
        <f aca="false">IF(OR(O11="",M11=""),"",M11-O11)</f>
        <v>0</v>
      </c>
      <c r="R11" s="33" t="n">
        <f aca="false">IF(Q11="","",Q11*L11)</f>
        <v>0</v>
      </c>
      <c r="S11" s="33" t="n">
        <f aca="false">N11-K11</f>
        <v>0</v>
      </c>
      <c r="T11" s="14" t="s">
        <v>88</v>
      </c>
      <c r="U11" s="14"/>
      <c r="V11" s="23"/>
      <c r="W11" s="24" t="n">
        <f aca="false">L11</f>
        <v>60</v>
      </c>
      <c r="X11" s="25" t="n">
        <f aca="false">M11</f>
        <v>950</v>
      </c>
      <c r="Y11" s="5" t="n">
        <f aca="false">IF(OR(W11="",X11=""),0,W11*X11)</f>
        <v>57000</v>
      </c>
    </row>
    <row r="12" customFormat="false" ht="26.85" hidden="false" customHeight="false" outlineLevel="0" collapsed="false">
      <c r="A12" s="23" t="s">
        <v>83</v>
      </c>
      <c r="B12" s="23" t="s">
        <v>107</v>
      </c>
      <c r="C12" s="14" t="s">
        <v>108</v>
      </c>
      <c r="D12" s="23" t="s">
        <v>86</v>
      </c>
      <c r="E12" s="24" t="n">
        <v>88</v>
      </c>
      <c r="F12" s="25" t="n">
        <v>950</v>
      </c>
      <c r="G12" s="25" t="n">
        <f aca="false">IF(E12="","",E12*F12)</f>
        <v>83600</v>
      </c>
      <c r="H12" s="25"/>
      <c r="I12" s="24" t="n">
        <v>64</v>
      </c>
      <c r="J12" s="25" t="n">
        <v>950</v>
      </c>
      <c r="K12" s="25" t="n">
        <f aca="false">I12*J12</f>
        <v>60800</v>
      </c>
      <c r="L12" s="24" t="n">
        <v>64</v>
      </c>
      <c r="M12" s="25" t="n">
        <v>950</v>
      </c>
      <c r="N12" s="25" t="n">
        <f aca="false">L12*M12</f>
        <v>60800</v>
      </c>
      <c r="O12" s="25" t="n">
        <v>950</v>
      </c>
      <c r="P12" s="14" t="s">
        <v>109</v>
      </c>
      <c r="Q12" s="25" t="n">
        <f aca="false">IF(OR(O12="",M12=""),"",M12-O12)</f>
        <v>0</v>
      </c>
      <c r="R12" s="33" t="n">
        <f aca="false">IF(Q12="","",Q12*L12)</f>
        <v>0</v>
      </c>
      <c r="S12" s="33" t="n">
        <f aca="false">N12-K12</f>
        <v>0</v>
      </c>
      <c r="T12" s="14" t="s">
        <v>88</v>
      </c>
      <c r="U12" s="14"/>
      <c r="V12" s="23"/>
      <c r="W12" s="24" t="n">
        <f aca="false">L12</f>
        <v>64</v>
      </c>
      <c r="X12" s="25" t="n">
        <f aca="false">M12</f>
        <v>950</v>
      </c>
      <c r="Y12" s="5" t="n">
        <f aca="false">IF(OR(W12="",X12=""),0,W12*X12)</f>
        <v>60800</v>
      </c>
    </row>
    <row r="13" customFormat="false" ht="26.85" hidden="false" customHeight="false" outlineLevel="0" collapsed="false">
      <c r="A13" s="23" t="s">
        <v>83</v>
      </c>
      <c r="B13" s="23" t="s">
        <v>110</v>
      </c>
      <c r="C13" s="14" t="s">
        <v>111</v>
      </c>
      <c r="D13" s="23" t="s">
        <v>86</v>
      </c>
      <c r="E13" s="24" t="n">
        <v>4</v>
      </c>
      <c r="F13" s="25" t="n">
        <v>950</v>
      </c>
      <c r="G13" s="25" t="n">
        <f aca="false">IF(E13="","",E13*F13)</f>
        <v>3800</v>
      </c>
      <c r="H13" s="25"/>
      <c r="I13" s="24" t="n">
        <v>8</v>
      </c>
      <c r="J13" s="25" t="n">
        <v>950</v>
      </c>
      <c r="K13" s="25" t="n">
        <f aca="false">I13*J13</f>
        <v>7600</v>
      </c>
      <c r="L13" s="24" t="n">
        <v>8</v>
      </c>
      <c r="M13" s="25" t="n">
        <v>950</v>
      </c>
      <c r="N13" s="25" t="n">
        <f aca="false">L13*M13</f>
        <v>7600</v>
      </c>
      <c r="O13" s="25" t="n">
        <v>950</v>
      </c>
      <c r="P13" s="14" t="s">
        <v>112</v>
      </c>
      <c r="Q13" s="25" t="n">
        <f aca="false">IF(OR(O13="",M13=""),"",M13-O13)</f>
        <v>0</v>
      </c>
      <c r="R13" s="33" t="n">
        <f aca="false">IF(Q13="","",Q13*L13)</f>
        <v>0</v>
      </c>
      <c r="S13" s="33" t="n">
        <f aca="false">N13-K13</f>
        <v>0</v>
      </c>
      <c r="T13" s="14" t="s">
        <v>88</v>
      </c>
      <c r="U13" s="14"/>
      <c r="V13" s="23"/>
      <c r="W13" s="24" t="n">
        <f aca="false">L13</f>
        <v>8</v>
      </c>
      <c r="X13" s="25" t="n">
        <f aca="false">M13</f>
        <v>950</v>
      </c>
      <c r="Y13" s="5" t="n">
        <f aca="false">IF(OR(W13="",X13=""),0,W13*X13)</f>
        <v>7600</v>
      </c>
    </row>
    <row r="14" customFormat="false" ht="39.55" hidden="false" customHeight="false" outlineLevel="0" collapsed="false">
      <c r="A14" s="23" t="s">
        <v>83</v>
      </c>
      <c r="B14" s="23" t="s">
        <v>113</v>
      </c>
      <c r="C14" s="14" t="s">
        <v>114</v>
      </c>
      <c r="D14" s="23" t="s">
        <v>115</v>
      </c>
      <c r="E14" s="24" t="n">
        <v>40</v>
      </c>
      <c r="F14" s="25" t="n">
        <v>474.36</v>
      </c>
      <c r="G14" s="25" t="n">
        <f aca="false">IF(E14="","",E14*F14)</f>
        <v>18974.4</v>
      </c>
      <c r="H14" s="25" t="n">
        <v>474.36</v>
      </c>
      <c r="I14" s="24" t="n">
        <v>0</v>
      </c>
      <c r="J14" s="25" t="n">
        <v>0</v>
      </c>
      <c r="K14" s="25" t="n">
        <f aca="false">I14*J14</f>
        <v>0</v>
      </c>
      <c r="L14" s="24" t="n">
        <v>0</v>
      </c>
      <c r="M14" s="25"/>
      <c r="N14" s="25" t="n">
        <f aca="false">L14*M14</f>
        <v>0</v>
      </c>
      <c r="O14" s="25" t="n">
        <v>474.36</v>
      </c>
      <c r="P14" s="14" t="s">
        <v>116</v>
      </c>
      <c r="Q14" s="34" t="str">
        <f aca="false">IF(OR(O14="",M14=""),"",M14-O14)</f>
        <v/>
      </c>
      <c r="R14" s="35" t="str">
        <f aca="false">IF(Q14="","",Q14*L14)</f>
        <v/>
      </c>
      <c r="S14" s="35" t="n">
        <f aca="false">N14-K14</f>
        <v>0</v>
      </c>
      <c r="T14" s="36" t="s">
        <v>92</v>
      </c>
      <c r="U14" s="14" t="s">
        <v>117</v>
      </c>
      <c r="V14" s="23"/>
      <c r="W14" s="24" t="n">
        <f aca="false">L14</f>
        <v>0</v>
      </c>
      <c r="X14" s="25" t="n">
        <f aca="false">M14</f>
        <v>0</v>
      </c>
      <c r="Y14" s="5" t="n">
        <f aca="false">IF(OR(W14="",X14=""),0,W14*X14)</f>
        <v>0</v>
      </c>
    </row>
    <row r="15" customFormat="false" ht="26.85" hidden="false" customHeight="false" outlineLevel="0" collapsed="false">
      <c r="A15" s="23" t="s">
        <v>83</v>
      </c>
      <c r="B15" s="23" t="s">
        <v>118</v>
      </c>
      <c r="C15" s="14" t="s">
        <v>119</v>
      </c>
      <c r="D15" s="23" t="s">
        <v>115</v>
      </c>
      <c r="E15" s="24" t="n">
        <v>8</v>
      </c>
      <c r="F15" s="25" t="n">
        <v>760</v>
      </c>
      <c r="G15" s="25" t="n">
        <f aca="false">IF(E15="","",E15*F15)</f>
        <v>6080</v>
      </c>
      <c r="H15" s="25"/>
      <c r="I15" s="24" t="n">
        <v>13.5</v>
      </c>
      <c r="J15" s="25" t="n">
        <v>760</v>
      </c>
      <c r="K15" s="25" t="n">
        <f aca="false">I15*J15</f>
        <v>10260</v>
      </c>
      <c r="L15" s="24" t="n">
        <v>13.5</v>
      </c>
      <c r="M15" s="25" t="n">
        <v>760</v>
      </c>
      <c r="N15" s="25" t="n">
        <f aca="false">L15*M15</f>
        <v>10260</v>
      </c>
      <c r="O15" s="25" t="n">
        <v>760</v>
      </c>
      <c r="P15" s="14" t="s">
        <v>120</v>
      </c>
      <c r="Q15" s="25" t="n">
        <f aca="false">IF(OR(O15="",M15=""),"",M15-O15)</f>
        <v>0</v>
      </c>
      <c r="R15" s="33" t="n">
        <f aca="false">IF(Q15="","",Q15*L15)</f>
        <v>0</v>
      </c>
      <c r="S15" s="33" t="n">
        <f aca="false">N15-K15</f>
        <v>0</v>
      </c>
      <c r="T15" s="14" t="s">
        <v>88</v>
      </c>
      <c r="U15" s="14"/>
      <c r="V15" s="23"/>
      <c r="W15" s="24" t="n">
        <f aca="false">L15</f>
        <v>13.5</v>
      </c>
      <c r="X15" s="25" t="n">
        <f aca="false">M15</f>
        <v>760</v>
      </c>
      <c r="Y15" s="5" t="n">
        <f aca="false">IF(OR(W15="",X15=""),0,W15*X15)</f>
        <v>10260</v>
      </c>
    </row>
    <row r="16" customFormat="false" ht="26.85" hidden="false" customHeight="false" outlineLevel="0" collapsed="false">
      <c r="A16" s="23" t="s">
        <v>83</v>
      </c>
      <c r="B16" s="23" t="s">
        <v>121</v>
      </c>
      <c r="C16" s="14" t="s">
        <v>122</v>
      </c>
      <c r="D16" s="23" t="s">
        <v>115</v>
      </c>
      <c r="E16" s="24" t="n">
        <v>48</v>
      </c>
      <c r="F16" s="25" t="n">
        <v>760</v>
      </c>
      <c r="G16" s="25" t="n">
        <f aca="false">IF(E16="","",E16*F16)</f>
        <v>36480</v>
      </c>
      <c r="H16" s="25"/>
      <c r="I16" s="24" t="n">
        <v>26.5</v>
      </c>
      <c r="J16" s="25" t="n">
        <v>760</v>
      </c>
      <c r="K16" s="25" t="n">
        <f aca="false">I16*J16</f>
        <v>20140</v>
      </c>
      <c r="L16" s="24" t="n">
        <v>26.5</v>
      </c>
      <c r="M16" s="25" t="n">
        <v>760</v>
      </c>
      <c r="N16" s="25" t="n">
        <f aca="false">L16*M16</f>
        <v>20140</v>
      </c>
      <c r="O16" s="25" t="n">
        <v>760</v>
      </c>
      <c r="P16" s="14" t="s">
        <v>123</v>
      </c>
      <c r="Q16" s="25" t="n">
        <f aca="false">IF(OR(O16="",M16=""),"",M16-O16)</f>
        <v>0</v>
      </c>
      <c r="R16" s="33" t="n">
        <f aca="false">IF(Q16="","",Q16*L16)</f>
        <v>0</v>
      </c>
      <c r="S16" s="33" t="n">
        <f aca="false">N16-K16</f>
        <v>0</v>
      </c>
      <c r="T16" s="14" t="s">
        <v>88</v>
      </c>
      <c r="U16" s="14"/>
      <c r="V16" s="23"/>
      <c r="W16" s="24" t="n">
        <f aca="false">L16</f>
        <v>26.5</v>
      </c>
      <c r="X16" s="25" t="n">
        <f aca="false">M16</f>
        <v>760</v>
      </c>
      <c r="Y16" s="5" t="n">
        <f aca="false">IF(OR(W16="",X16=""),0,W16*X16)</f>
        <v>20140</v>
      </c>
    </row>
    <row r="17" customFormat="false" ht="26.85" hidden="false" customHeight="false" outlineLevel="0" collapsed="false">
      <c r="A17" s="23" t="s">
        <v>83</v>
      </c>
      <c r="B17" s="23" t="s">
        <v>124</v>
      </c>
      <c r="C17" s="14" t="s">
        <v>125</v>
      </c>
      <c r="D17" s="23" t="s">
        <v>115</v>
      </c>
      <c r="E17" s="24" t="n">
        <v>344</v>
      </c>
      <c r="F17" s="25" t="n">
        <v>760</v>
      </c>
      <c r="G17" s="25" t="n">
        <f aca="false">IF(E17="","",E17*F17)</f>
        <v>261440</v>
      </c>
      <c r="H17" s="25"/>
      <c r="I17" s="24" t="n">
        <v>50</v>
      </c>
      <c r="J17" s="25" t="n">
        <v>760</v>
      </c>
      <c r="K17" s="25" t="n">
        <f aca="false">I17*J17</f>
        <v>38000</v>
      </c>
      <c r="L17" s="24" t="n">
        <v>50</v>
      </c>
      <c r="M17" s="25" t="n">
        <v>760</v>
      </c>
      <c r="N17" s="25" t="n">
        <f aca="false">L17*M17</f>
        <v>38000</v>
      </c>
      <c r="O17" s="25" t="n">
        <v>760</v>
      </c>
      <c r="P17" s="14" t="s">
        <v>126</v>
      </c>
      <c r="Q17" s="25" t="n">
        <f aca="false">IF(OR(O17="",M17=""),"",M17-O17)</f>
        <v>0</v>
      </c>
      <c r="R17" s="33" t="n">
        <f aca="false">IF(Q17="","",Q17*L17)</f>
        <v>0</v>
      </c>
      <c r="S17" s="33" t="n">
        <f aca="false">N17-K17</f>
        <v>0</v>
      </c>
      <c r="T17" s="14" t="s">
        <v>88</v>
      </c>
      <c r="U17" s="14"/>
      <c r="V17" s="23"/>
      <c r="W17" s="24" t="n">
        <f aca="false">L17</f>
        <v>50</v>
      </c>
      <c r="X17" s="25" t="n">
        <f aca="false">M17</f>
        <v>760</v>
      </c>
      <c r="Y17" s="5" t="n">
        <f aca="false">IF(OR(W17="",X17=""),0,W17*X17)</f>
        <v>38000</v>
      </c>
    </row>
    <row r="18" customFormat="false" ht="26.85" hidden="false" customHeight="false" outlineLevel="0" collapsed="false">
      <c r="A18" s="23" t="s">
        <v>83</v>
      </c>
      <c r="B18" s="23" t="s">
        <v>127</v>
      </c>
      <c r="C18" s="14" t="s">
        <v>128</v>
      </c>
      <c r="D18" s="23" t="s">
        <v>115</v>
      </c>
      <c r="E18" s="24" t="n">
        <v>20</v>
      </c>
      <c r="F18" s="25" t="n">
        <v>950</v>
      </c>
      <c r="G18" s="25" t="n">
        <f aca="false">IF(E18="","",E18*F18)</f>
        <v>19000</v>
      </c>
      <c r="H18" s="25"/>
      <c r="I18" s="24" t="n">
        <v>5.2</v>
      </c>
      <c r="J18" s="25" t="n">
        <v>950</v>
      </c>
      <c r="K18" s="25" t="n">
        <f aca="false">I18*J18</f>
        <v>4940</v>
      </c>
      <c r="L18" s="24" t="n">
        <v>5.2</v>
      </c>
      <c r="M18" s="25" t="n">
        <v>950</v>
      </c>
      <c r="N18" s="25" t="n">
        <f aca="false">L18*M18</f>
        <v>4940</v>
      </c>
      <c r="O18" s="25" t="n">
        <v>950</v>
      </c>
      <c r="P18" s="14" t="s">
        <v>129</v>
      </c>
      <c r="Q18" s="25" t="n">
        <f aca="false">IF(OR(O18="",M18=""),"",M18-O18)</f>
        <v>0</v>
      </c>
      <c r="R18" s="33" t="n">
        <f aca="false">IF(Q18="","",Q18*L18)</f>
        <v>0</v>
      </c>
      <c r="S18" s="33" t="n">
        <f aca="false">N18-K18</f>
        <v>0</v>
      </c>
      <c r="T18" s="14" t="s">
        <v>88</v>
      </c>
      <c r="U18" s="14"/>
      <c r="V18" s="23"/>
      <c r="W18" s="24" t="n">
        <f aca="false">L18</f>
        <v>5.2</v>
      </c>
      <c r="X18" s="25" t="n">
        <f aca="false">M18</f>
        <v>950</v>
      </c>
      <c r="Y18" s="5" t="n">
        <f aca="false">IF(OR(W18="",X18=""),0,W18*X18)</f>
        <v>4940</v>
      </c>
    </row>
    <row r="19" customFormat="false" ht="26.85" hidden="false" customHeight="false" outlineLevel="0" collapsed="false">
      <c r="A19" s="23" t="s">
        <v>83</v>
      </c>
      <c r="B19" s="23" t="s">
        <v>130</v>
      </c>
      <c r="C19" s="14" t="s">
        <v>131</v>
      </c>
      <c r="D19" s="23" t="s">
        <v>115</v>
      </c>
      <c r="E19" s="24" t="n">
        <v>760</v>
      </c>
      <c r="F19" s="25" t="n">
        <v>689.79</v>
      </c>
      <c r="G19" s="25" t="n">
        <f aca="false">IF(E19="","",E19*F19)</f>
        <v>524240.4</v>
      </c>
      <c r="H19" s="25" t="n">
        <v>689.79</v>
      </c>
      <c r="I19" s="24" t="n">
        <v>771.3</v>
      </c>
      <c r="J19" s="25" t="n">
        <v>689.79</v>
      </c>
      <c r="K19" s="25" t="n">
        <f aca="false">I19*J19</f>
        <v>532035.027</v>
      </c>
      <c r="L19" s="24" t="n">
        <v>771.3</v>
      </c>
      <c r="M19" s="25" t="n">
        <v>689.79</v>
      </c>
      <c r="N19" s="25" t="n">
        <f aca="false">L19*M19</f>
        <v>532035.027</v>
      </c>
      <c r="O19" s="25" t="n">
        <v>689.79</v>
      </c>
      <c r="P19" s="14" t="s">
        <v>132</v>
      </c>
      <c r="Q19" s="25" t="n">
        <f aca="false">IF(OR(O19="",M19=""),"",M19-O19)</f>
        <v>0</v>
      </c>
      <c r="R19" s="33" t="n">
        <f aca="false">IF(Q19="","",Q19*L19)</f>
        <v>0</v>
      </c>
      <c r="S19" s="33" t="n">
        <f aca="false">N19-K19</f>
        <v>0</v>
      </c>
      <c r="T19" s="14" t="s">
        <v>88</v>
      </c>
      <c r="U19" s="14"/>
      <c r="V19" s="23"/>
      <c r="W19" s="24" t="n">
        <f aca="false">L19</f>
        <v>771.3</v>
      </c>
      <c r="X19" s="25" t="n">
        <f aca="false">M19</f>
        <v>689.79</v>
      </c>
      <c r="Y19" s="5" t="n">
        <f aca="false">IF(OR(W19="",X19=""),0,W19*X19)</f>
        <v>532035.027</v>
      </c>
    </row>
    <row r="20" customFormat="false" ht="26.85" hidden="false" customHeight="false" outlineLevel="0" collapsed="false">
      <c r="A20" s="23" t="s">
        <v>83</v>
      </c>
      <c r="B20" s="23" t="s">
        <v>133</v>
      </c>
      <c r="C20" s="14" t="s">
        <v>134</v>
      </c>
      <c r="D20" s="23" t="s">
        <v>115</v>
      </c>
      <c r="E20" s="24" t="n">
        <v>400</v>
      </c>
      <c r="F20" s="25" t="n">
        <v>862.23</v>
      </c>
      <c r="G20" s="25" t="n">
        <f aca="false">IF(E20="","",E20*F20)</f>
        <v>344892</v>
      </c>
      <c r="H20" s="25" t="n">
        <v>862.23</v>
      </c>
      <c r="I20" s="24" t="n">
        <v>204.6</v>
      </c>
      <c r="J20" s="25" t="n">
        <v>862.23</v>
      </c>
      <c r="K20" s="25" t="n">
        <f aca="false">I20*J20</f>
        <v>176412.258</v>
      </c>
      <c r="L20" s="24" t="n">
        <v>204.6</v>
      </c>
      <c r="M20" s="25" t="n">
        <v>862.23</v>
      </c>
      <c r="N20" s="25" t="n">
        <f aca="false">L20*M20</f>
        <v>176412.258</v>
      </c>
      <c r="O20" s="25" t="n">
        <v>862.23</v>
      </c>
      <c r="P20" s="14" t="s">
        <v>135</v>
      </c>
      <c r="Q20" s="25" t="n">
        <f aca="false">IF(OR(O20="",M20=""),"",M20-O20)</f>
        <v>0</v>
      </c>
      <c r="R20" s="33" t="n">
        <f aca="false">IF(Q20="","",Q20*L20)</f>
        <v>0</v>
      </c>
      <c r="S20" s="33" t="n">
        <f aca="false">N20-K20</f>
        <v>0</v>
      </c>
      <c r="T20" s="14" t="s">
        <v>88</v>
      </c>
      <c r="U20" s="14"/>
      <c r="V20" s="23"/>
      <c r="W20" s="24" t="n">
        <f aca="false">L20</f>
        <v>204.6</v>
      </c>
      <c r="X20" s="25" t="n">
        <f aca="false">M20</f>
        <v>862.23</v>
      </c>
      <c r="Y20" s="5" t="n">
        <f aca="false">IF(OR(W20="",X20=""),0,W20*X20)</f>
        <v>176412.258</v>
      </c>
    </row>
    <row r="21" customFormat="false" ht="26.85" hidden="false" customHeight="false" outlineLevel="0" collapsed="false">
      <c r="A21" s="23" t="s">
        <v>83</v>
      </c>
      <c r="B21" s="23" t="s">
        <v>136</v>
      </c>
      <c r="C21" s="14" t="s">
        <v>137</v>
      </c>
      <c r="D21" s="23" t="s">
        <v>115</v>
      </c>
      <c r="E21" s="24" t="n">
        <v>12</v>
      </c>
      <c r="F21" s="25" t="n">
        <v>1077.79</v>
      </c>
      <c r="G21" s="25" t="n">
        <f aca="false">IF(E21="","",E21*F21)</f>
        <v>12933.48</v>
      </c>
      <c r="H21" s="25" t="n">
        <v>1077.79</v>
      </c>
      <c r="I21" s="24" t="n">
        <v>4.4</v>
      </c>
      <c r="J21" s="25" t="n">
        <v>1077.79</v>
      </c>
      <c r="K21" s="25" t="n">
        <f aca="false">I21*J21</f>
        <v>4742.276</v>
      </c>
      <c r="L21" s="24" t="n">
        <v>4.4</v>
      </c>
      <c r="M21" s="25" t="n">
        <v>1077.79</v>
      </c>
      <c r="N21" s="25" t="n">
        <f aca="false">L21*M21</f>
        <v>4742.276</v>
      </c>
      <c r="O21" s="25" t="n">
        <v>1077.79</v>
      </c>
      <c r="P21" s="14" t="s">
        <v>138</v>
      </c>
      <c r="Q21" s="25" t="n">
        <f aca="false">IF(OR(O21="",M21=""),"",M21-O21)</f>
        <v>0</v>
      </c>
      <c r="R21" s="33" t="n">
        <f aca="false">IF(Q21="","",Q21*L21)</f>
        <v>0</v>
      </c>
      <c r="S21" s="33" t="n">
        <f aca="false">N21-K21</f>
        <v>0</v>
      </c>
      <c r="T21" s="14" t="s">
        <v>88</v>
      </c>
      <c r="U21" s="14"/>
      <c r="V21" s="23"/>
      <c r="W21" s="24" t="n">
        <f aca="false">L21</f>
        <v>4.4</v>
      </c>
      <c r="X21" s="25" t="n">
        <f aca="false">M21</f>
        <v>1077.79</v>
      </c>
      <c r="Y21" s="5" t="n">
        <f aca="false">IF(OR(W21="",X21=""),0,W21*X21)</f>
        <v>4742.276</v>
      </c>
    </row>
    <row r="22" customFormat="false" ht="26.85" hidden="false" customHeight="false" outlineLevel="0" collapsed="false">
      <c r="A22" s="23" t="s">
        <v>83</v>
      </c>
      <c r="B22" s="23" t="s">
        <v>139</v>
      </c>
      <c r="C22" s="14" t="s">
        <v>140</v>
      </c>
      <c r="D22" s="23" t="s">
        <v>141</v>
      </c>
      <c r="E22" s="24" t="n">
        <v>80</v>
      </c>
      <c r="F22" s="25" t="n">
        <v>855</v>
      </c>
      <c r="G22" s="25" t="n">
        <f aca="false">IF(E22="","",E22*F22)</f>
        <v>68400</v>
      </c>
      <c r="H22" s="25"/>
      <c r="I22" s="24" t="n">
        <v>155</v>
      </c>
      <c r="J22" s="25" t="n">
        <v>855</v>
      </c>
      <c r="K22" s="25" t="n">
        <f aca="false">I22*J22</f>
        <v>132525</v>
      </c>
      <c r="L22" s="24" t="n">
        <v>155</v>
      </c>
      <c r="M22" s="25" t="n">
        <v>855</v>
      </c>
      <c r="N22" s="25" t="n">
        <f aca="false">L22*M22</f>
        <v>132525</v>
      </c>
      <c r="O22" s="25" t="n">
        <v>855</v>
      </c>
      <c r="P22" s="14" t="s">
        <v>142</v>
      </c>
      <c r="Q22" s="25" t="n">
        <f aca="false">IF(OR(O22="",M22=""),"",M22-O22)</f>
        <v>0</v>
      </c>
      <c r="R22" s="33" t="n">
        <f aca="false">IF(Q22="","",Q22*L22)</f>
        <v>0</v>
      </c>
      <c r="S22" s="33" t="n">
        <f aca="false">N22-K22</f>
        <v>0</v>
      </c>
      <c r="T22" s="14" t="s">
        <v>88</v>
      </c>
      <c r="U22" s="14"/>
      <c r="V22" s="23"/>
      <c r="W22" s="24" t="n">
        <f aca="false">L22</f>
        <v>155</v>
      </c>
      <c r="X22" s="25" t="n">
        <f aca="false">M22</f>
        <v>855</v>
      </c>
      <c r="Y22" s="5" t="n">
        <f aca="false">IF(OR(W22="",X22=""),0,W22*X22)</f>
        <v>132525</v>
      </c>
    </row>
    <row r="23" customFormat="false" ht="26.85" hidden="false" customHeight="false" outlineLevel="0" collapsed="false">
      <c r="A23" s="23" t="s">
        <v>83</v>
      </c>
      <c r="B23" s="23" t="s">
        <v>143</v>
      </c>
      <c r="C23" s="14" t="s">
        <v>144</v>
      </c>
      <c r="D23" s="23" t="s">
        <v>141</v>
      </c>
      <c r="E23" s="24" t="n">
        <v>8</v>
      </c>
      <c r="F23" s="25" t="n">
        <v>855</v>
      </c>
      <c r="G23" s="25" t="n">
        <f aca="false">IF(E23="","",E23*F23)</f>
        <v>6840</v>
      </c>
      <c r="H23" s="25"/>
      <c r="I23" s="24" t="n">
        <v>7</v>
      </c>
      <c r="J23" s="25" t="n">
        <v>855</v>
      </c>
      <c r="K23" s="25" t="n">
        <f aca="false">I23*J23</f>
        <v>5985</v>
      </c>
      <c r="L23" s="24" t="n">
        <v>7</v>
      </c>
      <c r="M23" s="25" t="n">
        <v>855</v>
      </c>
      <c r="N23" s="25" t="n">
        <f aca="false">L23*M23</f>
        <v>5985</v>
      </c>
      <c r="O23" s="25" t="n">
        <v>855</v>
      </c>
      <c r="P23" s="14" t="s">
        <v>145</v>
      </c>
      <c r="Q23" s="25" t="n">
        <f aca="false">IF(OR(O23="",M23=""),"",M23-O23)</f>
        <v>0</v>
      </c>
      <c r="R23" s="33" t="n">
        <f aca="false">IF(Q23="","",Q23*L23)</f>
        <v>0</v>
      </c>
      <c r="S23" s="33" t="n">
        <f aca="false">N23-K23</f>
        <v>0</v>
      </c>
      <c r="T23" s="14" t="s">
        <v>88</v>
      </c>
      <c r="U23" s="14"/>
      <c r="V23" s="23"/>
      <c r="W23" s="24" t="n">
        <f aca="false">L23</f>
        <v>7</v>
      </c>
      <c r="X23" s="25" t="n">
        <f aca="false">M23</f>
        <v>855</v>
      </c>
      <c r="Y23" s="5" t="n">
        <f aca="false">IF(OR(W23="",X23=""),0,W23*X23)</f>
        <v>5985</v>
      </c>
    </row>
    <row r="24" customFormat="false" ht="26.85" hidden="false" customHeight="false" outlineLevel="0" collapsed="false">
      <c r="A24" s="23" t="s">
        <v>83</v>
      </c>
      <c r="B24" s="23" t="s">
        <v>146</v>
      </c>
      <c r="C24" s="14" t="s">
        <v>147</v>
      </c>
      <c r="D24" s="23" t="s">
        <v>141</v>
      </c>
      <c r="E24" s="24" t="n">
        <v>100</v>
      </c>
      <c r="F24" s="25" t="n">
        <v>855</v>
      </c>
      <c r="G24" s="25" t="n">
        <f aca="false">IF(E24="","",E24*F24)</f>
        <v>85500</v>
      </c>
      <c r="H24" s="25"/>
      <c r="I24" s="24" t="n">
        <v>104</v>
      </c>
      <c r="J24" s="25" t="n">
        <v>855</v>
      </c>
      <c r="K24" s="25" t="n">
        <f aca="false">I24*J24</f>
        <v>88920</v>
      </c>
      <c r="L24" s="24" t="n">
        <v>104</v>
      </c>
      <c r="M24" s="25" t="n">
        <v>855</v>
      </c>
      <c r="N24" s="25" t="n">
        <f aca="false">L24*M24</f>
        <v>88920</v>
      </c>
      <c r="O24" s="25" t="n">
        <v>855</v>
      </c>
      <c r="P24" s="14" t="s">
        <v>148</v>
      </c>
      <c r="Q24" s="25" t="n">
        <f aca="false">IF(OR(O24="",M24=""),"",M24-O24)</f>
        <v>0</v>
      </c>
      <c r="R24" s="33" t="n">
        <f aca="false">IF(Q24="","",Q24*L24)</f>
        <v>0</v>
      </c>
      <c r="S24" s="33" t="n">
        <f aca="false">N24-K24</f>
        <v>0</v>
      </c>
      <c r="T24" s="14" t="s">
        <v>88</v>
      </c>
      <c r="U24" s="14"/>
      <c r="V24" s="23"/>
      <c r="W24" s="24" t="n">
        <f aca="false">L24</f>
        <v>104</v>
      </c>
      <c r="X24" s="25" t="n">
        <f aca="false">M24</f>
        <v>855</v>
      </c>
      <c r="Y24" s="5" t="n">
        <f aca="false">IF(OR(W24="",X24=""),0,W24*X24)</f>
        <v>88920</v>
      </c>
    </row>
    <row r="25" customFormat="false" ht="26.85" hidden="false" customHeight="false" outlineLevel="0" collapsed="false">
      <c r="A25" s="23" t="s">
        <v>83</v>
      </c>
      <c r="B25" s="23" t="s">
        <v>149</v>
      </c>
      <c r="C25" s="14" t="s">
        <v>150</v>
      </c>
      <c r="D25" s="23" t="s">
        <v>141</v>
      </c>
      <c r="E25" s="24" t="n">
        <v>92</v>
      </c>
      <c r="F25" s="25" t="n">
        <v>855</v>
      </c>
      <c r="G25" s="25" t="n">
        <f aca="false">IF(E25="","",E25*F25)</f>
        <v>78660</v>
      </c>
      <c r="H25" s="25"/>
      <c r="I25" s="24" t="n">
        <v>272</v>
      </c>
      <c r="J25" s="25" t="n">
        <v>855</v>
      </c>
      <c r="K25" s="25" t="n">
        <f aca="false">I25*J25</f>
        <v>232560</v>
      </c>
      <c r="L25" s="24" t="n">
        <v>272</v>
      </c>
      <c r="M25" s="25" t="n">
        <v>855</v>
      </c>
      <c r="N25" s="25" t="n">
        <f aca="false">L25*M25</f>
        <v>232560</v>
      </c>
      <c r="O25" s="25" t="n">
        <v>855</v>
      </c>
      <c r="P25" s="14" t="s">
        <v>151</v>
      </c>
      <c r="Q25" s="25" t="n">
        <f aca="false">IF(OR(O25="",M25=""),"",M25-O25)</f>
        <v>0</v>
      </c>
      <c r="R25" s="33" t="n">
        <f aca="false">IF(Q25="","",Q25*L25)</f>
        <v>0</v>
      </c>
      <c r="S25" s="33" t="n">
        <f aca="false">N25-K25</f>
        <v>0</v>
      </c>
      <c r="T25" s="14" t="s">
        <v>88</v>
      </c>
      <c r="U25" s="14"/>
      <c r="V25" s="23"/>
      <c r="W25" s="24" t="n">
        <f aca="false">L25</f>
        <v>272</v>
      </c>
      <c r="X25" s="25" t="n">
        <f aca="false">M25</f>
        <v>855</v>
      </c>
      <c r="Y25" s="5" t="n">
        <f aca="false">IF(OR(W25="",X25=""),0,W25*X25)</f>
        <v>232560</v>
      </c>
    </row>
    <row r="26" customFormat="false" ht="26.85" hidden="false" customHeight="false" outlineLevel="0" collapsed="false">
      <c r="A26" s="23" t="s">
        <v>83</v>
      </c>
      <c r="B26" s="23" t="s">
        <v>152</v>
      </c>
      <c r="C26" s="14" t="s">
        <v>153</v>
      </c>
      <c r="D26" s="23" t="s">
        <v>141</v>
      </c>
      <c r="E26" s="24" t="n">
        <v>92</v>
      </c>
      <c r="F26" s="25" t="n">
        <v>855</v>
      </c>
      <c r="G26" s="25" t="n">
        <f aca="false">IF(E26="","",E26*F26)</f>
        <v>78660</v>
      </c>
      <c r="H26" s="25"/>
      <c r="I26" s="24" t="n">
        <v>243</v>
      </c>
      <c r="J26" s="25" t="n">
        <v>855</v>
      </c>
      <c r="K26" s="25" t="n">
        <f aca="false">I26*J26</f>
        <v>207765</v>
      </c>
      <c r="L26" s="24" t="n">
        <v>243</v>
      </c>
      <c r="M26" s="25" t="n">
        <v>855</v>
      </c>
      <c r="N26" s="25" t="n">
        <f aca="false">L26*M26</f>
        <v>207765</v>
      </c>
      <c r="O26" s="25" t="n">
        <v>855</v>
      </c>
      <c r="P26" s="14" t="s">
        <v>154</v>
      </c>
      <c r="Q26" s="25" t="n">
        <f aca="false">IF(OR(O26="",M26=""),"",M26-O26)</f>
        <v>0</v>
      </c>
      <c r="R26" s="33" t="n">
        <f aca="false">IF(Q26="","",Q26*L26)</f>
        <v>0</v>
      </c>
      <c r="S26" s="33" t="n">
        <f aca="false">N26-K26</f>
        <v>0</v>
      </c>
      <c r="T26" s="14" t="s">
        <v>88</v>
      </c>
      <c r="U26" s="14"/>
      <c r="V26" s="23"/>
      <c r="W26" s="24" t="n">
        <f aca="false">L26</f>
        <v>243</v>
      </c>
      <c r="X26" s="25" t="n">
        <f aca="false">M26</f>
        <v>855</v>
      </c>
      <c r="Y26" s="5" t="n">
        <f aca="false">IF(OR(W26="",X26=""),0,W26*X26)</f>
        <v>207765</v>
      </c>
    </row>
    <row r="27" customFormat="false" ht="39.55" hidden="false" customHeight="false" outlineLevel="0" collapsed="false">
      <c r="A27" s="23" t="s">
        <v>83</v>
      </c>
      <c r="B27" s="23" t="s">
        <v>155</v>
      </c>
      <c r="C27" s="14" t="s">
        <v>156</v>
      </c>
      <c r="D27" s="23" t="s">
        <v>141</v>
      </c>
      <c r="E27" s="24" t="n">
        <v>108</v>
      </c>
      <c r="F27" s="25" t="n">
        <v>855</v>
      </c>
      <c r="G27" s="25" t="n">
        <f aca="false">IF(E27="","",E27*F27)</f>
        <v>92340</v>
      </c>
      <c r="H27" s="25"/>
      <c r="I27" s="24" t="n">
        <v>0</v>
      </c>
      <c r="J27" s="25" t="n">
        <v>0</v>
      </c>
      <c r="K27" s="25" t="n">
        <f aca="false">I27*J27</f>
        <v>0</v>
      </c>
      <c r="L27" s="24" t="n">
        <v>0</v>
      </c>
      <c r="M27" s="25"/>
      <c r="N27" s="25" t="n">
        <f aca="false">L27*M27</f>
        <v>0</v>
      </c>
      <c r="O27" s="25" t="n">
        <v>855</v>
      </c>
      <c r="P27" s="14" t="s">
        <v>157</v>
      </c>
      <c r="Q27" s="34" t="str">
        <f aca="false">IF(OR(O27="",M27=""),"",M27-O27)</f>
        <v/>
      </c>
      <c r="R27" s="35" t="str">
        <f aca="false">IF(Q27="","",Q27*L27)</f>
        <v/>
      </c>
      <c r="S27" s="35" t="n">
        <f aca="false">N27-K27</f>
        <v>0</v>
      </c>
      <c r="T27" s="36" t="s">
        <v>92</v>
      </c>
      <c r="U27" s="14" t="s">
        <v>158</v>
      </c>
      <c r="V27" s="23"/>
      <c r="W27" s="24" t="n">
        <f aca="false">L27</f>
        <v>0</v>
      </c>
      <c r="X27" s="25" t="n">
        <f aca="false">M27</f>
        <v>0</v>
      </c>
      <c r="Y27" s="5" t="n">
        <f aca="false">IF(OR(W27="",X27=""),0,W27*X27)</f>
        <v>0</v>
      </c>
    </row>
    <row r="28" customFormat="false" ht="39.55" hidden="false" customHeight="false" outlineLevel="0" collapsed="false">
      <c r="A28" s="23" t="s">
        <v>83</v>
      </c>
      <c r="B28" s="23" t="s">
        <v>159</v>
      </c>
      <c r="C28" s="14" t="s">
        <v>160</v>
      </c>
      <c r="D28" s="23" t="s">
        <v>141</v>
      </c>
      <c r="E28" s="24" t="n">
        <v>4</v>
      </c>
      <c r="F28" s="25" t="n">
        <v>950</v>
      </c>
      <c r="G28" s="25" t="n">
        <f aca="false">IF(E28="","",E28*F28)</f>
        <v>3800</v>
      </c>
      <c r="H28" s="25"/>
      <c r="I28" s="24" t="n">
        <v>0</v>
      </c>
      <c r="J28" s="25" t="n">
        <v>0</v>
      </c>
      <c r="K28" s="25" t="n">
        <f aca="false">I28*J28</f>
        <v>0</v>
      </c>
      <c r="L28" s="24" t="n">
        <v>0</v>
      </c>
      <c r="M28" s="25"/>
      <c r="N28" s="25" t="n">
        <f aca="false">L28*M28</f>
        <v>0</v>
      </c>
      <c r="O28" s="25" t="n">
        <v>950</v>
      </c>
      <c r="P28" s="14" t="s">
        <v>161</v>
      </c>
      <c r="Q28" s="34" t="str">
        <f aca="false">IF(OR(O28="",M28=""),"",M28-O28)</f>
        <v/>
      </c>
      <c r="R28" s="35" t="str">
        <f aca="false">IF(Q28="","",Q28*L28)</f>
        <v/>
      </c>
      <c r="S28" s="35" t="n">
        <f aca="false">N28-K28</f>
        <v>0</v>
      </c>
      <c r="T28" s="36" t="s">
        <v>92</v>
      </c>
      <c r="U28" s="14" t="s">
        <v>162</v>
      </c>
      <c r="V28" s="23"/>
      <c r="W28" s="24" t="n">
        <f aca="false">L28</f>
        <v>0</v>
      </c>
      <c r="X28" s="25" t="n">
        <f aca="false">M28</f>
        <v>0</v>
      </c>
      <c r="Y28" s="5" t="n">
        <f aca="false">IF(OR(W28="",X28=""),0,W28*X28)</f>
        <v>0</v>
      </c>
    </row>
    <row r="29" customFormat="false" ht="26.85" hidden="false" customHeight="false" outlineLevel="0" collapsed="false">
      <c r="A29" s="23" t="s">
        <v>83</v>
      </c>
      <c r="B29" s="23" t="s">
        <v>163</v>
      </c>
      <c r="C29" s="14" t="s">
        <v>164</v>
      </c>
      <c r="D29" s="23" t="s">
        <v>141</v>
      </c>
      <c r="E29" s="24" t="n">
        <v>340</v>
      </c>
      <c r="F29" s="25" t="n">
        <v>950</v>
      </c>
      <c r="G29" s="25" t="n">
        <f aca="false">IF(E29="","",E29*F29)</f>
        <v>323000</v>
      </c>
      <c r="H29" s="25"/>
      <c r="I29" s="24" t="n">
        <v>340</v>
      </c>
      <c r="J29" s="25" t="n">
        <v>950</v>
      </c>
      <c r="K29" s="25" t="n">
        <f aca="false">I29*J29</f>
        <v>323000</v>
      </c>
      <c r="L29" s="24" t="n">
        <v>340</v>
      </c>
      <c r="M29" s="25" t="n">
        <v>950</v>
      </c>
      <c r="N29" s="25" t="n">
        <f aca="false">L29*M29</f>
        <v>323000</v>
      </c>
      <c r="O29" s="25" t="n">
        <v>950</v>
      </c>
      <c r="P29" s="14" t="s">
        <v>165</v>
      </c>
      <c r="Q29" s="25" t="n">
        <f aca="false">IF(OR(O29="",M29=""),"",M29-O29)</f>
        <v>0</v>
      </c>
      <c r="R29" s="33" t="n">
        <f aca="false">IF(Q29="","",Q29*L29)</f>
        <v>0</v>
      </c>
      <c r="S29" s="33" t="n">
        <f aca="false">N29-K29</f>
        <v>0</v>
      </c>
      <c r="T29" s="14" t="s">
        <v>88</v>
      </c>
      <c r="U29" s="14"/>
      <c r="V29" s="23"/>
      <c r="W29" s="24" t="n">
        <f aca="false">L29</f>
        <v>340</v>
      </c>
      <c r="X29" s="25" t="n">
        <f aca="false">M29</f>
        <v>950</v>
      </c>
      <c r="Y29" s="5" t="n">
        <f aca="false">IF(OR(W29="",X29=""),0,W29*X29)</f>
        <v>323000</v>
      </c>
    </row>
    <row r="30" customFormat="false" ht="26.85" hidden="false" customHeight="false" outlineLevel="0" collapsed="false">
      <c r="A30" s="23" t="s">
        <v>83</v>
      </c>
      <c r="B30" s="23" t="s">
        <v>166</v>
      </c>
      <c r="C30" s="14" t="s">
        <v>167</v>
      </c>
      <c r="D30" s="23" t="s">
        <v>141</v>
      </c>
      <c r="E30" s="24" t="n">
        <v>76</v>
      </c>
      <c r="F30" s="25" t="n">
        <v>855</v>
      </c>
      <c r="G30" s="25" t="n">
        <f aca="false">IF(E30="","",E30*F30)</f>
        <v>64980</v>
      </c>
      <c r="H30" s="25"/>
      <c r="I30" s="24" t="n">
        <v>32</v>
      </c>
      <c r="J30" s="25" t="n">
        <v>855</v>
      </c>
      <c r="K30" s="25" t="n">
        <f aca="false">I30*J30</f>
        <v>27360</v>
      </c>
      <c r="L30" s="24" t="n">
        <v>32</v>
      </c>
      <c r="M30" s="25" t="n">
        <v>855</v>
      </c>
      <c r="N30" s="25" t="n">
        <f aca="false">L30*M30</f>
        <v>27360</v>
      </c>
      <c r="O30" s="25" t="n">
        <v>855</v>
      </c>
      <c r="P30" s="14" t="s">
        <v>168</v>
      </c>
      <c r="Q30" s="25" t="n">
        <f aca="false">IF(OR(O30="",M30=""),"",M30-O30)</f>
        <v>0</v>
      </c>
      <c r="R30" s="33" t="n">
        <f aca="false">IF(Q30="","",Q30*L30)</f>
        <v>0</v>
      </c>
      <c r="S30" s="33" t="n">
        <f aca="false">N30-K30</f>
        <v>0</v>
      </c>
      <c r="T30" s="14" t="s">
        <v>88</v>
      </c>
      <c r="U30" s="14"/>
      <c r="V30" s="23"/>
      <c r="W30" s="24" t="n">
        <f aca="false">L30</f>
        <v>32</v>
      </c>
      <c r="X30" s="25" t="n">
        <f aca="false">M30</f>
        <v>855</v>
      </c>
      <c r="Y30" s="5" t="n">
        <f aca="false">IF(OR(W30="",X30=""),0,W30*X30)</f>
        <v>27360</v>
      </c>
    </row>
    <row r="31" customFormat="false" ht="26.85" hidden="false" customHeight="false" outlineLevel="0" collapsed="false">
      <c r="A31" s="23" t="s">
        <v>83</v>
      </c>
      <c r="B31" s="23" t="s">
        <v>169</v>
      </c>
      <c r="C31" s="14" t="s">
        <v>170</v>
      </c>
      <c r="D31" s="23" t="s">
        <v>141</v>
      </c>
      <c r="E31" s="24" t="n">
        <v>88</v>
      </c>
      <c r="F31" s="25" t="n">
        <v>855</v>
      </c>
      <c r="G31" s="25" t="n">
        <f aca="false">IF(E31="","",E31*F31)</f>
        <v>75240</v>
      </c>
      <c r="H31" s="25"/>
      <c r="I31" s="24" t="n">
        <v>113</v>
      </c>
      <c r="J31" s="25" t="n">
        <v>855</v>
      </c>
      <c r="K31" s="25" t="n">
        <f aca="false">I31*J31</f>
        <v>96615</v>
      </c>
      <c r="L31" s="24" t="n">
        <v>113</v>
      </c>
      <c r="M31" s="25" t="n">
        <v>855</v>
      </c>
      <c r="N31" s="25" t="n">
        <f aca="false">L31*M31</f>
        <v>96615</v>
      </c>
      <c r="O31" s="25" t="n">
        <v>855</v>
      </c>
      <c r="P31" s="14" t="s">
        <v>171</v>
      </c>
      <c r="Q31" s="25" t="n">
        <f aca="false">IF(OR(O31="",M31=""),"",M31-O31)</f>
        <v>0</v>
      </c>
      <c r="R31" s="33" t="n">
        <f aca="false">IF(Q31="","",Q31*L31)</f>
        <v>0</v>
      </c>
      <c r="S31" s="33" t="n">
        <f aca="false">N31-K31</f>
        <v>0</v>
      </c>
      <c r="T31" s="14" t="s">
        <v>88</v>
      </c>
      <c r="U31" s="14"/>
      <c r="V31" s="23"/>
      <c r="W31" s="24" t="n">
        <f aca="false">L31</f>
        <v>113</v>
      </c>
      <c r="X31" s="25" t="n">
        <f aca="false">M31</f>
        <v>855</v>
      </c>
      <c r="Y31" s="5" t="n">
        <f aca="false">IF(OR(W31="",X31=""),0,W31*X31)</f>
        <v>96615</v>
      </c>
    </row>
    <row r="32" customFormat="false" ht="39.55" hidden="false" customHeight="false" outlineLevel="0" collapsed="false">
      <c r="A32" s="23" t="s">
        <v>83</v>
      </c>
      <c r="B32" s="23" t="s">
        <v>172</v>
      </c>
      <c r="C32" s="14" t="s">
        <v>173</v>
      </c>
      <c r="D32" s="23" t="s">
        <v>141</v>
      </c>
      <c r="E32" s="24" t="n">
        <v>88</v>
      </c>
      <c r="F32" s="25" t="n">
        <v>950</v>
      </c>
      <c r="G32" s="25" t="n">
        <f aca="false">IF(E32="","",E32*F32)</f>
        <v>83600</v>
      </c>
      <c r="H32" s="25"/>
      <c r="I32" s="24" t="n">
        <v>0</v>
      </c>
      <c r="J32" s="25" t="n">
        <v>0</v>
      </c>
      <c r="K32" s="25" t="n">
        <f aca="false">I32*J32</f>
        <v>0</v>
      </c>
      <c r="L32" s="24" t="n">
        <v>0</v>
      </c>
      <c r="M32" s="25"/>
      <c r="N32" s="25" t="n">
        <f aca="false">L32*M32</f>
        <v>0</v>
      </c>
      <c r="O32" s="25" t="n">
        <v>950</v>
      </c>
      <c r="P32" s="14" t="s">
        <v>174</v>
      </c>
      <c r="Q32" s="34" t="str">
        <f aca="false">IF(OR(O32="",M32=""),"",M32-O32)</f>
        <v/>
      </c>
      <c r="R32" s="35" t="str">
        <f aca="false">IF(Q32="","",Q32*L32)</f>
        <v/>
      </c>
      <c r="S32" s="35" t="n">
        <f aca="false">N32-K32</f>
        <v>0</v>
      </c>
      <c r="T32" s="36" t="s">
        <v>92</v>
      </c>
      <c r="U32" s="14" t="s">
        <v>175</v>
      </c>
      <c r="V32" s="23"/>
      <c r="W32" s="24" t="n">
        <f aca="false">L32</f>
        <v>0</v>
      </c>
      <c r="X32" s="25" t="n">
        <f aca="false">M32</f>
        <v>0</v>
      </c>
      <c r="Y32" s="5" t="n">
        <f aca="false">IF(OR(W32="",X32=""),0,W32*X32)</f>
        <v>0</v>
      </c>
    </row>
    <row r="33" customFormat="false" ht="39.55" hidden="false" customHeight="false" outlineLevel="0" collapsed="false">
      <c r="A33" s="23" t="s">
        <v>83</v>
      </c>
      <c r="B33" s="23" t="s">
        <v>176</v>
      </c>
      <c r="C33" s="14" t="s">
        <v>177</v>
      </c>
      <c r="D33" s="23" t="s">
        <v>141</v>
      </c>
      <c r="E33" s="24" t="n">
        <v>24</v>
      </c>
      <c r="F33" s="25" t="n">
        <v>950</v>
      </c>
      <c r="G33" s="25" t="n">
        <f aca="false">IF(E33="","",E33*F33)</f>
        <v>22800</v>
      </c>
      <c r="H33" s="25"/>
      <c r="I33" s="24" t="n">
        <v>0</v>
      </c>
      <c r="J33" s="25" t="n">
        <v>0</v>
      </c>
      <c r="K33" s="25" t="n">
        <f aca="false">I33*J33</f>
        <v>0</v>
      </c>
      <c r="L33" s="24" t="n">
        <v>0</v>
      </c>
      <c r="M33" s="25"/>
      <c r="N33" s="25" t="n">
        <f aca="false">L33*M33</f>
        <v>0</v>
      </c>
      <c r="O33" s="25" t="n">
        <v>950</v>
      </c>
      <c r="P33" s="14" t="s">
        <v>178</v>
      </c>
      <c r="Q33" s="34" t="str">
        <f aca="false">IF(OR(O33="",M33=""),"",M33-O33)</f>
        <v/>
      </c>
      <c r="R33" s="35" t="str">
        <f aca="false">IF(Q33="","",Q33*L33)</f>
        <v/>
      </c>
      <c r="S33" s="35" t="n">
        <f aca="false">N33-K33</f>
        <v>0</v>
      </c>
      <c r="T33" s="36" t="s">
        <v>92</v>
      </c>
      <c r="U33" s="14" t="s">
        <v>179</v>
      </c>
      <c r="V33" s="23"/>
      <c r="W33" s="24" t="n">
        <f aca="false">L33</f>
        <v>0</v>
      </c>
      <c r="X33" s="25" t="n">
        <f aca="false">M33</f>
        <v>0</v>
      </c>
      <c r="Y33" s="5" t="n">
        <f aca="false">IF(OR(W33="",X33=""),0,W33*X33)</f>
        <v>0</v>
      </c>
    </row>
    <row r="34" customFormat="false" ht="26.85" hidden="false" customHeight="false" outlineLevel="0" collapsed="false">
      <c r="A34" s="23" t="s">
        <v>83</v>
      </c>
      <c r="B34" s="23" t="s">
        <v>180</v>
      </c>
      <c r="C34" s="14" t="s">
        <v>181</v>
      </c>
      <c r="D34" s="23" t="s">
        <v>141</v>
      </c>
      <c r="E34" s="24" t="n">
        <v>4</v>
      </c>
      <c r="F34" s="25" t="n">
        <v>855</v>
      </c>
      <c r="G34" s="25" t="n">
        <f aca="false">IF(E34="","",E34*F34)</f>
        <v>3420</v>
      </c>
      <c r="H34" s="25"/>
      <c r="I34" s="24" t="n">
        <v>2</v>
      </c>
      <c r="J34" s="25" t="n">
        <v>855</v>
      </c>
      <c r="K34" s="25" t="n">
        <f aca="false">I34*J34</f>
        <v>1710</v>
      </c>
      <c r="L34" s="24" t="n">
        <v>2</v>
      </c>
      <c r="M34" s="25" t="n">
        <v>855</v>
      </c>
      <c r="N34" s="25" t="n">
        <f aca="false">L34*M34</f>
        <v>1710</v>
      </c>
      <c r="O34" s="25" t="n">
        <v>855</v>
      </c>
      <c r="P34" s="14" t="s">
        <v>182</v>
      </c>
      <c r="Q34" s="25" t="n">
        <f aca="false">IF(OR(O34="",M34=""),"",M34-O34)</f>
        <v>0</v>
      </c>
      <c r="R34" s="33" t="n">
        <f aca="false">IF(Q34="","",Q34*L34)</f>
        <v>0</v>
      </c>
      <c r="S34" s="33" t="n">
        <f aca="false">N34-K34</f>
        <v>0</v>
      </c>
      <c r="T34" s="14" t="s">
        <v>88</v>
      </c>
      <c r="U34" s="14"/>
      <c r="V34" s="23"/>
      <c r="W34" s="24" t="n">
        <f aca="false">L34</f>
        <v>2</v>
      </c>
      <c r="X34" s="25" t="n">
        <f aca="false">M34</f>
        <v>855</v>
      </c>
      <c r="Y34" s="5" t="n">
        <f aca="false">IF(OR(W34="",X34=""),0,W34*X34)</f>
        <v>1710</v>
      </c>
    </row>
    <row r="35" customFormat="false" ht="26.85" hidden="false" customHeight="false" outlineLevel="0" collapsed="false">
      <c r="A35" s="23" t="s">
        <v>83</v>
      </c>
      <c r="B35" s="23" t="s">
        <v>183</v>
      </c>
      <c r="C35" s="14" t="s">
        <v>184</v>
      </c>
      <c r="D35" s="23" t="s">
        <v>141</v>
      </c>
      <c r="E35" s="24" t="n">
        <v>4</v>
      </c>
      <c r="F35" s="25" t="n">
        <v>855</v>
      </c>
      <c r="G35" s="25" t="n">
        <f aca="false">IF(E35="","",E35*F35)</f>
        <v>3420</v>
      </c>
      <c r="H35" s="25"/>
      <c r="I35" s="24" t="n">
        <v>10</v>
      </c>
      <c r="J35" s="25" t="n">
        <v>855</v>
      </c>
      <c r="K35" s="25" t="n">
        <f aca="false">I35*J35</f>
        <v>8550</v>
      </c>
      <c r="L35" s="24" t="n">
        <v>10</v>
      </c>
      <c r="M35" s="25" t="n">
        <v>855</v>
      </c>
      <c r="N35" s="25" t="n">
        <f aca="false">L35*M35</f>
        <v>8550</v>
      </c>
      <c r="O35" s="25" t="n">
        <v>855</v>
      </c>
      <c r="P35" s="14" t="s">
        <v>185</v>
      </c>
      <c r="Q35" s="25" t="n">
        <f aca="false">IF(OR(O35="",M35=""),"",M35-O35)</f>
        <v>0</v>
      </c>
      <c r="R35" s="33" t="n">
        <f aca="false">IF(Q35="","",Q35*L35)</f>
        <v>0</v>
      </c>
      <c r="S35" s="33" t="n">
        <f aca="false">N35-K35</f>
        <v>0</v>
      </c>
      <c r="T35" s="14" t="s">
        <v>88</v>
      </c>
      <c r="U35" s="14"/>
      <c r="V35" s="23"/>
      <c r="W35" s="24" t="n">
        <f aca="false">L35</f>
        <v>10</v>
      </c>
      <c r="X35" s="25" t="n">
        <f aca="false">M35</f>
        <v>855</v>
      </c>
      <c r="Y35" s="5" t="n">
        <f aca="false">IF(OR(W35="",X35=""),0,W35*X35)</f>
        <v>8550</v>
      </c>
    </row>
    <row r="36" customFormat="false" ht="39.55" hidden="false" customHeight="false" outlineLevel="0" collapsed="false">
      <c r="A36" s="23" t="s">
        <v>83</v>
      </c>
      <c r="B36" s="23" t="s">
        <v>186</v>
      </c>
      <c r="C36" s="14" t="s">
        <v>187</v>
      </c>
      <c r="D36" s="23" t="s">
        <v>141</v>
      </c>
      <c r="E36" s="24" t="n">
        <v>4</v>
      </c>
      <c r="F36" s="25" t="n">
        <v>950</v>
      </c>
      <c r="G36" s="25" t="n">
        <f aca="false">IF(E36="","",E36*F36)</f>
        <v>3800</v>
      </c>
      <c r="H36" s="25"/>
      <c r="I36" s="24" t="n">
        <v>0</v>
      </c>
      <c r="J36" s="25" t="n">
        <v>0</v>
      </c>
      <c r="K36" s="25" t="n">
        <f aca="false">I36*J36</f>
        <v>0</v>
      </c>
      <c r="L36" s="24" t="n">
        <v>0</v>
      </c>
      <c r="M36" s="25"/>
      <c r="N36" s="25" t="n">
        <f aca="false">L36*M36</f>
        <v>0</v>
      </c>
      <c r="O36" s="25" t="n">
        <v>950</v>
      </c>
      <c r="P36" s="14" t="s">
        <v>188</v>
      </c>
      <c r="Q36" s="34" t="str">
        <f aca="false">IF(OR(O36="",M36=""),"",M36-O36)</f>
        <v/>
      </c>
      <c r="R36" s="35" t="str">
        <f aca="false">IF(Q36="","",Q36*L36)</f>
        <v/>
      </c>
      <c r="S36" s="35" t="n">
        <f aca="false">N36-K36</f>
        <v>0</v>
      </c>
      <c r="T36" s="36" t="s">
        <v>92</v>
      </c>
      <c r="U36" s="14" t="s">
        <v>162</v>
      </c>
      <c r="V36" s="23"/>
      <c r="W36" s="24" t="n">
        <f aca="false">L36</f>
        <v>0</v>
      </c>
      <c r="X36" s="25" t="n">
        <f aca="false">M36</f>
        <v>0</v>
      </c>
      <c r="Y36" s="5" t="n">
        <f aca="false">IF(OR(W36="",X36=""),0,W36*X36)</f>
        <v>0</v>
      </c>
    </row>
    <row r="37" customFormat="false" ht="26.85" hidden="false" customHeight="false" outlineLevel="0" collapsed="false">
      <c r="A37" s="23" t="s">
        <v>83</v>
      </c>
      <c r="B37" s="23" t="s">
        <v>189</v>
      </c>
      <c r="C37" s="14" t="s">
        <v>190</v>
      </c>
      <c r="D37" s="23" t="s">
        <v>141</v>
      </c>
      <c r="E37" s="24" t="n">
        <v>120</v>
      </c>
      <c r="F37" s="25" t="n">
        <v>570</v>
      </c>
      <c r="G37" s="25" t="n">
        <f aca="false">IF(E37="","",E37*F37)</f>
        <v>68400</v>
      </c>
      <c r="H37" s="25"/>
      <c r="I37" s="24" t="n">
        <v>128</v>
      </c>
      <c r="J37" s="25" t="n">
        <v>570</v>
      </c>
      <c r="K37" s="25" t="n">
        <f aca="false">I37*J37</f>
        <v>72960</v>
      </c>
      <c r="L37" s="24" t="n">
        <v>128</v>
      </c>
      <c r="M37" s="25" t="n">
        <v>570</v>
      </c>
      <c r="N37" s="25" t="n">
        <f aca="false">L37*M37</f>
        <v>72960</v>
      </c>
      <c r="O37" s="25" t="n">
        <v>570</v>
      </c>
      <c r="P37" s="14" t="s">
        <v>191</v>
      </c>
      <c r="Q37" s="25" t="n">
        <f aca="false">IF(OR(O37="",M37=""),"",M37-O37)</f>
        <v>0</v>
      </c>
      <c r="R37" s="33" t="n">
        <f aca="false">IF(Q37="","",Q37*L37)</f>
        <v>0</v>
      </c>
      <c r="S37" s="33" t="n">
        <f aca="false">N37-K37</f>
        <v>0</v>
      </c>
      <c r="T37" s="14" t="s">
        <v>88</v>
      </c>
      <c r="U37" s="14"/>
      <c r="V37" s="23"/>
      <c r="W37" s="24" t="n">
        <f aca="false">L37</f>
        <v>128</v>
      </c>
      <c r="X37" s="25" t="n">
        <f aca="false">M37</f>
        <v>570</v>
      </c>
      <c r="Y37" s="5" t="n">
        <f aca="false">IF(OR(W37="",X37=""),0,W37*X37)</f>
        <v>72960</v>
      </c>
    </row>
    <row r="38" customFormat="false" ht="26.85" hidden="false" customHeight="false" outlineLevel="0" collapsed="false">
      <c r="A38" s="23" t="s">
        <v>83</v>
      </c>
      <c r="B38" s="23" t="s">
        <v>192</v>
      </c>
      <c r="C38" s="14" t="s">
        <v>193</v>
      </c>
      <c r="D38" s="23" t="s">
        <v>194</v>
      </c>
      <c r="E38" s="24" t="n">
        <v>800</v>
      </c>
      <c r="F38" s="25" t="n">
        <v>665.89</v>
      </c>
      <c r="G38" s="25" t="n">
        <f aca="false">IF(E38="","",E38*F38)</f>
        <v>532712</v>
      </c>
      <c r="H38" s="25" t="n">
        <v>665.89</v>
      </c>
      <c r="I38" s="24" t="n">
        <v>882</v>
      </c>
      <c r="J38" s="25" t="n">
        <v>665.89</v>
      </c>
      <c r="K38" s="25" t="n">
        <f aca="false">I38*J38</f>
        <v>587314.98</v>
      </c>
      <c r="L38" s="24" t="n">
        <v>882</v>
      </c>
      <c r="M38" s="25" t="n">
        <v>570</v>
      </c>
      <c r="N38" s="25" t="n">
        <f aca="false">L38*M38</f>
        <v>502740</v>
      </c>
      <c r="O38" s="25" t="n">
        <v>665.89</v>
      </c>
      <c r="P38" s="14" t="s">
        <v>195</v>
      </c>
      <c r="Q38" s="22" t="n">
        <f aca="false">IF(OR(O38="",M38=""),"",M38-O38)</f>
        <v>-95.89</v>
      </c>
      <c r="R38" s="37" t="n">
        <f aca="false">IF(Q38="","",Q38*L38)</f>
        <v>-84574.98</v>
      </c>
      <c r="S38" s="37" t="n">
        <f aca="false">N38-K38</f>
        <v>-84574.98</v>
      </c>
      <c r="T38" s="13" t="s">
        <v>32</v>
      </c>
      <c r="U38" s="14" t="s">
        <v>196</v>
      </c>
      <c r="V38" s="38" t="s">
        <v>197</v>
      </c>
      <c r="W38" s="39" t="n">
        <v>882</v>
      </c>
      <c r="X38" s="40" t="n">
        <v>665.89</v>
      </c>
      <c r="Y38" s="9" t="n">
        <f aca="false">IF(OR(W38="",X38=""),0,W38*X38)</f>
        <v>587314.98</v>
      </c>
    </row>
    <row r="39" customFormat="false" ht="26.85" hidden="false" customHeight="false" outlineLevel="0" collapsed="false">
      <c r="A39" s="23" t="s">
        <v>83</v>
      </c>
      <c r="B39" s="23" t="s">
        <v>198</v>
      </c>
      <c r="C39" s="14" t="s">
        <v>199</v>
      </c>
      <c r="D39" s="23" t="s">
        <v>200</v>
      </c>
      <c r="E39" s="24" t="n">
        <v>5</v>
      </c>
      <c r="F39" s="25" t="n">
        <v>95238.1</v>
      </c>
      <c r="G39" s="25" t="n">
        <f aca="false">IF(E39="","",E39*F39)</f>
        <v>476190.5</v>
      </c>
      <c r="H39" s="25" t="n">
        <v>95238.1</v>
      </c>
      <c r="I39" s="24" t="n">
        <v>4</v>
      </c>
      <c r="J39" s="25" t="n">
        <v>95238.1</v>
      </c>
      <c r="K39" s="25" t="n">
        <f aca="false">I39*J39</f>
        <v>380952.4</v>
      </c>
      <c r="L39" s="24" t="n">
        <v>4</v>
      </c>
      <c r="M39" s="25" t="n">
        <v>95238.1</v>
      </c>
      <c r="N39" s="25" t="n">
        <f aca="false">L39*M39</f>
        <v>380952.4</v>
      </c>
      <c r="O39" s="25" t="n">
        <v>95238.1</v>
      </c>
      <c r="P39" s="14" t="s">
        <v>201</v>
      </c>
      <c r="Q39" s="25" t="n">
        <f aca="false">IF(OR(O39="",M39=""),"",M39-O39)</f>
        <v>0</v>
      </c>
      <c r="R39" s="33" t="n">
        <f aca="false">IF(Q39="","",Q39*L39)</f>
        <v>0</v>
      </c>
      <c r="S39" s="33" t="n">
        <f aca="false">N39-K39</f>
        <v>0</v>
      </c>
      <c r="T39" s="14" t="s">
        <v>88</v>
      </c>
      <c r="U39" s="14"/>
      <c r="V39" s="23"/>
      <c r="W39" s="24" t="n">
        <f aca="false">L39</f>
        <v>4</v>
      </c>
      <c r="X39" s="25" t="n">
        <f aca="false">M39</f>
        <v>95238.1</v>
      </c>
      <c r="Y39" s="5" t="n">
        <f aca="false">IF(OR(W39="",X39=""),0,W39*X39)</f>
        <v>380952.4</v>
      </c>
    </row>
    <row r="40" customFormat="false" ht="15" hidden="false" customHeight="false" outlineLevel="0" collapsed="false">
      <c r="A40" s="31"/>
      <c r="B40" s="32" t="s">
        <v>202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customFormat="false" ht="26.85" hidden="false" customHeight="false" outlineLevel="0" collapsed="false">
      <c r="A41" s="23" t="s">
        <v>203</v>
      </c>
      <c r="B41" s="23" t="s">
        <v>204</v>
      </c>
      <c r="C41" s="14" t="s">
        <v>205</v>
      </c>
      <c r="D41" s="23" t="s">
        <v>141</v>
      </c>
      <c r="E41" s="24" t="n">
        <v>340</v>
      </c>
      <c r="F41" s="25" t="n">
        <v>10000</v>
      </c>
      <c r="G41" s="25" t="n">
        <f aca="false">IF(E41="","",E41*F41)</f>
        <v>3400000</v>
      </c>
      <c r="H41" s="25" t="n">
        <v>10000</v>
      </c>
      <c r="I41" s="24" t="n">
        <v>340</v>
      </c>
      <c r="J41" s="25" t="n">
        <v>10000</v>
      </c>
      <c r="K41" s="25" t="n">
        <f aca="false">I41*J41</f>
        <v>3400000</v>
      </c>
      <c r="L41" s="24" t="n">
        <v>340</v>
      </c>
      <c r="M41" s="25" t="n">
        <v>10000</v>
      </c>
      <c r="N41" s="25" t="n">
        <f aca="false">L41*M41</f>
        <v>3400000</v>
      </c>
      <c r="O41" s="25" t="n">
        <v>10000</v>
      </c>
      <c r="P41" s="14" t="s">
        <v>206</v>
      </c>
      <c r="Q41" s="25" t="n">
        <f aca="false">IF(OR(O41="",M41=""),"",M41-O41)</f>
        <v>0</v>
      </c>
      <c r="R41" s="33" t="n">
        <f aca="false">IF(Q41="","",Q41*L41)</f>
        <v>0</v>
      </c>
      <c r="S41" s="33" t="n">
        <f aca="false">N41-K41</f>
        <v>0</v>
      </c>
      <c r="T41" s="14" t="s">
        <v>88</v>
      </c>
      <c r="U41" s="14"/>
      <c r="V41" s="23"/>
      <c r="W41" s="24" t="n">
        <f aca="false">L41</f>
        <v>340</v>
      </c>
      <c r="X41" s="25" t="n">
        <f aca="false">M41</f>
        <v>10000</v>
      </c>
      <c r="Y41" s="5" t="n">
        <f aca="false">IF(OR(W41="",X41=""),0,W41*X41)</f>
        <v>3400000</v>
      </c>
    </row>
    <row r="42" customFormat="false" ht="26.85" hidden="false" customHeight="false" outlineLevel="0" collapsed="false">
      <c r="A42" s="23" t="s">
        <v>203</v>
      </c>
      <c r="B42" s="23" t="s">
        <v>207</v>
      </c>
      <c r="C42" s="14" t="s">
        <v>208</v>
      </c>
      <c r="D42" s="23" t="s">
        <v>141</v>
      </c>
      <c r="E42" s="24" t="n">
        <v>72</v>
      </c>
      <c r="F42" s="25" t="n">
        <v>1425</v>
      </c>
      <c r="G42" s="25" t="n">
        <f aca="false">IF(E42="","",E42*F42)</f>
        <v>102600</v>
      </c>
      <c r="H42" s="25"/>
      <c r="I42" s="24" t="n">
        <v>72</v>
      </c>
      <c r="J42" s="25" t="n">
        <v>1425</v>
      </c>
      <c r="K42" s="25" t="n">
        <f aca="false">I42*J42</f>
        <v>102600</v>
      </c>
      <c r="L42" s="24" t="n">
        <v>72</v>
      </c>
      <c r="M42" s="25" t="n">
        <v>1425</v>
      </c>
      <c r="N42" s="25" t="n">
        <f aca="false">L42*M42</f>
        <v>102600</v>
      </c>
      <c r="O42" s="25" t="n">
        <v>1425</v>
      </c>
      <c r="P42" s="14" t="s">
        <v>209</v>
      </c>
      <c r="Q42" s="25" t="n">
        <f aca="false">IF(OR(O42="",M42=""),"",M42-O42)</f>
        <v>0</v>
      </c>
      <c r="R42" s="33" t="n">
        <f aca="false">IF(Q42="","",Q42*L42)</f>
        <v>0</v>
      </c>
      <c r="S42" s="33" t="n">
        <f aca="false">N42-K42</f>
        <v>0</v>
      </c>
      <c r="T42" s="14" t="s">
        <v>88</v>
      </c>
      <c r="U42" s="14"/>
      <c r="V42" s="23"/>
      <c r="W42" s="24" t="n">
        <f aca="false">L42</f>
        <v>72</v>
      </c>
      <c r="X42" s="25" t="n">
        <f aca="false">M42</f>
        <v>1425</v>
      </c>
      <c r="Y42" s="5" t="n">
        <f aca="false">IF(OR(W42="",X42=""),0,W42*X42)</f>
        <v>102600</v>
      </c>
    </row>
    <row r="43" customFormat="false" ht="26.85" hidden="false" customHeight="false" outlineLevel="0" collapsed="false">
      <c r="A43" s="23" t="s">
        <v>203</v>
      </c>
      <c r="B43" s="23" t="s">
        <v>210</v>
      </c>
      <c r="C43" s="14" t="s">
        <v>211</v>
      </c>
      <c r="D43" s="23" t="s">
        <v>141</v>
      </c>
      <c r="E43" s="24" t="n">
        <v>24</v>
      </c>
      <c r="F43" s="25" t="n">
        <v>1425</v>
      </c>
      <c r="G43" s="25" t="n">
        <f aca="false">IF(E43="","",E43*F43)</f>
        <v>34200</v>
      </c>
      <c r="H43" s="25"/>
      <c r="I43" s="24" t="n">
        <v>24</v>
      </c>
      <c r="J43" s="25" t="n">
        <v>1425</v>
      </c>
      <c r="K43" s="25" t="n">
        <f aca="false">I43*J43</f>
        <v>34200</v>
      </c>
      <c r="L43" s="24" t="n">
        <v>24</v>
      </c>
      <c r="M43" s="25" t="n">
        <v>1425</v>
      </c>
      <c r="N43" s="25" t="n">
        <f aca="false">L43*M43</f>
        <v>34200</v>
      </c>
      <c r="O43" s="25" t="n">
        <v>1425</v>
      </c>
      <c r="P43" s="14" t="s">
        <v>212</v>
      </c>
      <c r="Q43" s="25" t="n">
        <f aca="false">IF(OR(O43="",M43=""),"",M43-O43)</f>
        <v>0</v>
      </c>
      <c r="R43" s="33" t="n">
        <f aca="false">IF(Q43="","",Q43*L43)</f>
        <v>0</v>
      </c>
      <c r="S43" s="33" t="n">
        <f aca="false">N43-K43</f>
        <v>0</v>
      </c>
      <c r="T43" s="14" t="s">
        <v>88</v>
      </c>
      <c r="U43" s="14"/>
      <c r="V43" s="23"/>
      <c r="W43" s="24" t="n">
        <f aca="false">L43</f>
        <v>24</v>
      </c>
      <c r="X43" s="25" t="n">
        <f aca="false">M43</f>
        <v>1425</v>
      </c>
      <c r="Y43" s="5" t="n">
        <f aca="false">IF(OR(W43="",X43=""),0,W43*X43)</f>
        <v>34200</v>
      </c>
    </row>
    <row r="44" customFormat="false" ht="26.85" hidden="false" customHeight="false" outlineLevel="0" collapsed="false">
      <c r="A44" s="23" t="s">
        <v>203</v>
      </c>
      <c r="B44" s="23" t="s">
        <v>213</v>
      </c>
      <c r="C44" s="14" t="s">
        <v>214</v>
      </c>
      <c r="D44" s="23" t="s">
        <v>141</v>
      </c>
      <c r="E44" s="24" t="n">
        <v>4</v>
      </c>
      <c r="F44" s="25" t="n">
        <v>1710</v>
      </c>
      <c r="G44" s="25" t="n">
        <f aca="false">IF(E44="","",E44*F44)</f>
        <v>6840</v>
      </c>
      <c r="H44" s="25"/>
      <c r="I44" s="24" t="n">
        <v>4</v>
      </c>
      <c r="J44" s="25" t="n">
        <v>1710</v>
      </c>
      <c r="K44" s="25" t="n">
        <f aca="false">I44*J44</f>
        <v>6840</v>
      </c>
      <c r="L44" s="24" t="n">
        <v>4</v>
      </c>
      <c r="M44" s="25" t="n">
        <v>1710</v>
      </c>
      <c r="N44" s="25" t="n">
        <f aca="false">L44*M44</f>
        <v>6840</v>
      </c>
      <c r="O44" s="25" t="n">
        <v>1710</v>
      </c>
      <c r="P44" s="14" t="s">
        <v>215</v>
      </c>
      <c r="Q44" s="25" t="n">
        <f aca="false">IF(OR(O44="",M44=""),"",M44-O44)</f>
        <v>0</v>
      </c>
      <c r="R44" s="33" t="n">
        <f aca="false">IF(Q44="","",Q44*L44)</f>
        <v>0</v>
      </c>
      <c r="S44" s="33" t="n">
        <f aca="false">N44-K44</f>
        <v>0</v>
      </c>
      <c r="T44" s="14" t="s">
        <v>88</v>
      </c>
      <c r="U44" s="14"/>
      <c r="V44" s="23"/>
      <c r="W44" s="24" t="n">
        <f aca="false">L44</f>
        <v>4</v>
      </c>
      <c r="X44" s="25" t="n">
        <f aca="false">M44</f>
        <v>1710</v>
      </c>
      <c r="Y44" s="5" t="n">
        <f aca="false">IF(OR(W44="",X44=""),0,W44*X44)</f>
        <v>6840</v>
      </c>
    </row>
    <row r="45" customFormat="false" ht="26.85" hidden="false" customHeight="false" outlineLevel="0" collapsed="false">
      <c r="A45" s="23" t="s">
        <v>203</v>
      </c>
      <c r="B45" s="23" t="s">
        <v>216</v>
      </c>
      <c r="C45" s="14" t="s">
        <v>217</v>
      </c>
      <c r="D45" s="23" t="s">
        <v>141</v>
      </c>
      <c r="E45" s="24" t="n">
        <v>20</v>
      </c>
      <c r="F45" s="25" t="n">
        <v>1900</v>
      </c>
      <c r="G45" s="25" t="n">
        <f aca="false">IF(E45="","",E45*F45)</f>
        <v>38000</v>
      </c>
      <c r="H45" s="25"/>
      <c r="I45" s="24" t="n">
        <v>20</v>
      </c>
      <c r="J45" s="25" t="n">
        <v>1900</v>
      </c>
      <c r="K45" s="25" t="n">
        <f aca="false">I45*J45</f>
        <v>38000</v>
      </c>
      <c r="L45" s="24" t="n">
        <v>20</v>
      </c>
      <c r="M45" s="25" t="n">
        <v>1900</v>
      </c>
      <c r="N45" s="25" t="n">
        <f aca="false">L45*M45</f>
        <v>38000</v>
      </c>
      <c r="O45" s="25" t="n">
        <v>1900</v>
      </c>
      <c r="P45" s="14" t="s">
        <v>218</v>
      </c>
      <c r="Q45" s="25" t="n">
        <f aca="false">IF(OR(O45="",M45=""),"",M45-O45)</f>
        <v>0</v>
      </c>
      <c r="R45" s="33" t="n">
        <f aca="false">IF(Q45="","",Q45*L45)</f>
        <v>0</v>
      </c>
      <c r="S45" s="33" t="n">
        <f aca="false">N45-K45</f>
        <v>0</v>
      </c>
      <c r="T45" s="14" t="s">
        <v>88</v>
      </c>
      <c r="U45" s="14"/>
      <c r="V45" s="23"/>
      <c r="W45" s="24" t="n">
        <f aca="false">L45</f>
        <v>20</v>
      </c>
      <c r="X45" s="25" t="n">
        <f aca="false">M45</f>
        <v>1900</v>
      </c>
      <c r="Y45" s="5" t="n">
        <f aca="false">IF(OR(W45="",X45=""),0,W45*X45)</f>
        <v>38000</v>
      </c>
    </row>
    <row r="46" customFormat="false" ht="26.85" hidden="false" customHeight="false" outlineLevel="0" collapsed="false">
      <c r="A46" s="23" t="s">
        <v>203</v>
      </c>
      <c r="B46" s="23" t="s">
        <v>219</v>
      </c>
      <c r="C46" s="14" t="s">
        <v>220</v>
      </c>
      <c r="D46" s="23" t="s">
        <v>141</v>
      </c>
      <c r="E46" s="24" t="n">
        <v>40</v>
      </c>
      <c r="F46" s="25" t="n">
        <v>1710</v>
      </c>
      <c r="G46" s="25" t="n">
        <f aca="false">IF(E46="","",E46*F46)</f>
        <v>68400</v>
      </c>
      <c r="H46" s="25"/>
      <c r="I46" s="24" t="n">
        <v>40</v>
      </c>
      <c r="J46" s="25" t="n">
        <v>1710</v>
      </c>
      <c r="K46" s="25" t="n">
        <f aca="false">I46*J46</f>
        <v>68400</v>
      </c>
      <c r="L46" s="24" t="n">
        <v>40</v>
      </c>
      <c r="M46" s="25" t="n">
        <v>1710</v>
      </c>
      <c r="N46" s="25" t="n">
        <f aca="false">L46*M46</f>
        <v>68400</v>
      </c>
      <c r="O46" s="25" t="n">
        <v>1710</v>
      </c>
      <c r="P46" s="14" t="s">
        <v>221</v>
      </c>
      <c r="Q46" s="25" t="n">
        <f aca="false">IF(OR(O46="",M46=""),"",M46-O46)</f>
        <v>0</v>
      </c>
      <c r="R46" s="33" t="n">
        <f aca="false">IF(Q46="","",Q46*L46)</f>
        <v>0</v>
      </c>
      <c r="S46" s="33" t="n">
        <f aca="false">N46-K46</f>
        <v>0</v>
      </c>
      <c r="T46" s="14" t="s">
        <v>88</v>
      </c>
      <c r="U46" s="14"/>
      <c r="V46" s="23"/>
      <c r="W46" s="24" t="n">
        <f aca="false">L46</f>
        <v>40</v>
      </c>
      <c r="X46" s="25" t="n">
        <f aca="false">M46</f>
        <v>1710</v>
      </c>
      <c r="Y46" s="5" t="n">
        <f aca="false">IF(OR(W46="",X46=""),0,W46*X46)</f>
        <v>68400</v>
      </c>
    </row>
    <row r="47" customFormat="false" ht="39.55" hidden="false" customHeight="false" outlineLevel="0" collapsed="false">
      <c r="A47" s="23" t="s">
        <v>203</v>
      </c>
      <c r="B47" s="23" t="s">
        <v>222</v>
      </c>
      <c r="C47" s="14" t="s">
        <v>223</v>
      </c>
      <c r="D47" s="23" t="s">
        <v>141</v>
      </c>
      <c r="E47" s="24" t="n">
        <v>340</v>
      </c>
      <c r="F47" s="25" t="n">
        <v>6650</v>
      </c>
      <c r="G47" s="25" t="n">
        <f aca="false">IF(E47="","",E47*F47)</f>
        <v>2261000</v>
      </c>
      <c r="H47" s="25" t="n">
        <v>5000</v>
      </c>
      <c r="I47" s="24" t="n">
        <v>340</v>
      </c>
      <c r="J47" s="25" t="n">
        <v>6650</v>
      </c>
      <c r="K47" s="25" t="n">
        <f aca="false">I47*J47</f>
        <v>2261000</v>
      </c>
      <c r="L47" s="24" t="n">
        <v>340</v>
      </c>
      <c r="M47" s="25" t="n">
        <v>2500</v>
      </c>
      <c r="N47" s="25" t="n">
        <f aca="false">L47*M47</f>
        <v>850000</v>
      </c>
      <c r="O47" s="25" t="n">
        <v>6650</v>
      </c>
      <c r="P47" s="14" t="s">
        <v>224</v>
      </c>
      <c r="Q47" s="22" t="n">
        <f aca="false">IF(OR(O47="",M47=""),"",M47-O47)</f>
        <v>-4150</v>
      </c>
      <c r="R47" s="37" t="n">
        <f aca="false">IF(Q47="","",Q47*L47)</f>
        <v>-1411000</v>
      </c>
      <c r="S47" s="37" t="n">
        <f aca="false">N47-K47</f>
        <v>-1411000</v>
      </c>
      <c r="T47" s="13" t="s">
        <v>32</v>
      </c>
      <c r="U47" s="14" t="s">
        <v>225</v>
      </c>
      <c r="V47" s="38" t="s">
        <v>197</v>
      </c>
      <c r="W47" s="39" t="n">
        <v>340</v>
      </c>
      <c r="X47" s="40" t="n">
        <v>6650</v>
      </c>
      <c r="Y47" s="9" t="n">
        <f aca="false">IF(OR(W47="",X47=""),0,W47*X47)</f>
        <v>2261000</v>
      </c>
    </row>
    <row r="48" customFormat="false" ht="26.85" hidden="false" customHeight="false" outlineLevel="0" collapsed="false">
      <c r="A48" s="23" t="s">
        <v>203</v>
      </c>
      <c r="B48" s="23" t="s">
        <v>226</v>
      </c>
      <c r="C48" s="14" t="s">
        <v>227</v>
      </c>
      <c r="D48" s="23" t="s">
        <v>141</v>
      </c>
      <c r="E48" s="24" t="n">
        <v>40</v>
      </c>
      <c r="F48" s="25" t="n">
        <v>500</v>
      </c>
      <c r="G48" s="25" t="n">
        <f aca="false">IF(E48="","",E48*F48)</f>
        <v>20000</v>
      </c>
      <c r="H48" s="25" t="n">
        <v>500</v>
      </c>
      <c r="I48" s="24" t="n">
        <v>40</v>
      </c>
      <c r="J48" s="25" t="n">
        <v>500</v>
      </c>
      <c r="K48" s="25" t="n">
        <f aca="false">I48*J48</f>
        <v>20000</v>
      </c>
      <c r="L48" s="24" t="n">
        <v>40</v>
      </c>
      <c r="M48" s="25" t="n">
        <v>500</v>
      </c>
      <c r="N48" s="25" t="n">
        <f aca="false">L48*M48</f>
        <v>20000</v>
      </c>
      <c r="O48" s="25" t="n">
        <v>500</v>
      </c>
      <c r="P48" s="14" t="s">
        <v>228</v>
      </c>
      <c r="Q48" s="25" t="n">
        <f aca="false">IF(OR(O48="",M48=""),"",M48-O48)</f>
        <v>0</v>
      </c>
      <c r="R48" s="33" t="n">
        <f aca="false">IF(Q48="","",Q48*L48)</f>
        <v>0</v>
      </c>
      <c r="S48" s="33" t="n">
        <f aca="false">N48-K48</f>
        <v>0</v>
      </c>
      <c r="T48" s="14" t="s">
        <v>88</v>
      </c>
      <c r="U48" s="14"/>
      <c r="V48" s="23"/>
      <c r="W48" s="24" t="n">
        <f aca="false">L48</f>
        <v>40</v>
      </c>
      <c r="X48" s="25" t="n">
        <f aca="false">M48</f>
        <v>500</v>
      </c>
      <c r="Y48" s="5" t="n">
        <f aca="false">IF(OR(W48="",X48=""),0,W48*X48)</f>
        <v>20000</v>
      </c>
    </row>
    <row r="49" customFormat="false" ht="26.85" hidden="false" customHeight="false" outlineLevel="0" collapsed="false">
      <c r="A49" s="23" t="s">
        <v>203</v>
      </c>
      <c r="B49" s="23" t="s">
        <v>229</v>
      </c>
      <c r="C49" s="14" t="s">
        <v>230</v>
      </c>
      <c r="D49" s="23" t="s">
        <v>231</v>
      </c>
      <c r="E49" s="24" t="n">
        <v>1280</v>
      </c>
      <c r="F49" s="25" t="n">
        <v>400</v>
      </c>
      <c r="G49" s="25" t="n">
        <f aca="false">IF(E49="","",E49*F49)</f>
        <v>512000</v>
      </c>
      <c r="H49" s="25" t="n">
        <v>400</v>
      </c>
      <c r="I49" s="24" t="n">
        <v>1280</v>
      </c>
      <c r="J49" s="25" t="n">
        <v>500</v>
      </c>
      <c r="K49" s="25" t="n">
        <f aca="false">I49*J49</f>
        <v>640000</v>
      </c>
      <c r="L49" s="24" t="n">
        <v>1280</v>
      </c>
      <c r="M49" s="25" t="n">
        <v>400</v>
      </c>
      <c r="N49" s="25" t="n">
        <f aca="false">L49*M49</f>
        <v>512000</v>
      </c>
      <c r="O49" s="25" t="n">
        <v>400</v>
      </c>
      <c r="P49" s="14" t="s">
        <v>232</v>
      </c>
      <c r="Q49" s="41" t="n">
        <f aca="false">IF(OR(O49="",M49=""),"",M49-O49)</f>
        <v>0</v>
      </c>
      <c r="R49" s="42" t="n">
        <f aca="false">IF(Q49="","",Q49*L49)</f>
        <v>0</v>
      </c>
      <c r="S49" s="42" t="n">
        <f aca="false">N49-K49</f>
        <v>-128000</v>
      </c>
      <c r="T49" s="43" t="s">
        <v>40</v>
      </c>
      <c r="U49" s="14" t="s">
        <v>233</v>
      </c>
      <c r="V49" s="23"/>
      <c r="W49" s="24" t="n">
        <f aca="false">L49</f>
        <v>1280</v>
      </c>
      <c r="X49" s="25" t="n">
        <f aca="false">M49</f>
        <v>400</v>
      </c>
      <c r="Y49" s="5" t="n">
        <f aca="false">IF(OR(W49="",X49=""),0,W49*X49)</f>
        <v>512000</v>
      </c>
    </row>
    <row r="50" customFormat="false" ht="26.85" hidden="false" customHeight="false" outlineLevel="0" collapsed="false">
      <c r="A50" s="23" t="s">
        <v>203</v>
      </c>
      <c r="B50" s="23" t="s">
        <v>234</v>
      </c>
      <c r="C50" s="14" t="s">
        <v>235</v>
      </c>
      <c r="D50" s="23" t="s">
        <v>231</v>
      </c>
      <c r="E50" s="24" t="n">
        <v>800</v>
      </c>
      <c r="F50" s="25" t="n">
        <v>400</v>
      </c>
      <c r="G50" s="25" t="n">
        <f aca="false">IF(E50="","",E50*F50)</f>
        <v>320000</v>
      </c>
      <c r="H50" s="25" t="n">
        <v>400</v>
      </c>
      <c r="I50" s="24" t="n">
        <v>800</v>
      </c>
      <c r="J50" s="25" t="n">
        <v>500</v>
      </c>
      <c r="K50" s="25" t="n">
        <f aca="false">I50*J50</f>
        <v>400000</v>
      </c>
      <c r="L50" s="24" t="n">
        <v>800</v>
      </c>
      <c r="M50" s="25" t="n">
        <v>400</v>
      </c>
      <c r="N50" s="25" t="n">
        <f aca="false">L50*M50</f>
        <v>320000</v>
      </c>
      <c r="O50" s="25" t="n">
        <v>400</v>
      </c>
      <c r="P50" s="14" t="s">
        <v>236</v>
      </c>
      <c r="Q50" s="41" t="n">
        <f aca="false">IF(OR(O50="",M50=""),"",M50-O50)</f>
        <v>0</v>
      </c>
      <c r="R50" s="42" t="n">
        <f aca="false">IF(Q50="","",Q50*L50)</f>
        <v>0</v>
      </c>
      <c r="S50" s="42" t="n">
        <f aca="false">N50-K50</f>
        <v>-80000</v>
      </c>
      <c r="T50" s="43" t="s">
        <v>40</v>
      </c>
      <c r="U50" s="14" t="s">
        <v>233</v>
      </c>
      <c r="V50" s="23"/>
      <c r="W50" s="24" t="n">
        <f aca="false">L50</f>
        <v>800</v>
      </c>
      <c r="X50" s="25" t="n">
        <f aca="false">M50</f>
        <v>400</v>
      </c>
      <c r="Y50" s="5" t="n">
        <f aca="false">IF(OR(W50="",X50=""),0,W50*X50)</f>
        <v>320000</v>
      </c>
    </row>
    <row r="51" customFormat="false" ht="26.85" hidden="false" customHeight="false" outlineLevel="0" collapsed="false">
      <c r="A51" s="23" t="s">
        <v>203</v>
      </c>
      <c r="B51" s="23" t="s">
        <v>237</v>
      </c>
      <c r="C51" s="14" t="s">
        <v>238</v>
      </c>
      <c r="D51" s="23" t="s">
        <v>231</v>
      </c>
      <c r="E51" s="24" t="n">
        <v>200</v>
      </c>
      <c r="F51" s="25" t="n">
        <v>684</v>
      </c>
      <c r="G51" s="25" t="n">
        <f aca="false">IF(E51="","",E51*F51)</f>
        <v>136800</v>
      </c>
      <c r="H51" s="25"/>
      <c r="I51" s="24" t="n">
        <v>200</v>
      </c>
      <c r="J51" s="25" t="n">
        <v>684</v>
      </c>
      <c r="K51" s="25" t="n">
        <f aca="false">I51*J51</f>
        <v>136800</v>
      </c>
      <c r="L51" s="24" t="n">
        <v>200</v>
      </c>
      <c r="M51" s="25" t="n">
        <v>684</v>
      </c>
      <c r="N51" s="25" t="n">
        <f aca="false">L51*M51</f>
        <v>136800</v>
      </c>
      <c r="O51" s="25" t="n">
        <v>684</v>
      </c>
      <c r="P51" s="14" t="s">
        <v>239</v>
      </c>
      <c r="Q51" s="25" t="n">
        <f aca="false">IF(OR(O51="",M51=""),"",M51-O51)</f>
        <v>0</v>
      </c>
      <c r="R51" s="33" t="n">
        <f aca="false">IF(Q51="","",Q51*L51)</f>
        <v>0</v>
      </c>
      <c r="S51" s="33" t="n">
        <f aca="false">N51-K51</f>
        <v>0</v>
      </c>
      <c r="T51" s="14" t="s">
        <v>88</v>
      </c>
      <c r="U51" s="14"/>
      <c r="V51" s="23"/>
      <c r="W51" s="24" t="n">
        <f aca="false">L51</f>
        <v>200</v>
      </c>
      <c r="X51" s="25" t="n">
        <f aca="false">M51</f>
        <v>684</v>
      </c>
      <c r="Y51" s="5" t="n">
        <f aca="false">IF(OR(W51="",X51=""),0,W51*X51)</f>
        <v>136800</v>
      </c>
    </row>
    <row r="52" customFormat="false" ht="26.85" hidden="false" customHeight="false" outlineLevel="0" collapsed="false">
      <c r="A52" s="23" t="s">
        <v>203</v>
      </c>
      <c r="B52" s="23" t="s">
        <v>240</v>
      </c>
      <c r="C52" s="14" t="s">
        <v>241</v>
      </c>
      <c r="D52" s="23" t="s">
        <v>231</v>
      </c>
      <c r="E52" s="24" t="n">
        <v>240</v>
      </c>
      <c r="F52" s="25" t="n">
        <v>874</v>
      </c>
      <c r="G52" s="25" t="n">
        <f aca="false">IF(E52="","",E52*F52)</f>
        <v>209760</v>
      </c>
      <c r="H52" s="25"/>
      <c r="I52" s="24" t="n">
        <v>240</v>
      </c>
      <c r="J52" s="25" t="n">
        <v>874</v>
      </c>
      <c r="K52" s="25" t="n">
        <f aca="false">I52*J52</f>
        <v>209760</v>
      </c>
      <c r="L52" s="24" t="n">
        <v>240</v>
      </c>
      <c r="M52" s="25" t="n">
        <v>874</v>
      </c>
      <c r="N52" s="25" t="n">
        <f aca="false">L52*M52</f>
        <v>209760</v>
      </c>
      <c r="O52" s="25" t="n">
        <v>874</v>
      </c>
      <c r="P52" s="14" t="s">
        <v>242</v>
      </c>
      <c r="Q52" s="25" t="n">
        <f aca="false">IF(OR(O52="",M52=""),"",M52-O52)</f>
        <v>0</v>
      </c>
      <c r="R52" s="33" t="n">
        <f aca="false">IF(Q52="","",Q52*L52)</f>
        <v>0</v>
      </c>
      <c r="S52" s="33" t="n">
        <f aca="false">N52-K52</f>
        <v>0</v>
      </c>
      <c r="T52" s="14" t="s">
        <v>88</v>
      </c>
      <c r="U52" s="14"/>
      <c r="V52" s="23"/>
      <c r="W52" s="24" t="n">
        <f aca="false">L52</f>
        <v>240</v>
      </c>
      <c r="X52" s="25" t="n">
        <f aca="false">M52</f>
        <v>874</v>
      </c>
      <c r="Y52" s="5" t="n">
        <f aca="false">IF(OR(W52="",X52=""),0,W52*X52)</f>
        <v>209760</v>
      </c>
    </row>
    <row r="53" customFormat="false" ht="26.85" hidden="false" customHeight="false" outlineLevel="0" collapsed="false">
      <c r="A53" s="23" t="s">
        <v>203</v>
      </c>
      <c r="B53" s="23" t="s">
        <v>243</v>
      </c>
      <c r="C53" s="14" t="s">
        <v>244</v>
      </c>
      <c r="D53" s="23" t="s">
        <v>231</v>
      </c>
      <c r="E53" s="24" t="n">
        <v>640</v>
      </c>
      <c r="F53" s="25" t="n">
        <v>500</v>
      </c>
      <c r="G53" s="25" t="n">
        <f aca="false">IF(E53="","",E53*F53)</f>
        <v>320000</v>
      </c>
      <c r="H53" s="25" t="n">
        <v>500</v>
      </c>
      <c r="I53" s="24" t="n">
        <v>640</v>
      </c>
      <c r="J53" s="25" t="n">
        <v>500</v>
      </c>
      <c r="K53" s="25" t="n">
        <f aca="false">I53*J53</f>
        <v>320000</v>
      </c>
      <c r="L53" s="24" t="n">
        <v>640</v>
      </c>
      <c r="M53" s="25" t="n">
        <v>500</v>
      </c>
      <c r="N53" s="25" t="n">
        <f aca="false">L53*M53</f>
        <v>320000</v>
      </c>
      <c r="O53" s="25" t="n">
        <v>500</v>
      </c>
      <c r="P53" s="14" t="s">
        <v>245</v>
      </c>
      <c r="Q53" s="25" t="n">
        <f aca="false">IF(OR(O53="",M53=""),"",M53-O53)</f>
        <v>0</v>
      </c>
      <c r="R53" s="33" t="n">
        <f aca="false">IF(Q53="","",Q53*L53)</f>
        <v>0</v>
      </c>
      <c r="S53" s="33" t="n">
        <f aca="false">N53-K53</f>
        <v>0</v>
      </c>
      <c r="T53" s="14" t="s">
        <v>88</v>
      </c>
      <c r="U53" s="14"/>
      <c r="V53" s="23"/>
      <c r="W53" s="24" t="n">
        <f aca="false">L53</f>
        <v>640</v>
      </c>
      <c r="X53" s="25" t="n">
        <f aca="false">M53</f>
        <v>500</v>
      </c>
      <c r="Y53" s="5" t="n">
        <f aca="false">IF(OR(W53="",X53=""),0,W53*X53)</f>
        <v>320000</v>
      </c>
    </row>
    <row r="54" customFormat="false" ht="39.55" hidden="false" customHeight="false" outlineLevel="0" collapsed="false">
      <c r="A54" s="23" t="s">
        <v>203</v>
      </c>
      <c r="B54" s="23" t="s">
        <v>246</v>
      </c>
      <c r="C54" s="14" t="s">
        <v>247</v>
      </c>
      <c r="D54" s="23" t="s">
        <v>141</v>
      </c>
      <c r="E54" s="24" t="n">
        <v>680</v>
      </c>
      <c r="F54" s="25" t="n">
        <v>950</v>
      </c>
      <c r="G54" s="25" t="n">
        <f aca="false">IF(E54="","",E54*F54)</f>
        <v>646000</v>
      </c>
      <c r="H54" s="25"/>
      <c r="I54" s="24" t="n">
        <v>0</v>
      </c>
      <c r="J54" s="25" t="n">
        <v>0</v>
      </c>
      <c r="K54" s="25" t="n">
        <f aca="false">I54*J54</f>
        <v>0</v>
      </c>
      <c r="L54" s="24" t="n">
        <v>0</v>
      </c>
      <c r="M54" s="25"/>
      <c r="N54" s="25" t="n">
        <f aca="false">L54*M54</f>
        <v>0</v>
      </c>
      <c r="O54" s="25" t="n">
        <v>950</v>
      </c>
      <c r="P54" s="14" t="s">
        <v>248</v>
      </c>
      <c r="Q54" s="34" t="str">
        <f aca="false">IF(OR(O54="",M54=""),"",M54-O54)</f>
        <v/>
      </c>
      <c r="R54" s="35" t="str">
        <f aca="false">IF(Q54="","",Q54*L54)</f>
        <v/>
      </c>
      <c r="S54" s="35" t="n">
        <f aca="false">N54-K54</f>
        <v>0</v>
      </c>
      <c r="T54" s="36" t="s">
        <v>92</v>
      </c>
      <c r="U54" s="14" t="s">
        <v>249</v>
      </c>
      <c r="V54" s="23"/>
      <c r="W54" s="24" t="n">
        <f aca="false">L54</f>
        <v>0</v>
      </c>
      <c r="X54" s="25" t="n">
        <f aca="false">M54</f>
        <v>0</v>
      </c>
      <c r="Y54" s="5" t="n">
        <f aca="false">IF(OR(W54="",X54=""),0,W54*X54)</f>
        <v>0</v>
      </c>
    </row>
    <row r="55" customFormat="false" ht="26.85" hidden="false" customHeight="false" outlineLevel="0" collapsed="false">
      <c r="A55" s="23" t="s">
        <v>203</v>
      </c>
      <c r="B55" s="23" t="s">
        <v>250</v>
      </c>
      <c r="C55" s="14" t="s">
        <v>251</v>
      </c>
      <c r="D55" s="23" t="s">
        <v>141</v>
      </c>
      <c r="E55" s="24" t="n">
        <v>136</v>
      </c>
      <c r="F55" s="25" t="n">
        <v>798</v>
      </c>
      <c r="G55" s="25" t="n">
        <f aca="false">IF(E55="","",E55*F55)</f>
        <v>108528</v>
      </c>
      <c r="H55" s="25"/>
      <c r="I55" s="24" t="n">
        <v>136</v>
      </c>
      <c r="J55" s="25" t="n">
        <v>798</v>
      </c>
      <c r="K55" s="25" t="n">
        <f aca="false">I55*J55</f>
        <v>108528</v>
      </c>
      <c r="L55" s="24" t="n">
        <v>136</v>
      </c>
      <c r="M55" s="25" t="n">
        <v>798</v>
      </c>
      <c r="N55" s="25" t="n">
        <f aca="false">L55*M55</f>
        <v>108528</v>
      </c>
      <c r="O55" s="25" t="n">
        <v>798</v>
      </c>
      <c r="P55" s="14" t="s">
        <v>252</v>
      </c>
      <c r="Q55" s="25" t="n">
        <f aca="false">IF(OR(O55="",M55=""),"",M55-O55)</f>
        <v>0</v>
      </c>
      <c r="R55" s="33" t="n">
        <f aca="false">IF(Q55="","",Q55*L55)</f>
        <v>0</v>
      </c>
      <c r="S55" s="33" t="n">
        <f aca="false">N55-K55</f>
        <v>0</v>
      </c>
      <c r="T55" s="14" t="s">
        <v>88</v>
      </c>
      <c r="U55" s="14"/>
      <c r="V55" s="23"/>
      <c r="W55" s="24" t="n">
        <f aca="false">L55</f>
        <v>136</v>
      </c>
      <c r="X55" s="25" t="n">
        <f aca="false">M55</f>
        <v>798</v>
      </c>
      <c r="Y55" s="5" t="n">
        <f aca="false">IF(OR(W55="",X55=""),0,W55*X55)</f>
        <v>108528</v>
      </c>
    </row>
    <row r="56" customFormat="false" ht="26.85" hidden="false" customHeight="false" outlineLevel="0" collapsed="false">
      <c r="A56" s="23" t="s">
        <v>203</v>
      </c>
      <c r="B56" s="23" t="s">
        <v>253</v>
      </c>
      <c r="C56" s="14" t="s">
        <v>254</v>
      </c>
      <c r="D56" s="23" t="s">
        <v>141</v>
      </c>
      <c r="E56" s="24" t="n">
        <v>288</v>
      </c>
      <c r="F56" s="25" t="n">
        <v>798</v>
      </c>
      <c r="G56" s="25" t="n">
        <f aca="false">IF(E56="","",E56*F56)</f>
        <v>229824</v>
      </c>
      <c r="H56" s="25"/>
      <c r="I56" s="24" t="n">
        <v>288</v>
      </c>
      <c r="J56" s="25" t="n">
        <v>798</v>
      </c>
      <c r="K56" s="25" t="n">
        <f aca="false">I56*J56</f>
        <v>229824</v>
      </c>
      <c r="L56" s="24" t="n">
        <v>288</v>
      </c>
      <c r="M56" s="25" t="n">
        <v>798</v>
      </c>
      <c r="N56" s="25" t="n">
        <f aca="false">L56*M56</f>
        <v>229824</v>
      </c>
      <c r="O56" s="25" t="n">
        <v>798</v>
      </c>
      <c r="P56" s="14" t="s">
        <v>255</v>
      </c>
      <c r="Q56" s="25" t="n">
        <f aca="false">IF(OR(O56="",M56=""),"",M56-O56)</f>
        <v>0</v>
      </c>
      <c r="R56" s="33" t="n">
        <f aca="false">IF(Q56="","",Q56*L56)</f>
        <v>0</v>
      </c>
      <c r="S56" s="33" t="n">
        <f aca="false">N56-K56</f>
        <v>0</v>
      </c>
      <c r="T56" s="14" t="s">
        <v>88</v>
      </c>
      <c r="U56" s="14"/>
      <c r="V56" s="23"/>
      <c r="W56" s="24" t="n">
        <f aca="false">L56</f>
        <v>288</v>
      </c>
      <c r="X56" s="25" t="n">
        <f aca="false">M56</f>
        <v>798</v>
      </c>
      <c r="Y56" s="5" t="n">
        <f aca="false">IF(OR(W56="",X56=""),0,W56*X56)</f>
        <v>229824</v>
      </c>
    </row>
    <row r="57" customFormat="false" ht="26.85" hidden="false" customHeight="false" outlineLevel="0" collapsed="false">
      <c r="A57" s="23" t="s">
        <v>203</v>
      </c>
      <c r="B57" s="23" t="s">
        <v>256</v>
      </c>
      <c r="C57" s="14" t="s">
        <v>257</v>
      </c>
      <c r="D57" s="23" t="s">
        <v>141</v>
      </c>
      <c r="E57" s="24" t="n">
        <v>216</v>
      </c>
      <c r="F57" s="25" t="n">
        <v>798</v>
      </c>
      <c r="G57" s="25" t="n">
        <f aca="false">IF(E57="","",E57*F57)</f>
        <v>172368</v>
      </c>
      <c r="H57" s="25"/>
      <c r="I57" s="24" t="n">
        <v>216</v>
      </c>
      <c r="J57" s="25" t="n">
        <v>798</v>
      </c>
      <c r="K57" s="25" t="n">
        <f aca="false">I57*J57</f>
        <v>172368</v>
      </c>
      <c r="L57" s="24" t="n">
        <v>216</v>
      </c>
      <c r="M57" s="25" t="n">
        <v>798</v>
      </c>
      <c r="N57" s="25" t="n">
        <f aca="false">L57*M57</f>
        <v>172368</v>
      </c>
      <c r="O57" s="25" t="n">
        <v>798</v>
      </c>
      <c r="P57" s="14" t="s">
        <v>258</v>
      </c>
      <c r="Q57" s="25" t="n">
        <f aca="false">IF(OR(O57="",M57=""),"",M57-O57)</f>
        <v>0</v>
      </c>
      <c r="R57" s="33" t="n">
        <f aca="false">IF(Q57="","",Q57*L57)</f>
        <v>0</v>
      </c>
      <c r="S57" s="33" t="n">
        <f aca="false">N57-K57</f>
        <v>0</v>
      </c>
      <c r="T57" s="14" t="s">
        <v>88</v>
      </c>
      <c r="U57" s="14"/>
      <c r="V57" s="23"/>
      <c r="W57" s="24" t="n">
        <f aca="false">L57</f>
        <v>216</v>
      </c>
      <c r="X57" s="25" t="n">
        <f aca="false">M57</f>
        <v>798</v>
      </c>
      <c r="Y57" s="5" t="n">
        <f aca="false">IF(OR(W57="",X57=""),0,W57*X57)</f>
        <v>172368</v>
      </c>
    </row>
    <row r="58" customFormat="false" ht="26.85" hidden="false" customHeight="false" outlineLevel="0" collapsed="false">
      <c r="A58" s="23" t="s">
        <v>203</v>
      </c>
      <c r="B58" s="23" t="s">
        <v>259</v>
      </c>
      <c r="C58" s="14" t="s">
        <v>260</v>
      </c>
      <c r="D58" s="23" t="s">
        <v>141</v>
      </c>
      <c r="E58" s="24" t="n">
        <v>272</v>
      </c>
      <c r="F58" s="25" t="n">
        <v>798</v>
      </c>
      <c r="G58" s="25" t="n">
        <f aca="false">IF(E58="","",E58*F58)</f>
        <v>217056</v>
      </c>
      <c r="H58" s="25"/>
      <c r="I58" s="24" t="n">
        <v>272</v>
      </c>
      <c r="J58" s="25" t="n">
        <v>798</v>
      </c>
      <c r="K58" s="25" t="n">
        <f aca="false">I58*J58</f>
        <v>217056</v>
      </c>
      <c r="L58" s="24" t="n">
        <v>272</v>
      </c>
      <c r="M58" s="25" t="n">
        <v>798</v>
      </c>
      <c r="N58" s="25" t="n">
        <f aca="false">L58*M58</f>
        <v>217056</v>
      </c>
      <c r="O58" s="25" t="n">
        <v>798</v>
      </c>
      <c r="P58" s="14" t="s">
        <v>261</v>
      </c>
      <c r="Q58" s="25" t="n">
        <f aca="false">IF(OR(O58="",M58=""),"",M58-O58)</f>
        <v>0</v>
      </c>
      <c r="R58" s="33" t="n">
        <f aca="false">IF(Q58="","",Q58*L58)</f>
        <v>0</v>
      </c>
      <c r="S58" s="33" t="n">
        <f aca="false">N58-K58</f>
        <v>0</v>
      </c>
      <c r="T58" s="14" t="s">
        <v>88</v>
      </c>
      <c r="U58" s="14"/>
      <c r="V58" s="23"/>
      <c r="W58" s="24" t="n">
        <f aca="false">L58</f>
        <v>272</v>
      </c>
      <c r="X58" s="25" t="n">
        <f aca="false">M58</f>
        <v>798</v>
      </c>
      <c r="Y58" s="5" t="n">
        <f aca="false">IF(OR(W58="",X58=""),0,W58*X58)</f>
        <v>217056</v>
      </c>
    </row>
    <row r="59" customFormat="false" ht="26.85" hidden="false" customHeight="false" outlineLevel="0" collapsed="false">
      <c r="A59" s="23" t="s">
        <v>203</v>
      </c>
      <c r="B59" s="23" t="s">
        <v>262</v>
      </c>
      <c r="C59" s="14" t="s">
        <v>263</v>
      </c>
      <c r="D59" s="23" t="s">
        <v>141</v>
      </c>
      <c r="E59" s="24" t="n">
        <v>96</v>
      </c>
      <c r="F59" s="25" t="n">
        <v>798</v>
      </c>
      <c r="G59" s="25" t="n">
        <f aca="false">IF(E59="","",E59*F59)</f>
        <v>76608</v>
      </c>
      <c r="H59" s="25"/>
      <c r="I59" s="24" t="n">
        <v>96</v>
      </c>
      <c r="J59" s="25" t="n">
        <v>798</v>
      </c>
      <c r="K59" s="25" t="n">
        <f aca="false">I59*J59</f>
        <v>76608</v>
      </c>
      <c r="L59" s="24" t="n">
        <v>96</v>
      </c>
      <c r="M59" s="25" t="n">
        <v>798</v>
      </c>
      <c r="N59" s="25" t="n">
        <f aca="false">L59*M59</f>
        <v>76608</v>
      </c>
      <c r="O59" s="25" t="n">
        <v>798</v>
      </c>
      <c r="P59" s="14" t="s">
        <v>264</v>
      </c>
      <c r="Q59" s="25" t="n">
        <f aca="false">IF(OR(O59="",M59=""),"",M59-O59)</f>
        <v>0</v>
      </c>
      <c r="R59" s="33" t="n">
        <f aca="false">IF(Q59="","",Q59*L59)</f>
        <v>0</v>
      </c>
      <c r="S59" s="33" t="n">
        <f aca="false">N59-K59</f>
        <v>0</v>
      </c>
      <c r="T59" s="14" t="s">
        <v>88</v>
      </c>
      <c r="U59" s="14"/>
      <c r="V59" s="23"/>
      <c r="W59" s="24" t="n">
        <f aca="false">L59</f>
        <v>96</v>
      </c>
      <c r="X59" s="25" t="n">
        <f aca="false">M59</f>
        <v>798</v>
      </c>
      <c r="Y59" s="5" t="n">
        <f aca="false">IF(OR(W59="",X59=""),0,W59*X59)</f>
        <v>76608</v>
      </c>
    </row>
    <row r="60" customFormat="false" ht="26.85" hidden="false" customHeight="false" outlineLevel="0" collapsed="false">
      <c r="A60" s="23" t="s">
        <v>203</v>
      </c>
      <c r="B60" s="23" t="s">
        <v>265</v>
      </c>
      <c r="C60" s="14" t="s">
        <v>266</v>
      </c>
      <c r="D60" s="23" t="s">
        <v>141</v>
      </c>
      <c r="E60" s="24" t="n">
        <v>8</v>
      </c>
      <c r="F60" s="25" t="n">
        <v>798</v>
      </c>
      <c r="G60" s="25" t="n">
        <f aca="false">IF(E60="","",E60*F60)</f>
        <v>6384</v>
      </c>
      <c r="H60" s="25"/>
      <c r="I60" s="24" t="n">
        <v>8</v>
      </c>
      <c r="J60" s="25" t="n">
        <v>798</v>
      </c>
      <c r="K60" s="25" t="n">
        <f aca="false">I60*J60</f>
        <v>6384</v>
      </c>
      <c r="L60" s="24" t="n">
        <v>8</v>
      </c>
      <c r="M60" s="25" t="n">
        <v>798</v>
      </c>
      <c r="N60" s="25" t="n">
        <f aca="false">L60*M60</f>
        <v>6384</v>
      </c>
      <c r="O60" s="25" t="n">
        <v>798</v>
      </c>
      <c r="P60" s="14" t="s">
        <v>267</v>
      </c>
      <c r="Q60" s="25" t="n">
        <f aca="false">IF(OR(O60="",M60=""),"",M60-O60)</f>
        <v>0</v>
      </c>
      <c r="R60" s="33" t="n">
        <f aca="false">IF(Q60="","",Q60*L60)</f>
        <v>0</v>
      </c>
      <c r="S60" s="33" t="n">
        <f aca="false">N60-K60</f>
        <v>0</v>
      </c>
      <c r="T60" s="14" t="s">
        <v>88</v>
      </c>
      <c r="U60" s="14"/>
      <c r="V60" s="23"/>
      <c r="W60" s="24" t="n">
        <f aca="false">L60</f>
        <v>8</v>
      </c>
      <c r="X60" s="25" t="n">
        <f aca="false">M60</f>
        <v>798</v>
      </c>
      <c r="Y60" s="5" t="n">
        <f aca="false">IF(OR(W60="",X60=""),0,W60*X60)</f>
        <v>6384</v>
      </c>
    </row>
    <row r="61" customFormat="false" ht="26.85" hidden="false" customHeight="false" outlineLevel="0" collapsed="false">
      <c r="A61" s="23" t="s">
        <v>203</v>
      </c>
      <c r="B61" s="23" t="s">
        <v>268</v>
      </c>
      <c r="C61" s="14" t="s">
        <v>269</v>
      </c>
      <c r="D61" s="23" t="s">
        <v>141</v>
      </c>
      <c r="E61" s="24" t="n">
        <v>24</v>
      </c>
      <c r="F61" s="25" t="n">
        <v>798</v>
      </c>
      <c r="G61" s="25" t="n">
        <f aca="false">IF(E61="","",E61*F61)</f>
        <v>19152</v>
      </c>
      <c r="H61" s="25"/>
      <c r="I61" s="24" t="n">
        <v>24</v>
      </c>
      <c r="J61" s="25" t="n">
        <v>798</v>
      </c>
      <c r="K61" s="25" t="n">
        <f aca="false">I61*J61</f>
        <v>19152</v>
      </c>
      <c r="L61" s="24" t="n">
        <v>24</v>
      </c>
      <c r="M61" s="25" t="n">
        <v>798</v>
      </c>
      <c r="N61" s="25" t="n">
        <f aca="false">L61*M61</f>
        <v>19152</v>
      </c>
      <c r="O61" s="25" t="n">
        <v>798</v>
      </c>
      <c r="P61" s="14" t="s">
        <v>270</v>
      </c>
      <c r="Q61" s="25" t="n">
        <f aca="false">IF(OR(O61="",M61=""),"",M61-O61)</f>
        <v>0</v>
      </c>
      <c r="R61" s="33" t="n">
        <f aca="false">IF(Q61="","",Q61*L61)</f>
        <v>0</v>
      </c>
      <c r="S61" s="33" t="n">
        <f aca="false">N61-K61</f>
        <v>0</v>
      </c>
      <c r="T61" s="14" t="s">
        <v>88</v>
      </c>
      <c r="U61" s="14"/>
      <c r="V61" s="23"/>
      <c r="W61" s="24" t="n">
        <f aca="false">L61</f>
        <v>24</v>
      </c>
      <c r="X61" s="25" t="n">
        <f aca="false">M61</f>
        <v>798</v>
      </c>
      <c r="Y61" s="5" t="n">
        <f aca="false">IF(OR(W61="",X61=""),0,W61*X61)</f>
        <v>19152</v>
      </c>
    </row>
    <row r="62" customFormat="false" ht="26.85" hidden="false" customHeight="false" outlineLevel="0" collapsed="false">
      <c r="A62" s="23" t="s">
        <v>203</v>
      </c>
      <c r="B62" s="23" t="s">
        <v>271</v>
      </c>
      <c r="C62" s="14" t="s">
        <v>272</v>
      </c>
      <c r="D62" s="23" t="s">
        <v>141</v>
      </c>
      <c r="E62" s="24" t="n">
        <v>48</v>
      </c>
      <c r="F62" s="25" t="n">
        <v>798</v>
      </c>
      <c r="G62" s="25" t="n">
        <f aca="false">IF(E62="","",E62*F62)</f>
        <v>38304</v>
      </c>
      <c r="H62" s="25"/>
      <c r="I62" s="24" t="n">
        <v>48</v>
      </c>
      <c r="J62" s="25" t="n">
        <v>798</v>
      </c>
      <c r="K62" s="25" t="n">
        <f aca="false">I62*J62</f>
        <v>38304</v>
      </c>
      <c r="L62" s="24" t="n">
        <v>48</v>
      </c>
      <c r="M62" s="25" t="n">
        <v>798</v>
      </c>
      <c r="N62" s="25" t="n">
        <f aca="false">L62*M62</f>
        <v>38304</v>
      </c>
      <c r="O62" s="25" t="n">
        <v>798</v>
      </c>
      <c r="P62" s="14" t="s">
        <v>273</v>
      </c>
      <c r="Q62" s="25" t="n">
        <f aca="false">IF(OR(O62="",M62=""),"",M62-O62)</f>
        <v>0</v>
      </c>
      <c r="R62" s="33" t="n">
        <f aca="false">IF(Q62="","",Q62*L62)</f>
        <v>0</v>
      </c>
      <c r="S62" s="33" t="n">
        <f aca="false">N62-K62</f>
        <v>0</v>
      </c>
      <c r="T62" s="14" t="s">
        <v>88</v>
      </c>
      <c r="U62" s="14"/>
      <c r="V62" s="23"/>
      <c r="W62" s="24" t="n">
        <f aca="false">L62</f>
        <v>48</v>
      </c>
      <c r="X62" s="25" t="n">
        <f aca="false">M62</f>
        <v>798</v>
      </c>
      <c r="Y62" s="5" t="n">
        <f aca="false">IF(OR(W62="",X62=""),0,W62*X62)</f>
        <v>38304</v>
      </c>
    </row>
    <row r="63" customFormat="false" ht="26.85" hidden="false" customHeight="false" outlineLevel="0" collapsed="false">
      <c r="A63" s="23" t="s">
        <v>203</v>
      </c>
      <c r="B63" s="23" t="s">
        <v>274</v>
      </c>
      <c r="C63" s="14" t="s">
        <v>275</v>
      </c>
      <c r="D63" s="23" t="s">
        <v>141</v>
      </c>
      <c r="E63" s="24" t="n">
        <v>16</v>
      </c>
      <c r="F63" s="25" t="n">
        <v>798</v>
      </c>
      <c r="G63" s="25" t="n">
        <f aca="false">IF(E63="","",E63*F63)</f>
        <v>12768</v>
      </c>
      <c r="H63" s="25"/>
      <c r="I63" s="24" t="n">
        <v>16</v>
      </c>
      <c r="J63" s="25" t="n">
        <v>798</v>
      </c>
      <c r="K63" s="25" t="n">
        <f aca="false">I63*J63</f>
        <v>12768</v>
      </c>
      <c r="L63" s="24" t="n">
        <v>16</v>
      </c>
      <c r="M63" s="25" t="n">
        <v>798</v>
      </c>
      <c r="N63" s="25" t="n">
        <f aca="false">L63*M63</f>
        <v>12768</v>
      </c>
      <c r="O63" s="25" t="n">
        <v>798</v>
      </c>
      <c r="P63" s="14" t="s">
        <v>276</v>
      </c>
      <c r="Q63" s="25" t="n">
        <f aca="false">IF(OR(O63="",M63=""),"",M63-O63)</f>
        <v>0</v>
      </c>
      <c r="R63" s="33" t="n">
        <f aca="false">IF(Q63="","",Q63*L63)</f>
        <v>0</v>
      </c>
      <c r="S63" s="33" t="n">
        <f aca="false">N63-K63</f>
        <v>0</v>
      </c>
      <c r="T63" s="14" t="s">
        <v>88</v>
      </c>
      <c r="U63" s="14"/>
      <c r="V63" s="23"/>
      <c r="W63" s="24" t="n">
        <f aca="false">L63</f>
        <v>16</v>
      </c>
      <c r="X63" s="25" t="n">
        <f aca="false">M63</f>
        <v>798</v>
      </c>
      <c r="Y63" s="5" t="n">
        <f aca="false">IF(OR(W63="",X63=""),0,W63*X63)</f>
        <v>12768</v>
      </c>
    </row>
    <row r="64" customFormat="false" ht="26.85" hidden="false" customHeight="false" outlineLevel="0" collapsed="false">
      <c r="A64" s="23" t="s">
        <v>203</v>
      </c>
      <c r="B64" s="23" t="s">
        <v>277</v>
      </c>
      <c r="C64" s="14" t="s">
        <v>278</v>
      </c>
      <c r="D64" s="23" t="s">
        <v>141</v>
      </c>
      <c r="E64" s="24" t="n">
        <v>32</v>
      </c>
      <c r="F64" s="25" t="n">
        <v>798</v>
      </c>
      <c r="G64" s="25" t="n">
        <f aca="false">IF(E64="","",E64*F64)</f>
        <v>25536</v>
      </c>
      <c r="H64" s="25"/>
      <c r="I64" s="24" t="n">
        <v>32</v>
      </c>
      <c r="J64" s="25" t="n">
        <v>798</v>
      </c>
      <c r="K64" s="25" t="n">
        <f aca="false">I64*J64</f>
        <v>25536</v>
      </c>
      <c r="L64" s="24" t="n">
        <v>32</v>
      </c>
      <c r="M64" s="25" t="n">
        <v>798</v>
      </c>
      <c r="N64" s="25" t="n">
        <f aca="false">L64*M64</f>
        <v>25536</v>
      </c>
      <c r="O64" s="25" t="n">
        <v>798</v>
      </c>
      <c r="P64" s="14" t="s">
        <v>279</v>
      </c>
      <c r="Q64" s="25" t="n">
        <f aca="false">IF(OR(O64="",M64=""),"",M64-O64)</f>
        <v>0</v>
      </c>
      <c r="R64" s="33" t="n">
        <f aca="false">IF(Q64="","",Q64*L64)</f>
        <v>0</v>
      </c>
      <c r="S64" s="33" t="n">
        <f aca="false">N64-K64</f>
        <v>0</v>
      </c>
      <c r="T64" s="14" t="s">
        <v>88</v>
      </c>
      <c r="U64" s="14"/>
      <c r="V64" s="23"/>
      <c r="W64" s="24" t="n">
        <f aca="false">L64</f>
        <v>32</v>
      </c>
      <c r="X64" s="25" t="n">
        <f aca="false">M64</f>
        <v>798</v>
      </c>
      <c r="Y64" s="5" t="n">
        <f aca="false">IF(OR(W64="",X64=""),0,W64*X64)</f>
        <v>25536</v>
      </c>
    </row>
    <row r="65" customFormat="false" ht="26.85" hidden="false" customHeight="false" outlineLevel="0" collapsed="false">
      <c r="A65" s="23" t="s">
        <v>203</v>
      </c>
      <c r="B65" s="23" t="s">
        <v>280</v>
      </c>
      <c r="C65" s="14" t="s">
        <v>281</v>
      </c>
      <c r="D65" s="23" t="s">
        <v>141</v>
      </c>
      <c r="E65" s="24" t="n">
        <v>40</v>
      </c>
      <c r="F65" s="25" t="n">
        <v>798</v>
      </c>
      <c r="G65" s="25" t="n">
        <f aca="false">IF(E65="","",E65*F65)</f>
        <v>31920</v>
      </c>
      <c r="H65" s="25"/>
      <c r="I65" s="24" t="n">
        <v>40</v>
      </c>
      <c r="J65" s="25" t="n">
        <v>798</v>
      </c>
      <c r="K65" s="25" t="n">
        <f aca="false">I65*J65</f>
        <v>31920</v>
      </c>
      <c r="L65" s="24" t="n">
        <v>40</v>
      </c>
      <c r="M65" s="25" t="n">
        <v>798</v>
      </c>
      <c r="N65" s="25" t="n">
        <f aca="false">L65*M65</f>
        <v>31920</v>
      </c>
      <c r="O65" s="25" t="n">
        <v>798</v>
      </c>
      <c r="P65" s="14" t="s">
        <v>282</v>
      </c>
      <c r="Q65" s="25" t="n">
        <f aca="false">IF(OR(O65="",M65=""),"",M65-O65)</f>
        <v>0</v>
      </c>
      <c r="R65" s="33" t="n">
        <f aca="false">IF(Q65="","",Q65*L65)</f>
        <v>0</v>
      </c>
      <c r="S65" s="33" t="n">
        <f aca="false">N65-K65</f>
        <v>0</v>
      </c>
      <c r="T65" s="14" t="s">
        <v>88</v>
      </c>
      <c r="U65" s="14"/>
      <c r="V65" s="23"/>
      <c r="W65" s="24" t="n">
        <f aca="false">L65</f>
        <v>40</v>
      </c>
      <c r="X65" s="25" t="n">
        <f aca="false">M65</f>
        <v>798</v>
      </c>
      <c r="Y65" s="5" t="n">
        <f aca="false">IF(OR(W65="",X65=""),0,W65*X65)</f>
        <v>31920</v>
      </c>
    </row>
    <row r="66" customFormat="false" ht="26.85" hidden="false" customHeight="false" outlineLevel="0" collapsed="false">
      <c r="A66" s="23" t="s">
        <v>203</v>
      </c>
      <c r="B66" s="23" t="s">
        <v>283</v>
      </c>
      <c r="C66" s="14" t="s">
        <v>284</v>
      </c>
      <c r="D66" s="23" t="s">
        <v>141</v>
      </c>
      <c r="E66" s="24" t="n">
        <v>24</v>
      </c>
      <c r="F66" s="25" t="n">
        <v>798</v>
      </c>
      <c r="G66" s="25" t="n">
        <f aca="false">IF(E66="","",E66*F66)</f>
        <v>19152</v>
      </c>
      <c r="H66" s="25"/>
      <c r="I66" s="24" t="n">
        <v>24</v>
      </c>
      <c r="J66" s="25" t="n">
        <v>798</v>
      </c>
      <c r="K66" s="25" t="n">
        <f aca="false">I66*J66</f>
        <v>19152</v>
      </c>
      <c r="L66" s="24" t="n">
        <v>24</v>
      </c>
      <c r="M66" s="25" t="n">
        <v>798</v>
      </c>
      <c r="N66" s="25" t="n">
        <f aca="false">L66*M66</f>
        <v>19152</v>
      </c>
      <c r="O66" s="25" t="n">
        <v>798</v>
      </c>
      <c r="P66" s="14" t="s">
        <v>285</v>
      </c>
      <c r="Q66" s="25" t="n">
        <f aca="false">IF(OR(O66="",M66=""),"",M66-O66)</f>
        <v>0</v>
      </c>
      <c r="R66" s="33" t="n">
        <f aca="false">IF(Q66="","",Q66*L66)</f>
        <v>0</v>
      </c>
      <c r="S66" s="33" t="n">
        <f aca="false">N66-K66</f>
        <v>0</v>
      </c>
      <c r="T66" s="14" t="s">
        <v>88</v>
      </c>
      <c r="U66" s="14"/>
      <c r="V66" s="23"/>
      <c r="W66" s="24" t="n">
        <f aca="false">L66</f>
        <v>24</v>
      </c>
      <c r="X66" s="25" t="n">
        <f aca="false">M66</f>
        <v>798</v>
      </c>
      <c r="Y66" s="5" t="n">
        <f aca="false">IF(OR(W66="",X66=""),0,W66*X66)</f>
        <v>19152</v>
      </c>
    </row>
    <row r="67" customFormat="false" ht="26.85" hidden="false" customHeight="false" outlineLevel="0" collapsed="false">
      <c r="A67" s="23" t="s">
        <v>203</v>
      </c>
      <c r="B67" s="23" t="s">
        <v>286</v>
      </c>
      <c r="C67" s="14" t="s">
        <v>287</v>
      </c>
      <c r="D67" s="23" t="s">
        <v>141</v>
      </c>
      <c r="E67" s="24" t="n">
        <v>24</v>
      </c>
      <c r="F67" s="25" t="n">
        <v>798</v>
      </c>
      <c r="G67" s="25" t="n">
        <f aca="false">IF(E67="","",E67*F67)</f>
        <v>19152</v>
      </c>
      <c r="H67" s="25"/>
      <c r="I67" s="24" t="n">
        <v>24</v>
      </c>
      <c r="J67" s="25" t="n">
        <v>798</v>
      </c>
      <c r="K67" s="25" t="n">
        <f aca="false">I67*J67</f>
        <v>19152</v>
      </c>
      <c r="L67" s="24" t="n">
        <v>24</v>
      </c>
      <c r="M67" s="25" t="n">
        <v>798</v>
      </c>
      <c r="N67" s="25" t="n">
        <f aca="false">L67*M67</f>
        <v>19152</v>
      </c>
      <c r="O67" s="25" t="n">
        <v>798</v>
      </c>
      <c r="P67" s="14" t="s">
        <v>288</v>
      </c>
      <c r="Q67" s="25" t="n">
        <f aca="false">IF(OR(O67="",M67=""),"",M67-O67)</f>
        <v>0</v>
      </c>
      <c r="R67" s="33" t="n">
        <f aca="false">IF(Q67="","",Q67*L67)</f>
        <v>0</v>
      </c>
      <c r="S67" s="33" t="n">
        <f aca="false">N67-K67</f>
        <v>0</v>
      </c>
      <c r="T67" s="14" t="s">
        <v>88</v>
      </c>
      <c r="U67" s="14"/>
      <c r="V67" s="23"/>
      <c r="W67" s="24" t="n">
        <f aca="false">L67</f>
        <v>24</v>
      </c>
      <c r="X67" s="25" t="n">
        <f aca="false">M67</f>
        <v>798</v>
      </c>
      <c r="Y67" s="5" t="n">
        <f aca="false">IF(OR(W67="",X67=""),0,W67*X67)</f>
        <v>19152</v>
      </c>
    </row>
    <row r="68" customFormat="false" ht="26.85" hidden="false" customHeight="false" outlineLevel="0" collapsed="false">
      <c r="A68" s="23" t="s">
        <v>203</v>
      </c>
      <c r="B68" s="23" t="s">
        <v>289</v>
      </c>
      <c r="C68" s="14" t="s">
        <v>290</v>
      </c>
      <c r="D68" s="23" t="s">
        <v>141</v>
      </c>
      <c r="E68" s="24" t="n">
        <v>16</v>
      </c>
      <c r="F68" s="25" t="n">
        <v>798</v>
      </c>
      <c r="G68" s="25" t="n">
        <f aca="false">IF(E68="","",E68*F68)</f>
        <v>12768</v>
      </c>
      <c r="H68" s="25"/>
      <c r="I68" s="24" t="n">
        <v>16</v>
      </c>
      <c r="J68" s="25" t="n">
        <v>798</v>
      </c>
      <c r="K68" s="25" t="n">
        <f aca="false">I68*J68</f>
        <v>12768</v>
      </c>
      <c r="L68" s="24" t="n">
        <v>16</v>
      </c>
      <c r="M68" s="25" t="n">
        <v>798</v>
      </c>
      <c r="N68" s="25" t="n">
        <f aca="false">L68*M68</f>
        <v>12768</v>
      </c>
      <c r="O68" s="25" t="n">
        <v>798</v>
      </c>
      <c r="P68" s="14" t="s">
        <v>291</v>
      </c>
      <c r="Q68" s="25" t="n">
        <f aca="false">IF(OR(O68="",M68=""),"",M68-O68)</f>
        <v>0</v>
      </c>
      <c r="R68" s="33" t="n">
        <f aca="false">IF(Q68="","",Q68*L68)</f>
        <v>0</v>
      </c>
      <c r="S68" s="33" t="n">
        <f aca="false">N68-K68</f>
        <v>0</v>
      </c>
      <c r="T68" s="14" t="s">
        <v>88</v>
      </c>
      <c r="U68" s="14"/>
      <c r="V68" s="23"/>
      <c r="W68" s="24" t="n">
        <f aca="false">L68</f>
        <v>16</v>
      </c>
      <c r="X68" s="25" t="n">
        <f aca="false">M68</f>
        <v>798</v>
      </c>
      <c r="Y68" s="5" t="n">
        <f aca="false">IF(OR(W68="",X68=""),0,W68*X68)</f>
        <v>12768</v>
      </c>
    </row>
    <row r="69" customFormat="false" ht="26.85" hidden="false" customHeight="false" outlineLevel="0" collapsed="false">
      <c r="A69" s="23" t="s">
        <v>203</v>
      </c>
      <c r="B69" s="23" t="s">
        <v>292</v>
      </c>
      <c r="C69" s="14" t="s">
        <v>293</v>
      </c>
      <c r="D69" s="23" t="s">
        <v>141</v>
      </c>
      <c r="E69" s="24" t="n">
        <v>48</v>
      </c>
      <c r="F69" s="25" t="n">
        <v>798</v>
      </c>
      <c r="G69" s="25" t="n">
        <f aca="false">IF(E69="","",E69*F69)</f>
        <v>38304</v>
      </c>
      <c r="H69" s="25"/>
      <c r="I69" s="24" t="n">
        <v>48</v>
      </c>
      <c r="J69" s="25" t="n">
        <v>798</v>
      </c>
      <c r="K69" s="25" t="n">
        <f aca="false">I69*J69</f>
        <v>38304</v>
      </c>
      <c r="L69" s="24" t="n">
        <v>48</v>
      </c>
      <c r="M69" s="25" t="n">
        <v>798</v>
      </c>
      <c r="N69" s="25" t="n">
        <f aca="false">L69*M69</f>
        <v>38304</v>
      </c>
      <c r="O69" s="25" t="n">
        <v>798</v>
      </c>
      <c r="P69" s="14" t="s">
        <v>294</v>
      </c>
      <c r="Q69" s="25" t="n">
        <f aca="false">IF(OR(O69="",M69=""),"",M69-O69)</f>
        <v>0</v>
      </c>
      <c r="R69" s="33" t="n">
        <f aca="false">IF(Q69="","",Q69*L69)</f>
        <v>0</v>
      </c>
      <c r="S69" s="33" t="n">
        <f aca="false">N69-K69</f>
        <v>0</v>
      </c>
      <c r="T69" s="14" t="s">
        <v>88</v>
      </c>
      <c r="U69" s="14"/>
      <c r="V69" s="23"/>
      <c r="W69" s="24" t="n">
        <f aca="false">L69</f>
        <v>48</v>
      </c>
      <c r="X69" s="25" t="n">
        <f aca="false">M69</f>
        <v>798</v>
      </c>
      <c r="Y69" s="5" t="n">
        <f aca="false">IF(OR(W69="",X69=""),0,W69*X69)</f>
        <v>38304</v>
      </c>
    </row>
    <row r="70" customFormat="false" ht="26.85" hidden="false" customHeight="false" outlineLevel="0" collapsed="false">
      <c r="A70" s="23" t="s">
        <v>203</v>
      </c>
      <c r="B70" s="23" t="s">
        <v>295</v>
      </c>
      <c r="C70" s="14" t="s">
        <v>296</v>
      </c>
      <c r="D70" s="23" t="s">
        <v>141</v>
      </c>
      <c r="E70" s="24" t="n">
        <v>24</v>
      </c>
      <c r="F70" s="25" t="n">
        <v>798</v>
      </c>
      <c r="G70" s="25" t="n">
        <f aca="false">IF(E70="","",E70*F70)</f>
        <v>19152</v>
      </c>
      <c r="H70" s="25"/>
      <c r="I70" s="24" t="n">
        <v>24</v>
      </c>
      <c r="J70" s="25" t="n">
        <v>798</v>
      </c>
      <c r="K70" s="25" t="n">
        <f aca="false">I70*J70</f>
        <v>19152</v>
      </c>
      <c r="L70" s="24" t="n">
        <v>24</v>
      </c>
      <c r="M70" s="25" t="n">
        <v>798</v>
      </c>
      <c r="N70" s="25" t="n">
        <f aca="false">L70*M70</f>
        <v>19152</v>
      </c>
      <c r="O70" s="25" t="n">
        <v>798</v>
      </c>
      <c r="P70" s="14" t="s">
        <v>297</v>
      </c>
      <c r="Q70" s="25" t="n">
        <f aca="false">IF(OR(O70="",M70=""),"",M70-O70)</f>
        <v>0</v>
      </c>
      <c r="R70" s="33" t="n">
        <f aca="false">IF(Q70="","",Q70*L70)</f>
        <v>0</v>
      </c>
      <c r="S70" s="33" t="n">
        <f aca="false">N70-K70</f>
        <v>0</v>
      </c>
      <c r="T70" s="14" t="s">
        <v>88</v>
      </c>
      <c r="U70" s="14"/>
      <c r="V70" s="23"/>
      <c r="W70" s="24" t="n">
        <f aca="false">L70</f>
        <v>24</v>
      </c>
      <c r="X70" s="25" t="n">
        <f aca="false">M70</f>
        <v>798</v>
      </c>
      <c r="Y70" s="5" t="n">
        <f aca="false">IF(OR(W70="",X70=""),0,W70*X70)</f>
        <v>19152</v>
      </c>
    </row>
    <row r="71" customFormat="false" ht="26.85" hidden="false" customHeight="false" outlineLevel="0" collapsed="false">
      <c r="A71" s="23" t="s">
        <v>203</v>
      </c>
      <c r="B71" s="23" t="s">
        <v>298</v>
      </c>
      <c r="C71" s="14" t="s">
        <v>299</v>
      </c>
      <c r="D71" s="23" t="s">
        <v>141</v>
      </c>
      <c r="E71" s="24" t="n">
        <v>40</v>
      </c>
      <c r="F71" s="25" t="n">
        <v>798</v>
      </c>
      <c r="G71" s="25" t="n">
        <f aca="false">IF(E71="","",E71*F71)</f>
        <v>31920</v>
      </c>
      <c r="H71" s="25"/>
      <c r="I71" s="24" t="n">
        <v>40</v>
      </c>
      <c r="J71" s="25" t="n">
        <v>798</v>
      </c>
      <c r="K71" s="25" t="n">
        <f aca="false">I71*J71</f>
        <v>31920</v>
      </c>
      <c r="L71" s="24" t="n">
        <v>40</v>
      </c>
      <c r="M71" s="25" t="n">
        <v>798</v>
      </c>
      <c r="N71" s="25" t="n">
        <f aca="false">L71*M71</f>
        <v>31920</v>
      </c>
      <c r="O71" s="25" t="n">
        <v>798</v>
      </c>
      <c r="P71" s="14" t="s">
        <v>300</v>
      </c>
      <c r="Q71" s="25" t="n">
        <f aca="false">IF(OR(O71="",M71=""),"",M71-O71)</f>
        <v>0</v>
      </c>
      <c r="R71" s="33" t="n">
        <f aca="false">IF(Q71="","",Q71*L71)</f>
        <v>0</v>
      </c>
      <c r="S71" s="33" t="n">
        <f aca="false">N71-K71</f>
        <v>0</v>
      </c>
      <c r="T71" s="14" t="s">
        <v>88</v>
      </c>
      <c r="U71" s="14"/>
      <c r="V71" s="23"/>
      <c r="W71" s="24" t="n">
        <f aca="false">L71</f>
        <v>40</v>
      </c>
      <c r="X71" s="25" t="n">
        <f aca="false">M71</f>
        <v>798</v>
      </c>
      <c r="Y71" s="5" t="n">
        <f aca="false">IF(OR(W71="",X71=""),0,W71*X71)</f>
        <v>31920</v>
      </c>
    </row>
    <row r="72" customFormat="false" ht="26.85" hidden="false" customHeight="false" outlineLevel="0" collapsed="false">
      <c r="A72" s="23" t="s">
        <v>203</v>
      </c>
      <c r="B72" s="23" t="s">
        <v>301</v>
      </c>
      <c r="C72" s="14" t="s">
        <v>302</v>
      </c>
      <c r="D72" s="23" t="s">
        <v>141</v>
      </c>
      <c r="E72" s="24" t="n">
        <v>24</v>
      </c>
      <c r="F72" s="25" t="n">
        <v>798</v>
      </c>
      <c r="G72" s="25" t="n">
        <f aca="false">IF(E72="","",E72*F72)</f>
        <v>19152</v>
      </c>
      <c r="H72" s="25"/>
      <c r="I72" s="24" t="n">
        <v>24</v>
      </c>
      <c r="J72" s="25" t="n">
        <v>798</v>
      </c>
      <c r="K72" s="25" t="n">
        <f aca="false">I72*J72</f>
        <v>19152</v>
      </c>
      <c r="L72" s="24" t="n">
        <v>24</v>
      </c>
      <c r="M72" s="25" t="n">
        <v>798</v>
      </c>
      <c r="N72" s="25" t="n">
        <f aca="false">L72*M72</f>
        <v>19152</v>
      </c>
      <c r="O72" s="25" t="n">
        <v>798</v>
      </c>
      <c r="P72" s="14" t="s">
        <v>303</v>
      </c>
      <c r="Q72" s="25" t="n">
        <f aca="false">IF(OR(O72="",M72=""),"",M72-O72)</f>
        <v>0</v>
      </c>
      <c r="R72" s="33" t="n">
        <f aca="false">IF(Q72="","",Q72*L72)</f>
        <v>0</v>
      </c>
      <c r="S72" s="33" t="n">
        <f aca="false">N72-K72</f>
        <v>0</v>
      </c>
      <c r="T72" s="14" t="s">
        <v>88</v>
      </c>
      <c r="U72" s="14"/>
      <c r="V72" s="23"/>
      <c r="W72" s="24" t="n">
        <f aca="false">L72</f>
        <v>24</v>
      </c>
      <c r="X72" s="25" t="n">
        <f aca="false">M72</f>
        <v>798</v>
      </c>
      <c r="Y72" s="5" t="n">
        <f aca="false">IF(OR(W72="",X72=""),0,W72*X72)</f>
        <v>19152</v>
      </c>
    </row>
    <row r="73" customFormat="false" ht="26.85" hidden="false" customHeight="false" outlineLevel="0" collapsed="false">
      <c r="A73" s="23" t="s">
        <v>203</v>
      </c>
      <c r="B73" s="23" t="s">
        <v>304</v>
      </c>
      <c r="C73" s="14" t="s">
        <v>305</v>
      </c>
      <c r="D73" s="23" t="s">
        <v>141</v>
      </c>
      <c r="E73" s="24" t="n">
        <v>24</v>
      </c>
      <c r="F73" s="25" t="n">
        <v>798</v>
      </c>
      <c r="G73" s="25" t="n">
        <f aca="false">IF(E73="","",E73*F73)</f>
        <v>19152</v>
      </c>
      <c r="H73" s="25"/>
      <c r="I73" s="24" t="n">
        <v>24</v>
      </c>
      <c r="J73" s="25" t="n">
        <v>798</v>
      </c>
      <c r="K73" s="25" t="n">
        <f aca="false">I73*J73</f>
        <v>19152</v>
      </c>
      <c r="L73" s="24" t="n">
        <v>24</v>
      </c>
      <c r="M73" s="25" t="n">
        <v>798</v>
      </c>
      <c r="N73" s="25" t="n">
        <f aca="false">L73*M73</f>
        <v>19152</v>
      </c>
      <c r="O73" s="25" t="n">
        <v>798</v>
      </c>
      <c r="P73" s="14" t="s">
        <v>306</v>
      </c>
      <c r="Q73" s="25" t="n">
        <f aca="false">IF(OR(O73="",M73=""),"",M73-O73)</f>
        <v>0</v>
      </c>
      <c r="R73" s="33" t="n">
        <f aca="false">IF(Q73="","",Q73*L73)</f>
        <v>0</v>
      </c>
      <c r="S73" s="33" t="n">
        <f aca="false">N73-K73</f>
        <v>0</v>
      </c>
      <c r="T73" s="14" t="s">
        <v>88</v>
      </c>
      <c r="U73" s="14"/>
      <c r="V73" s="23"/>
      <c r="W73" s="24" t="n">
        <f aca="false">L73</f>
        <v>24</v>
      </c>
      <c r="X73" s="25" t="n">
        <f aca="false">M73</f>
        <v>798</v>
      </c>
      <c r="Y73" s="5" t="n">
        <f aca="false">IF(OR(W73="",X73=""),0,W73*X73)</f>
        <v>19152</v>
      </c>
    </row>
    <row r="74" customFormat="false" ht="26.85" hidden="false" customHeight="false" outlineLevel="0" collapsed="false">
      <c r="A74" s="23" t="s">
        <v>203</v>
      </c>
      <c r="B74" s="23" t="s">
        <v>307</v>
      </c>
      <c r="C74" s="14" t="s">
        <v>308</v>
      </c>
      <c r="D74" s="23" t="s">
        <v>141</v>
      </c>
      <c r="E74" s="24" t="n">
        <v>16</v>
      </c>
      <c r="F74" s="25" t="n">
        <v>798</v>
      </c>
      <c r="G74" s="25" t="n">
        <f aca="false">IF(E74="","",E74*F74)</f>
        <v>12768</v>
      </c>
      <c r="H74" s="25"/>
      <c r="I74" s="24" t="n">
        <v>16</v>
      </c>
      <c r="J74" s="25" t="n">
        <v>798</v>
      </c>
      <c r="K74" s="25" t="n">
        <f aca="false">I74*J74</f>
        <v>12768</v>
      </c>
      <c r="L74" s="24" t="n">
        <v>16</v>
      </c>
      <c r="M74" s="25" t="n">
        <v>798</v>
      </c>
      <c r="N74" s="25" t="n">
        <f aca="false">L74*M74</f>
        <v>12768</v>
      </c>
      <c r="O74" s="25" t="n">
        <v>798</v>
      </c>
      <c r="P74" s="14" t="s">
        <v>309</v>
      </c>
      <c r="Q74" s="25" t="n">
        <f aca="false">IF(OR(O74="",M74=""),"",M74-O74)</f>
        <v>0</v>
      </c>
      <c r="R74" s="33" t="n">
        <f aca="false">IF(Q74="","",Q74*L74)</f>
        <v>0</v>
      </c>
      <c r="S74" s="33" t="n">
        <f aca="false">N74-K74</f>
        <v>0</v>
      </c>
      <c r="T74" s="14" t="s">
        <v>88</v>
      </c>
      <c r="U74" s="14"/>
      <c r="V74" s="23"/>
      <c r="W74" s="24" t="n">
        <f aca="false">L74</f>
        <v>16</v>
      </c>
      <c r="X74" s="25" t="n">
        <f aca="false">M74</f>
        <v>798</v>
      </c>
      <c r="Y74" s="5" t="n">
        <f aca="false">IF(OR(W74="",X74=""),0,W74*X74)</f>
        <v>12768</v>
      </c>
    </row>
    <row r="75" customFormat="false" ht="26.85" hidden="false" customHeight="false" outlineLevel="0" collapsed="false">
      <c r="A75" s="23" t="s">
        <v>203</v>
      </c>
      <c r="B75" s="23" t="s">
        <v>310</v>
      </c>
      <c r="C75" s="14" t="s">
        <v>311</v>
      </c>
      <c r="D75" s="23" t="s">
        <v>141</v>
      </c>
      <c r="E75" s="24" t="n">
        <v>8</v>
      </c>
      <c r="F75" s="25" t="n">
        <v>798</v>
      </c>
      <c r="G75" s="25" t="n">
        <f aca="false">IF(E75="","",E75*F75)</f>
        <v>6384</v>
      </c>
      <c r="H75" s="25"/>
      <c r="I75" s="24" t="n">
        <v>8</v>
      </c>
      <c r="J75" s="25" t="n">
        <v>798</v>
      </c>
      <c r="K75" s="25" t="n">
        <f aca="false">I75*J75</f>
        <v>6384</v>
      </c>
      <c r="L75" s="24" t="n">
        <v>8</v>
      </c>
      <c r="M75" s="25" t="n">
        <v>798</v>
      </c>
      <c r="N75" s="25" t="n">
        <f aca="false">L75*M75</f>
        <v>6384</v>
      </c>
      <c r="O75" s="25" t="n">
        <v>798</v>
      </c>
      <c r="P75" s="14" t="s">
        <v>312</v>
      </c>
      <c r="Q75" s="25" t="n">
        <f aca="false">IF(OR(O75="",M75=""),"",M75-O75)</f>
        <v>0</v>
      </c>
      <c r="R75" s="33" t="n">
        <f aca="false">IF(Q75="","",Q75*L75)</f>
        <v>0</v>
      </c>
      <c r="S75" s="33" t="n">
        <f aca="false">N75-K75</f>
        <v>0</v>
      </c>
      <c r="T75" s="14" t="s">
        <v>88</v>
      </c>
      <c r="U75" s="14"/>
      <c r="V75" s="23"/>
      <c r="W75" s="24" t="n">
        <f aca="false">L75</f>
        <v>8</v>
      </c>
      <c r="X75" s="25" t="n">
        <f aca="false">M75</f>
        <v>798</v>
      </c>
      <c r="Y75" s="5" t="n">
        <f aca="false">IF(OR(W75="",X75=""),0,W75*X75)</f>
        <v>6384</v>
      </c>
    </row>
    <row r="76" customFormat="false" ht="26.85" hidden="false" customHeight="false" outlineLevel="0" collapsed="false">
      <c r="A76" s="23" t="s">
        <v>203</v>
      </c>
      <c r="B76" s="23" t="s">
        <v>313</v>
      </c>
      <c r="C76" s="14" t="s">
        <v>190</v>
      </c>
      <c r="D76" s="23" t="s">
        <v>141</v>
      </c>
      <c r="E76" s="24" t="n">
        <v>128</v>
      </c>
      <c r="F76" s="25" t="n">
        <v>285</v>
      </c>
      <c r="G76" s="25" t="n">
        <f aca="false">IF(E76="","",E76*F76)</f>
        <v>36480</v>
      </c>
      <c r="H76" s="25"/>
      <c r="I76" s="24" t="n">
        <v>128</v>
      </c>
      <c r="J76" s="25" t="n">
        <v>285</v>
      </c>
      <c r="K76" s="25" t="n">
        <f aca="false">I76*J76</f>
        <v>36480</v>
      </c>
      <c r="L76" s="24" t="n">
        <v>128</v>
      </c>
      <c r="M76" s="25" t="n">
        <v>285</v>
      </c>
      <c r="N76" s="25" t="n">
        <f aca="false">L76*M76</f>
        <v>36480</v>
      </c>
      <c r="O76" s="25" t="n">
        <v>285</v>
      </c>
      <c r="P76" s="14" t="s">
        <v>314</v>
      </c>
      <c r="Q76" s="25" t="n">
        <f aca="false">IF(OR(O76="",M76=""),"",M76-O76)</f>
        <v>0</v>
      </c>
      <c r="R76" s="33" t="n">
        <f aca="false">IF(Q76="","",Q76*L76)</f>
        <v>0</v>
      </c>
      <c r="S76" s="33" t="n">
        <f aca="false">N76-K76</f>
        <v>0</v>
      </c>
      <c r="T76" s="14" t="s">
        <v>88</v>
      </c>
      <c r="U76" s="14"/>
      <c r="V76" s="23"/>
      <c r="W76" s="24" t="n">
        <f aca="false">L76</f>
        <v>128</v>
      </c>
      <c r="X76" s="25" t="n">
        <f aca="false">M76</f>
        <v>285</v>
      </c>
      <c r="Y76" s="5" t="n">
        <f aca="false">IF(OR(W76="",X76=""),0,W76*X76)</f>
        <v>36480</v>
      </c>
    </row>
    <row r="77" customFormat="false" ht="26.85" hidden="false" customHeight="false" outlineLevel="0" collapsed="false">
      <c r="A77" s="23" t="s">
        <v>203</v>
      </c>
      <c r="B77" s="23" t="s">
        <v>315</v>
      </c>
      <c r="C77" s="14" t="s">
        <v>316</v>
      </c>
      <c r="D77" s="23" t="s">
        <v>231</v>
      </c>
      <c r="E77" s="24" t="n">
        <v>1280</v>
      </c>
      <c r="F77" s="25" t="n">
        <v>150</v>
      </c>
      <c r="G77" s="25" t="n">
        <f aca="false">IF(E77="","",E77*F77)</f>
        <v>192000</v>
      </c>
      <c r="H77" s="25" t="n">
        <v>150</v>
      </c>
      <c r="I77" s="24" t="n">
        <v>1280</v>
      </c>
      <c r="J77" s="25" t="n">
        <v>200</v>
      </c>
      <c r="K77" s="25" t="n">
        <f aca="false">I77*J77</f>
        <v>256000</v>
      </c>
      <c r="L77" s="24" t="n">
        <v>1280</v>
      </c>
      <c r="M77" s="25" t="n">
        <v>150</v>
      </c>
      <c r="N77" s="25" t="n">
        <f aca="false">L77*M77</f>
        <v>192000</v>
      </c>
      <c r="O77" s="25" t="n">
        <v>150</v>
      </c>
      <c r="P77" s="14" t="s">
        <v>317</v>
      </c>
      <c r="Q77" s="41" t="n">
        <f aca="false">IF(OR(O77="",M77=""),"",M77-O77)</f>
        <v>0</v>
      </c>
      <c r="R77" s="42" t="n">
        <f aca="false">IF(Q77="","",Q77*L77)</f>
        <v>0</v>
      </c>
      <c r="S77" s="42" t="n">
        <f aca="false">N77-K77</f>
        <v>-64000</v>
      </c>
      <c r="T77" s="43" t="s">
        <v>40</v>
      </c>
      <c r="U77" s="14" t="s">
        <v>318</v>
      </c>
      <c r="V77" s="23"/>
      <c r="W77" s="24" t="n">
        <f aca="false">L77</f>
        <v>1280</v>
      </c>
      <c r="X77" s="25" t="n">
        <f aca="false">M77</f>
        <v>150</v>
      </c>
      <c r="Y77" s="5" t="n">
        <f aca="false">IF(OR(W77="",X77=""),0,W77*X77)</f>
        <v>192000</v>
      </c>
    </row>
    <row r="78" customFormat="false" ht="26.85" hidden="false" customHeight="false" outlineLevel="0" collapsed="false">
      <c r="A78" s="23" t="s">
        <v>203</v>
      </c>
      <c r="B78" s="23" t="s">
        <v>319</v>
      </c>
      <c r="C78" s="14" t="s">
        <v>320</v>
      </c>
      <c r="D78" s="23" t="s">
        <v>231</v>
      </c>
      <c r="E78" s="24" t="n">
        <v>800</v>
      </c>
      <c r="F78" s="25" t="n">
        <v>150</v>
      </c>
      <c r="G78" s="25" t="n">
        <f aca="false">IF(E78="","",E78*F78)</f>
        <v>120000</v>
      </c>
      <c r="H78" s="25" t="n">
        <v>150</v>
      </c>
      <c r="I78" s="24" t="n">
        <v>800</v>
      </c>
      <c r="J78" s="25" t="n">
        <v>200</v>
      </c>
      <c r="K78" s="25" t="n">
        <f aca="false">I78*J78</f>
        <v>160000</v>
      </c>
      <c r="L78" s="24" t="n">
        <v>800</v>
      </c>
      <c r="M78" s="25" t="n">
        <v>150</v>
      </c>
      <c r="N78" s="25" t="n">
        <f aca="false">L78*M78</f>
        <v>120000</v>
      </c>
      <c r="O78" s="25" t="n">
        <v>150</v>
      </c>
      <c r="P78" s="14" t="s">
        <v>321</v>
      </c>
      <c r="Q78" s="41" t="n">
        <f aca="false">IF(OR(O78="",M78=""),"",M78-O78)</f>
        <v>0</v>
      </c>
      <c r="R78" s="42" t="n">
        <f aca="false">IF(Q78="","",Q78*L78)</f>
        <v>0</v>
      </c>
      <c r="S78" s="42" t="n">
        <f aca="false">N78-K78</f>
        <v>-40000</v>
      </c>
      <c r="T78" s="43" t="s">
        <v>40</v>
      </c>
      <c r="U78" s="14" t="s">
        <v>318</v>
      </c>
      <c r="V78" s="23"/>
      <c r="W78" s="24" t="n">
        <f aca="false">L78</f>
        <v>800</v>
      </c>
      <c r="X78" s="25" t="n">
        <f aca="false">M78</f>
        <v>150</v>
      </c>
      <c r="Y78" s="5" t="n">
        <f aca="false">IF(OR(W78="",X78=""),0,W78*X78)</f>
        <v>120000</v>
      </c>
    </row>
    <row r="79" customFormat="false" ht="26.85" hidden="false" customHeight="false" outlineLevel="0" collapsed="false">
      <c r="A79" s="23" t="s">
        <v>203</v>
      </c>
      <c r="B79" s="23" t="s">
        <v>322</v>
      </c>
      <c r="C79" s="14" t="s">
        <v>323</v>
      </c>
      <c r="D79" s="23" t="s">
        <v>231</v>
      </c>
      <c r="E79" s="24" t="n">
        <v>200</v>
      </c>
      <c r="F79" s="25" t="n">
        <v>228</v>
      </c>
      <c r="G79" s="25" t="n">
        <f aca="false">IF(E79="","",E79*F79)</f>
        <v>45600</v>
      </c>
      <c r="H79" s="25"/>
      <c r="I79" s="24" t="n">
        <v>200</v>
      </c>
      <c r="J79" s="25" t="n">
        <v>228</v>
      </c>
      <c r="K79" s="25" t="n">
        <f aca="false">I79*J79</f>
        <v>45600</v>
      </c>
      <c r="L79" s="24" t="n">
        <v>200</v>
      </c>
      <c r="M79" s="25" t="n">
        <v>228</v>
      </c>
      <c r="N79" s="25" t="n">
        <f aca="false">L79*M79</f>
        <v>45600</v>
      </c>
      <c r="O79" s="25" t="n">
        <v>228</v>
      </c>
      <c r="P79" s="14" t="s">
        <v>324</v>
      </c>
      <c r="Q79" s="25" t="n">
        <f aca="false">IF(OR(O79="",M79=""),"",M79-O79)</f>
        <v>0</v>
      </c>
      <c r="R79" s="33" t="n">
        <f aca="false">IF(Q79="","",Q79*L79)</f>
        <v>0</v>
      </c>
      <c r="S79" s="33" t="n">
        <f aca="false">N79-K79</f>
        <v>0</v>
      </c>
      <c r="T79" s="14" t="s">
        <v>88</v>
      </c>
      <c r="U79" s="14"/>
      <c r="V79" s="23"/>
      <c r="W79" s="24" t="n">
        <f aca="false">L79</f>
        <v>200</v>
      </c>
      <c r="X79" s="25" t="n">
        <f aca="false">M79</f>
        <v>228</v>
      </c>
      <c r="Y79" s="5" t="n">
        <f aca="false">IF(OR(W79="",X79=""),0,W79*X79)</f>
        <v>45600</v>
      </c>
    </row>
    <row r="80" customFormat="false" ht="26.85" hidden="false" customHeight="false" outlineLevel="0" collapsed="false">
      <c r="A80" s="23" t="s">
        <v>203</v>
      </c>
      <c r="B80" s="23" t="s">
        <v>325</v>
      </c>
      <c r="C80" s="14" t="s">
        <v>326</v>
      </c>
      <c r="D80" s="23"/>
      <c r="E80" s="24" t="n">
        <v>240</v>
      </c>
      <c r="F80" s="25" t="n">
        <v>228</v>
      </c>
      <c r="G80" s="25" t="n">
        <f aca="false">IF(E80="","",E80*F80)</f>
        <v>54720</v>
      </c>
      <c r="H80" s="25"/>
      <c r="I80" s="24" t="n">
        <v>240</v>
      </c>
      <c r="J80" s="25" t="n">
        <v>228</v>
      </c>
      <c r="K80" s="25" t="n">
        <f aca="false">I80*J80</f>
        <v>54720</v>
      </c>
      <c r="L80" s="24" t="n">
        <v>240</v>
      </c>
      <c r="M80" s="25" t="n">
        <v>228</v>
      </c>
      <c r="N80" s="25" t="n">
        <f aca="false">L80*M80</f>
        <v>54720</v>
      </c>
      <c r="O80" s="25" t="n">
        <v>228</v>
      </c>
      <c r="P80" s="14" t="s">
        <v>327</v>
      </c>
      <c r="Q80" s="25" t="n">
        <f aca="false">IF(OR(O80="",M80=""),"",M80-O80)</f>
        <v>0</v>
      </c>
      <c r="R80" s="33" t="n">
        <f aca="false">IF(Q80="","",Q80*L80)</f>
        <v>0</v>
      </c>
      <c r="S80" s="33" t="n">
        <f aca="false">N80-K80</f>
        <v>0</v>
      </c>
      <c r="T80" s="14" t="s">
        <v>88</v>
      </c>
      <c r="U80" s="14"/>
      <c r="V80" s="23"/>
      <c r="W80" s="24" t="n">
        <f aca="false">L80</f>
        <v>240</v>
      </c>
      <c r="X80" s="25" t="n">
        <f aca="false">M80</f>
        <v>228</v>
      </c>
      <c r="Y80" s="5" t="n">
        <f aca="false">IF(OR(W80="",X80=""),0,W80*X80)</f>
        <v>54720</v>
      </c>
    </row>
    <row r="81" customFormat="false" ht="26.85" hidden="false" customHeight="false" outlineLevel="0" collapsed="false">
      <c r="A81" s="23" t="s">
        <v>203</v>
      </c>
      <c r="B81" s="23" t="s">
        <v>328</v>
      </c>
      <c r="C81" s="14" t="s">
        <v>329</v>
      </c>
      <c r="D81" s="23" t="s">
        <v>231</v>
      </c>
      <c r="E81" s="24" t="n">
        <v>640</v>
      </c>
      <c r="F81" s="25" t="n">
        <v>150</v>
      </c>
      <c r="G81" s="25" t="n">
        <f aca="false">IF(E81="","",E81*F81)</f>
        <v>96000</v>
      </c>
      <c r="H81" s="25" t="n">
        <v>150</v>
      </c>
      <c r="I81" s="24" t="n">
        <v>640</v>
      </c>
      <c r="J81" s="25" t="n">
        <v>150</v>
      </c>
      <c r="K81" s="25" t="n">
        <f aca="false">I81*J81</f>
        <v>96000</v>
      </c>
      <c r="L81" s="24" t="n">
        <v>640</v>
      </c>
      <c r="M81" s="25" t="n">
        <v>150</v>
      </c>
      <c r="N81" s="25" t="n">
        <f aca="false">L81*M81</f>
        <v>96000</v>
      </c>
      <c r="O81" s="25" t="n">
        <v>150</v>
      </c>
      <c r="P81" s="14" t="s">
        <v>330</v>
      </c>
      <c r="Q81" s="25" t="n">
        <f aca="false">IF(OR(O81="",M81=""),"",M81-O81)</f>
        <v>0</v>
      </c>
      <c r="R81" s="33" t="n">
        <f aca="false">IF(Q81="","",Q81*L81)</f>
        <v>0</v>
      </c>
      <c r="S81" s="33" t="n">
        <f aca="false">N81-K81</f>
        <v>0</v>
      </c>
      <c r="T81" s="14" t="s">
        <v>88</v>
      </c>
      <c r="U81" s="14"/>
      <c r="V81" s="23"/>
      <c r="W81" s="24" t="n">
        <f aca="false">L81</f>
        <v>640</v>
      </c>
      <c r="X81" s="25" t="n">
        <f aca="false">M81</f>
        <v>150</v>
      </c>
      <c r="Y81" s="5" t="n">
        <f aca="false">IF(OR(W81="",X81=""),0,W81*X81)</f>
        <v>96000</v>
      </c>
    </row>
    <row r="82" customFormat="false" ht="26.85" hidden="false" customHeight="false" outlineLevel="0" collapsed="false">
      <c r="A82" s="23" t="s">
        <v>203</v>
      </c>
      <c r="B82" s="23" t="s">
        <v>331</v>
      </c>
      <c r="C82" s="14" t="s">
        <v>199</v>
      </c>
      <c r="D82" s="23" t="s">
        <v>332</v>
      </c>
      <c r="E82" s="24" t="n">
        <v>4</v>
      </c>
      <c r="F82" s="25" t="n">
        <v>120000</v>
      </c>
      <c r="G82" s="25" t="n">
        <f aca="false">IF(E82="","",E82*F82)</f>
        <v>480000</v>
      </c>
      <c r="H82" s="25" t="n">
        <v>120000</v>
      </c>
      <c r="I82" s="24" t="n">
        <v>4</v>
      </c>
      <c r="J82" s="25" t="n">
        <v>120000</v>
      </c>
      <c r="K82" s="25" t="n">
        <f aca="false">I82*J82</f>
        <v>480000</v>
      </c>
      <c r="L82" s="24" t="n">
        <v>4</v>
      </c>
      <c r="M82" s="25" t="n">
        <v>120000</v>
      </c>
      <c r="N82" s="25" t="n">
        <f aca="false">L82*M82</f>
        <v>480000</v>
      </c>
      <c r="O82" s="25" t="n">
        <v>120000</v>
      </c>
      <c r="P82" s="14" t="s">
        <v>333</v>
      </c>
      <c r="Q82" s="25" t="n">
        <f aca="false">IF(OR(O82="",M82=""),"",M82-O82)</f>
        <v>0</v>
      </c>
      <c r="R82" s="33" t="n">
        <f aca="false">IF(Q82="","",Q82*L82)</f>
        <v>0</v>
      </c>
      <c r="S82" s="33" t="n">
        <f aca="false">N82-K82</f>
        <v>0</v>
      </c>
      <c r="T82" s="14" t="s">
        <v>88</v>
      </c>
      <c r="U82" s="14"/>
      <c r="V82" s="23"/>
      <c r="W82" s="24" t="n">
        <f aca="false">L82</f>
        <v>4</v>
      </c>
      <c r="X82" s="25" t="n">
        <f aca="false">M82</f>
        <v>120000</v>
      </c>
      <c r="Y82" s="5" t="n">
        <f aca="false">IF(OR(W82="",X82=""),0,W82*X82)</f>
        <v>480000</v>
      </c>
    </row>
    <row r="83" customFormat="false" ht="15" hidden="false" customHeight="false" outlineLevel="0" collapsed="false">
      <c r="A83" s="31"/>
      <c r="B83" s="32" t="s">
        <v>334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customFormat="false" ht="26.85" hidden="false" customHeight="false" outlineLevel="0" collapsed="false">
      <c r="A84" s="23" t="s">
        <v>335</v>
      </c>
      <c r="B84" s="23" t="s">
        <v>336</v>
      </c>
      <c r="C84" s="14" t="s">
        <v>337</v>
      </c>
      <c r="D84" s="23" t="s">
        <v>141</v>
      </c>
      <c r="E84" s="24"/>
      <c r="F84" s="25"/>
      <c r="G84" s="25" t="str">
        <f aca="false">IF(E84="","",E84*F84)</f>
        <v/>
      </c>
      <c r="H84" s="25"/>
      <c r="I84" s="24" t="n">
        <v>2</v>
      </c>
      <c r="J84" s="25" t="n">
        <v>630</v>
      </c>
      <c r="K84" s="25" t="n">
        <f aca="false">I84*J84</f>
        <v>1260</v>
      </c>
      <c r="L84" s="24" t="n">
        <v>2</v>
      </c>
      <c r="M84" s="25" t="n">
        <v>630</v>
      </c>
      <c r="N84" s="25" t="n">
        <f aca="false">L84*M84</f>
        <v>1260</v>
      </c>
      <c r="O84" s="25"/>
      <c r="P84" s="14"/>
      <c r="Q84" s="25" t="str">
        <f aca="false">IF(OR(O84="",M84=""),"",M84-O84)</f>
        <v/>
      </c>
      <c r="R84" s="33" t="str">
        <f aca="false">IF(Q84="","",Q84*L84)</f>
        <v/>
      </c>
      <c r="S84" s="33" t="n">
        <f aca="false">N84-K84</f>
        <v>0</v>
      </c>
      <c r="T84" s="14" t="s">
        <v>338</v>
      </c>
      <c r="U84" s="14"/>
      <c r="V84" s="23"/>
      <c r="W84" s="24" t="n">
        <f aca="false">L84</f>
        <v>2</v>
      </c>
      <c r="X84" s="25" t="n">
        <f aca="false">M84</f>
        <v>630</v>
      </c>
      <c r="Y84" s="5" t="n">
        <f aca="false">IF(OR(W84="",X84=""),0,W84*X84)</f>
        <v>1260</v>
      </c>
    </row>
    <row r="85" customFormat="false" ht="26.85" hidden="false" customHeight="false" outlineLevel="0" collapsed="false">
      <c r="A85" s="23" t="s">
        <v>335</v>
      </c>
      <c r="B85" s="23" t="s">
        <v>339</v>
      </c>
      <c r="C85" s="14" t="s">
        <v>340</v>
      </c>
      <c r="D85" s="23" t="s">
        <v>141</v>
      </c>
      <c r="E85" s="24"/>
      <c r="F85" s="25"/>
      <c r="G85" s="25" t="str">
        <f aca="false">IF(E85="","",E85*F85)</f>
        <v/>
      </c>
      <c r="H85" s="25"/>
      <c r="I85" s="24" t="n">
        <v>6</v>
      </c>
      <c r="J85" s="25" t="n">
        <v>630</v>
      </c>
      <c r="K85" s="25" t="n">
        <f aca="false">I85*J85</f>
        <v>3780</v>
      </c>
      <c r="L85" s="24" t="n">
        <v>6</v>
      </c>
      <c r="M85" s="25" t="n">
        <v>630</v>
      </c>
      <c r="N85" s="25" t="n">
        <f aca="false">L85*M85</f>
        <v>3780</v>
      </c>
      <c r="O85" s="25"/>
      <c r="P85" s="14"/>
      <c r="Q85" s="25" t="str">
        <f aca="false">IF(OR(O85="",M85=""),"",M85-O85)</f>
        <v/>
      </c>
      <c r="R85" s="33" t="str">
        <f aca="false">IF(Q85="","",Q85*L85)</f>
        <v/>
      </c>
      <c r="S85" s="33" t="n">
        <f aca="false">N85-K85</f>
        <v>0</v>
      </c>
      <c r="T85" s="14" t="s">
        <v>338</v>
      </c>
      <c r="U85" s="14"/>
      <c r="V85" s="23"/>
      <c r="W85" s="24" t="n">
        <f aca="false">L85</f>
        <v>6</v>
      </c>
      <c r="X85" s="25" t="n">
        <f aca="false">M85</f>
        <v>630</v>
      </c>
      <c r="Y85" s="5" t="n">
        <f aca="false">IF(OR(W85="",X85=""),0,W85*X85)</f>
        <v>3780</v>
      </c>
    </row>
    <row r="86" customFormat="false" ht="26.85" hidden="false" customHeight="false" outlineLevel="0" collapsed="false">
      <c r="A86" s="23" t="s">
        <v>335</v>
      </c>
      <c r="B86" s="23" t="s">
        <v>341</v>
      </c>
      <c r="C86" s="14" t="s">
        <v>342</v>
      </c>
      <c r="D86" s="23" t="s">
        <v>141</v>
      </c>
      <c r="E86" s="24"/>
      <c r="F86" s="25"/>
      <c r="G86" s="25" t="str">
        <f aca="false">IF(E86="","",E86*F86)</f>
        <v/>
      </c>
      <c r="H86" s="25"/>
      <c r="I86" s="24" t="n">
        <v>47</v>
      </c>
      <c r="J86" s="25" t="n">
        <v>630</v>
      </c>
      <c r="K86" s="25" t="n">
        <f aca="false">I86*J86</f>
        <v>29610</v>
      </c>
      <c r="L86" s="24" t="n">
        <v>47</v>
      </c>
      <c r="M86" s="25" t="n">
        <v>630</v>
      </c>
      <c r="N86" s="25" t="n">
        <f aca="false">L86*M86</f>
        <v>29610</v>
      </c>
      <c r="O86" s="25"/>
      <c r="P86" s="14"/>
      <c r="Q86" s="25" t="str">
        <f aca="false">IF(OR(O86="",M86=""),"",M86-O86)</f>
        <v/>
      </c>
      <c r="R86" s="33" t="str">
        <f aca="false">IF(Q86="","",Q86*L86)</f>
        <v/>
      </c>
      <c r="S86" s="33" t="n">
        <f aca="false">N86-K86</f>
        <v>0</v>
      </c>
      <c r="T86" s="14" t="s">
        <v>338</v>
      </c>
      <c r="U86" s="14"/>
      <c r="V86" s="23"/>
      <c r="W86" s="24" t="n">
        <f aca="false">L86</f>
        <v>47</v>
      </c>
      <c r="X86" s="25" t="n">
        <f aca="false">M86</f>
        <v>630</v>
      </c>
      <c r="Y86" s="5" t="n">
        <f aca="false">IF(OR(W86="",X86=""),0,W86*X86)</f>
        <v>29610</v>
      </c>
    </row>
    <row r="87" customFormat="false" ht="26.85" hidden="false" customHeight="false" outlineLevel="0" collapsed="false">
      <c r="A87" s="23" t="s">
        <v>335</v>
      </c>
      <c r="B87" s="23" t="s">
        <v>343</v>
      </c>
      <c r="C87" s="14" t="s">
        <v>344</v>
      </c>
      <c r="D87" s="23" t="s">
        <v>141</v>
      </c>
      <c r="E87" s="24"/>
      <c r="F87" s="25"/>
      <c r="G87" s="25" t="str">
        <f aca="false">IF(E87="","",E87*F87)</f>
        <v/>
      </c>
      <c r="H87" s="25"/>
      <c r="I87" s="24" t="n">
        <v>31</v>
      </c>
      <c r="J87" s="25" t="n">
        <v>630</v>
      </c>
      <c r="K87" s="25" t="n">
        <f aca="false">I87*J87</f>
        <v>19530</v>
      </c>
      <c r="L87" s="24" t="n">
        <v>31</v>
      </c>
      <c r="M87" s="25" t="n">
        <v>630</v>
      </c>
      <c r="N87" s="25" t="n">
        <f aca="false">L87*M87</f>
        <v>19530</v>
      </c>
      <c r="O87" s="25"/>
      <c r="P87" s="14"/>
      <c r="Q87" s="25" t="str">
        <f aca="false">IF(OR(O87="",M87=""),"",M87-O87)</f>
        <v/>
      </c>
      <c r="R87" s="33" t="str">
        <f aca="false">IF(Q87="","",Q87*L87)</f>
        <v/>
      </c>
      <c r="S87" s="33" t="n">
        <f aca="false">N87-K87</f>
        <v>0</v>
      </c>
      <c r="T87" s="14" t="s">
        <v>338</v>
      </c>
      <c r="U87" s="14"/>
      <c r="V87" s="23"/>
      <c r="W87" s="24" t="n">
        <f aca="false">L87</f>
        <v>31</v>
      </c>
      <c r="X87" s="25" t="n">
        <f aca="false">M87</f>
        <v>630</v>
      </c>
      <c r="Y87" s="5" t="n">
        <f aca="false">IF(OR(W87="",X87=""),0,W87*X87)</f>
        <v>19530</v>
      </c>
    </row>
    <row r="88" customFormat="false" ht="26.85" hidden="false" customHeight="false" outlineLevel="0" collapsed="false">
      <c r="A88" s="23" t="s">
        <v>335</v>
      </c>
      <c r="B88" s="23" t="s">
        <v>345</v>
      </c>
      <c r="C88" s="14" t="s">
        <v>346</v>
      </c>
      <c r="D88" s="23" t="s">
        <v>141</v>
      </c>
      <c r="E88" s="24"/>
      <c r="F88" s="25"/>
      <c r="G88" s="25" t="str">
        <f aca="false">IF(E88="","",E88*F88)</f>
        <v/>
      </c>
      <c r="H88" s="25"/>
      <c r="I88" s="24" t="n">
        <v>29</v>
      </c>
      <c r="J88" s="25" t="n">
        <v>630</v>
      </c>
      <c r="K88" s="25" t="n">
        <f aca="false">I88*J88</f>
        <v>18270</v>
      </c>
      <c r="L88" s="24" t="n">
        <v>29</v>
      </c>
      <c r="M88" s="25" t="n">
        <v>630</v>
      </c>
      <c r="N88" s="25" t="n">
        <f aca="false">L88*M88</f>
        <v>18270</v>
      </c>
      <c r="O88" s="25"/>
      <c r="P88" s="14"/>
      <c r="Q88" s="25" t="str">
        <f aca="false">IF(OR(O88="",M88=""),"",M88-O88)</f>
        <v/>
      </c>
      <c r="R88" s="33" t="str">
        <f aca="false">IF(Q88="","",Q88*L88)</f>
        <v/>
      </c>
      <c r="S88" s="33" t="n">
        <f aca="false">N88-K88</f>
        <v>0</v>
      </c>
      <c r="T88" s="14" t="s">
        <v>338</v>
      </c>
      <c r="U88" s="14"/>
      <c r="V88" s="23"/>
      <c r="W88" s="24" t="n">
        <f aca="false">L88</f>
        <v>29</v>
      </c>
      <c r="X88" s="25" t="n">
        <f aca="false">M88</f>
        <v>630</v>
      </c>
      <c r="Y88" s="5" t="n">
        <f aca="false">IF(OR(W88="",X88=""),0,W88*X88)</f>
        <v>18270</v>
      </c>
    </row>
    <row r="89" customFormat="false" ht="26.85" hidden="false" customHeight="false" outlineLevel="0" collapsed="false">
      <c r="A89" s="23" t="s">
        <v>335</v>
      </c>
      <c r="B89" s="23" t="s">
        <v>347</v>
      </c>
      <c r="C89" s="14" t="s">
        <v>348</v>
      </c>
      <c r="D89" s="23" t="s">
        <v>141</v>
      </c>
      <c r="E89" s="24"/>
      <c r="F89" s="25"/>
      <c r="G89" s="25" t="str">
        <f aca="false">IF(E89="","",E89*F89)</f>
        <v/>
      </c>
      <c r="H89" s="25"/>
      <c r="I89" s="24" t="n">
        <v>14</v>
      </c>
      <c r="J89" s="25" t="n">
        <v>630</v>
      </c>
      <c r="K89" s="25" t="n">
        <f aca="false">I89*J89</f>
        <v>8820</v>
      </c>
      <c r="L89" s="24" t="n">
        <v>14</v>
      </c>
      <c r="M89" s="25" t="n">
        <v>630</v>
      </c>
      <c r="N89" s="25" t="n">
        <f aca="false">L89*M89</f>
        <v>8820</v>
      </c>
      <c r="O89" s="25"/>
      <c r="P89" s="14"/>
      <c r="Q89" s="25" t="str">
        <f aca="false">IF(OR(O89="",M89=""),"",M89-O89)</f>
        <v/>
      </c>
      <c r="R89" s="33" t="str">
        <f aca="false">IF(Q89="","",Q89*L89)</f>
        <v/>
      </c>
      <c r="S89" s="33" t="n">
        <f aca="false">N89-K89</f>
        <v>0</v>
      </c>
      <c r="T89" s="14" t="s">
        <v>338</v>
      </c>
      <c r="U89" s="14"/>
      <c r="V89" s="23"/>
      <c r="W89" s="24" t="n">
        <f aca="false">L89</f>
        <v>14</v>
      </c>
      <c r="X89" s="25" t="n">
        <f aca="false">M89</f>
        <v>630</v>
      </c>
      <c r="Y89" s="5" t="n">
        <f aca="false">IF(OR(W89="",X89=""),0,W89*X89)</f>
        <v>8820</v>
      </c>
    </row>
    <row r="90" customFormat="false" ht="26.85" hidden="false" customHeight="false" outlineLevel="0" collapsed="false">
      <c r="A90" s="23" t="s">
        <v>335</v>
      </c>
      <c r="B90" s="23" t="s">
        <v>349</v>
      </c>
      <c r="C90" s="14" t="s">
        <v>350</v>
      </c>
      <c r="D90" s="23" t="s">
        <v>141</v>
      </c>
      <c r="E90" s="24"/>
      <c r="F90" s="25"/>
      <c r="G90" s="25" t="str">
        <f aca="false">IF(E90="","",E90*F90)</f>
        <v/>
      </c>
      <c r="H90" s="25"/>
      <c r="I90" s="24" t="n">
        <v>1195</v>
      </c>
      <c r="J90" s="25" t="n">
        <v>840</v>
      </c>
      <c r="K90" s="25" t="n">
        <f aca="false">I90*J90</f>
        <v>1003800</v>
      </c>
      <c r="L90" s="24" t="n">
        <v>1195</v>
      </c>
      <c r="M90" s="25" t="n">
        <v>570</v>
      </c>
      <c r="N90" s="25" t="n">
        <f aca="false">L90*M90</f>
        <v>681150</v>
      </c>
      <c r="O90" s="25"/>
      <c r="P90" s="14"/>
      <c r="Q90" s="44" t="str">
        <f aca="false">IF(OR(O90="",M90=""),"",M90-O90)</f>
        <v/>
      </c>
      <c r="R90" s="45" t="str">
        <f aca="false">IF(Q90="","",Q90*L90)</f>
        <v/>
      </c>
      <c r="S90" s="45" t="n">
        <f aca="false">N90-K90</f>
        <v>-322650</v>
      </c>
      <c r="T90" s="46" t="s">
        <v>46</v>
      </c>
      <c r="U90" s="14"/>
      <c r="V90" s="38" t="s">
        <v>351</v>
      </c>
      <c r="W90" s="39" t="n">
        <v>1195</v>
      </c>
      <c r="X90" s="40" t="n">
        <v>840</v>
      </c>
      <c r="Y90" s="9" t="n">
        <f aca="false">IF(OR(W90="",X90=""),0,W90*X90)</f>
        <v>1003800</v>
      </c>
    </row>
    <row r="91" customFormat="false" ht="26.85" hidden="false" customHeight="false" outlineLevel="0" collapsed="false">
      <c r="A91" s="23" t="s">
        <v>335</v>
      </c>
      <c r="B91" s="23" t="s">
        <v>352</v>
      </c>
      <c r="C91" s="14" t="s">
        <v>353</v>
      </c>
      <c r="D91" s="23" t="s">
        <v>141</v>
      </c>
      <c r="E91" s="24"/>
      <c r="F91" s="25"/>
      <c r="G91" s="25" t="str">
        <f aca="false">IF(E91="","",E91*F91)</f>
        <v/>
      </c>
      <c r="H91" s="25"/>
      <c r="I91" s="24" t="n">
        <v>27</v>
      </c>
      <c r="J91" s="25" t="n">
        <v>630</v>
      </c>
      <c r="K91" s="25" t="n">
        <f aca="false">I91*J91</f>
        <v>17010</v>
      </c>
      <c r="L91" s="24" t="n">
        <v>27</v>
      </c>
      <c r="M91" s="25" t="n">
        <v>630</v>
      </c>
      <c r="N91" s="25" t="n">
        <f aca="false">L91*M91</f>
        <v>17010</v>
      </c>
      <c r="O91" s="25"/>
      <c r="P91" s="14"/>
      <c r="Q91" s="25" t="str">
        <f aca="false">IF(OR(O91="",M91=""),"",M91-O91)</f>
        <v/>
      </c>
      <c r="R91" s="33" t="str">
        <f aca="false">IF(Q91="","",Q91*L91)</f>
        <v/>
      </c>
      <c r="S91" s="33" t="n">
        <f aca="false">N91-K91</f>
        <v>0</v>
      </c>
      <c r="T91" s="14" t="s">
        <v>338</v>
      </c>
      <c r="U91" s="14"/>
      <c r="V91" s="23"/>
      <c r="W91" s="24" t="n">
        <f aca="false">L91</f>
        <v>27</v>
      </c>
      <c r="X91" s="25" t="n">
        <f aca="false">M91</f>
        <v>630</v>
      </c>
      <c r="Y91" s="5" t="n">
        <f aca="false">IF(OR(W91="",X91=""),0,W91*X91)</f>
        <v>17010</v>
      </c>
    </row>
    <row r="92" customFormat="false" ht="26.85" hidden="false" customHeight="false" outlineLevel="0" collapsed="false">
      <c r="A92" s="23" t="s">
        <v>335</v>
      </c>
      <c r="B92" s="23" t="s">
        <v>354</v>
      </c>
      <c r="C92" s="14" t="s">
        <v>355</v>
      </c>
      <c r="D92" s="23" t="s">
        <v>356</v>
      </c>
      <c r="E92" s="24"/>
      <c r="F92" s="25"/>
      <c r="G92" s="25" t="str">
        <f aca="false">IF(E92="","",E92*F92)</f>
        <v/>
      </c>
      <c r="H92" s="25"/>
      <c r="I92" s="24" t="n">
        <v>4</v>
      </c>
      <c r="J92" s="25" t="n">
        <v>21000</v>
      </c>
      <c r="K92" s="25" t="n">
        <f aca="false">I92*J92</f>
        <v>84000</v>
      </c>
      <c r="L92" s="24" t="n">
        <v>2</v>
      </c>
      <c r="M92" s="25" t="n">
        <v>2900</v>
      </c>
      <c r="N92" s="25" t="n">
        <f aca="false">L92*M92</f>
        <v>5800</v>
      </c>
      <c r="O92" s="25"/>
      <c r="P92" s="14"/>
      <c r="Q92" s="44" t="str">
        <f aca="false">IF(OR(O92="",M92=""),"",M92-O92)</f>
        <v/>
      </c>
      <c r="R92" s="45" t="str">
        <f aca="false">IF(Q92="","",Q92*L92)</f>
        <v/>
      </c>
      <c r="S92" s="45" t="n">
        <f aca="false">N92-K92</f>
        <v>-78200</v>
      </c>
      <c r="T92" s="46" t="s">
        <v>46</v>
      </c>
      <c r="U92" s="14" t="s">
        <v>357</v>
      </c>
      <c r="V92" s="38" t="s">
        <v>358</v>
      </c>
      <c r="W92" s="39" t="n">
        <v>4</v>
      </c>
      <c r="X92" s="40" t="n">
        <v>21000</v>
      </c>
      <c r="Y92" s="9" t="n">
        <f aca="false">IF(OR(W92="",X92=""),0,W92*X92)</f>
        <v>84000</v>
      </c>
    </row>
    <row r="93" customFormat="false" ht="26.85" hidden="false" customHeight="false" outlineLevel="0" collapsed="false">
      <c r="A93" s="23" t="s">
        <v>335</v>
      </c>
      <c r="B93" s="23" t="s">
        <v>359</v>
      </c>
      <c r="C93" s="14" t="s">
        <v>360</v>
      </c>
      <c r="D93" s="23" t="s">
        <v>86</v>
      </c>
      <c r="E93" s="24"/>
      <c r="F93" s="25"/>
      <c r="G93" s="25" t="str">
        <f aca="false">IF(E93="","",E93*F93)</f>
        <v/>
      </c>
      <c r="H93" s="25"/>
      <c r="I93" s="24" t="n">
        <v>64</v>
      </c>
      <c r="J93" s="25" t="n">
        <v>1120</v>
      </c>
      <c r="K93" s="25" t="n">
        <f aca="false">I93*J93</f>
        <v>71680</v>
      </c>
      <c r="L93" s="24" t="n">
        <v>64</v>
      </c>
      <c r="M93" s="25" t="n">
        <v>1120</v>
      </c>
      <c r="N93" s="25" t="n">
        <f aca="false">L93*M93</f>
        <v>71680</v>
      </c>
      <c r="O93" s="25"/>
      <c r="P93" s="14"/>
      <c r="Q93" s="25" t="str">
        <f aca="false">IF(OR(O93="",M93=""),"",M93-O93)</f>
        <v/>
      </c>
      <c r="R93" s="33" t="str">
        <f aca="false">IF(Q93="","",Q93*L93)</f>
        <v/>
      </c>
      <c r="S93" s="33" t="n">
        <f aca="false">N93-K93</f>
        <v>0</v>
      </c>
      <c r="T93" s="14" t="s">
        <v>338</v>
      </c>
      <c r="U93" s="14"/>
      <c r="V93" s="23"/>
      <c r="W93" s="24" t="n">
        <f aca="false">L93</f>
        <v>64</v>
      </c>
      <c r="X93" s="25" t="n">
        <f aca="false">M93</f>
        <v>1120</v>
      </c>
      <c r="Y93" s="5" t="n">
        <f aca="false">IF(OR(W93="",X93=""),0,W93*X93)</f>
        <v>71680</v>
      </c>
    </row>
    <row r="94" customFormat="false" ht="26.85" hidden="false" customHeight="false" outlineLevel="0" collapsed="false">
      <c r="A94" s="23" t="s">
        <v>335</v>
      </c>
      <c r="B94" s="23" t="s">
        <v>361</v>
      </c>
      <c r="C94" s="14" t="s">
        <v>362</v>
      </c>
      <c r="D94" s="23" t="s">
        <v>363</v>
      </c>
      <c r="E94" s="24"/>
      <c r="F94" s="25"/>
      <c r="G94" s="25" t="str">
        <f aca="false">IF(E94="","",E94*F94)</f>
        <v/>
      </c>
      <c r="H94" s="25"/>
      <c r="I94" s="24" t="n">
        <v>34.4</v>
      </c>
      <c r="J94" s="25" t="n">
        <v>840</v>
      </c>
      <c r="K94" s="25" t="n">
        <f aca="false">I94*J94</f>
        <v>28896</v>
      </c>
      <c r="L94" s="24" t="n">
        <v>34.4</v>
      </c>
      <c r="M94" s="25" t="n">
        <v>840</v>
      </c>
      <c r="N94" s="25" t="n">
        <f aca="false">L94*M94</f>
        <v>28896</v>
      </c>
      <c r="O94" s="25"/>
      <c r="P94" s="14"/>
      <c r="Q94" s="25" t="str">
        <f aca="false">IF(OR(O94="",M94=""),"",M94-O94)</f>
        <v/>
      </c>
      <c r="R94" s="33" t="str">
        <f aca="false">IF(Q94="","",Q94*L94)</f>
        <v/>
      </c>
      <c r="S94" s="33" t="n">
        <f aca="false">N94-K94</f>
        <v>0</v>
      </c>
      <c r="T94" s="14" t="s">
        <v>338</v>
      </c>
      <c r="U94" s="14"/>
      <c r="V94" s="23"/>
      <c r="W94" s="24" t="n">
        <f aca="false">L94</f>
        <v>34.4</v>
      </c>
      <c r="X94" s="25" t="n">
        <f aca="false">M94</f>
        <v>840</v>
      </c>
      <c r="Y94" s="5" t="n">
        <f aca="false">IF(OR(W94="",X94=""),0,W94*X94)</f>
        <v>28896</v>
      </c>
    </row>
    <row r="95" customFormat="false" ht="26.85" hidden="false" customHeight="false" outlineLevel="0" collapsed="false">
      <c r="A95" s="23" t="s">
        <v>335</v>
      </c>
      <c r="B95" s="23" t="s">
        <v>364</v>
      </c>
      <c r="C95" s="14" t="s">
        <v>365</v>
      </c>
      <c r="D95" s="23" t="s">
        <v>363</v>
      </c>
      <c r="E95" s="24"/>
      <c r="F95" s="25"/>
      <c r="G95" s="25" t="str">
        <f aca="false">IF(E95="","",E95*F95)</f>
        <v/>
      </c>
      <c r="H95" s="25"/>
      <c r="I95" s="24" t="n">
        <v>32.8</v>
      </c>
      <c r="J95" s="25" t="n">
        <v>700</v>
      </c>
      <c r="K95" s="25" t="n">
        <f aca="false">I95*J95</f>
        <v>22960</v>
      </c>
      <c r="L95" s="24" t="n">
        <v>32.8</v>
      </c>
      <c r="M95" s="25" t="n">
        <v>700</v>
      </c>
      <c r="N95" s="25" t="n">
        <f aca="false">L95*M95</f>
        <v>22960</v>
      </c>
      <c r="O95" s="25"/>
      <c r="P95" s="14"/>
      <c r="Q95" s="25" t="str">
        <f aca="false">IF(OR(O95="",M95=""),"",M95-O95)</f>
        <v/>
      </c>
      <c r="R95" s="33" t="str">
        <f aca="false">IF(Q95="","",Q95*L95)</f>
        <v/>
      </c>
      <c r="S95" s="33" t="n">
        <f aca="false">N95-K95</f>
        <v>0</v>
      </c>
      <c r="T95" s="14" t="s">
        <v>338</v>
      </c>
      <c r="U95" s="14"/>
      <c r="V95" s="23"/>
      <c r="W95" s="24" t="n">
        <f aca="false">L95</f>
        <v>32.8</v>
      </c>
      <c r="X95" s="25" t="n">
        <f aca="false">M95</f>
        <v>700</v>
      </c>
      <c r="Y95" s="5" t="n">
        <f aca="false">IF(OR(W95="",X95=""),0,W95*X95)</f>
        <v>22960</v>
      </c>
    </row>
    <row r="96" customFormat="false" ht="26.85" hidden="false" customHeight="false" outlineLevel="0" collapsed="false">
      <c r="A96" s="23" t="s">
        <v>335</v>
      </c>
      <c r="B96" s="23" t="s">
        <v>366</v>
      </c>
      <c r="C96" s="14" t="s">
        <v>367</v>
      </c>
      <c r="D96" s="23" t="s">
        <v>356</v>
      </c>
      <c r="E96" s="24"/>
      <c r="F96" s="25"/>
      <c r="G96" s="25" t="str">
        <f aca="false">IF(E96="","",E96*F96)</f>
        <v/>
      </c>
      <c r="H96" s="25"/>
      <c r="I96" s="24" t="n">
        <v>8</v>
      </c>
      <c r="J96" s="25" t="n">
        <v>16800</v>
      </c>
      <c r="K96" s="25" t="n">
        <f aca="false">I96*J96</f>
        <v>134400</v>
      </c>
      <c r="L96" s="24" t="n">
        <v>8</v>
      </c>
      <c r="M96" s="25" t="n">
        <v>4800</v>
      </c>
      <c r="N96" s="25" t="n">
        <f aca="false">L96*M96</f>
        <v>38400</v>
      </c>
      <c r="O96" s="25"/>
      <c r="P96" s="14"/>
      <c r="Q96" s="44" t="str">
        <f aca="false">IF(OR(O96="",M96=""),"",M96-O96)</f>
        <v/>
      </c>
      <c r="R96" s="45" t="str">
        <f aca="false">IF(Q96="","",Q96*L96)</f>
        <v/>
      </c>
      <c r="S96" s="45" t="n">
        <f aca="false">N96-K96</f>
        <v>-96000</v>
      </c>
      <c r="T96" s="46" t="s">
        <v>46</v>
      </c>
      <c r="U96" s="14" t="s">
        <v>368</v>
      </c>
      <c r="V96" s="38" t="s">
        <v>358</v>
      </c>
      <c r="W96" s="39" t="n">
        <v>8</v>
      </c>
      <c r="X96" s="40" t="n">
        <v>16800</v>
      </c>
      <c r="Y96" s="9" t="n">
        <f aca="false">IF(OR(W96="",X96=""),0,W96*X96)</f>
        <v>134400</v>
      </c>
    </row>
    <row r="97" customFormat="false" ht="26.85" hidden="false" customHeight="false" outlineLevel="0" collapsed="false">
      <c r="A97" s="23" t="s">
        <v>335</v>
      </c>
      <c r="B97" s="23" t="s">
        <v>369</v>
      </c>
      <c r="C97" s="14" t="s">
        <v>370</v>
      </c>
      <c r="D97" s="23" t="s">
        <v>363</v>
      </c>
      <c r="E97" s="24"/>
      <c r="F97" s="25"/>
      <c r="G97" s="25" t="str">
        <f aca="false">IF(E97="","",E97*F97)</f>
        <v/>
      </c>
      <c r="H97" s="25"/>
      <c r="I97" s="24" t="n">
        <v>61.6</v>
      </c>
      <c r="J97" s="25" t="n">
        <v>1120</v>
      </c>
      <c r="K97" s="25" t="n">
        <f aca="false">I97*J97</f>
        <v>68992</v>
      </c>
      <c r="L97" s="24" t="n">
        <v>61.6</v>
      </c>
      <c r="M97" s="25" t="n">
        <v>920</v>
      </c>
      <c r="N97" s="25" t="n">
        <f aca="false">L97*M97</f>
        <v>56672</v>
      </c>
      <c r="O97" s="25"/>
      <c r="P97" s="14"/>
      <c r="Q97" s="44" t="str">
        <f aca="false">IF(OR(O97="",M97=""),"",M97-O97)</f>
        <v/>
      </c>
      <c r="R97" s="45" t="str">
        <f aca="false">IF(Q97="","",Q97*L97)</f>
        <v/>
      </c>
      <c r="S97" s="45" t="n">
        <f aca="false">N97-K97</f>
        <v>-12320</v>
      </c>
      <c r="T97" s="46" t="s">
        <v>46</v>
      </c>
      <c r="U97" s="14" t="s">
        <v>371</v>
      </c>
      <c r="V97" s="23"/>
      <c r="W97" s="24" t="n">
        <f aca="false">L97</f>
        <v>61.6</v>
      </c>
      <c r="X97" s="25" t="n">
        <f aca="false">M97</f>
        <v>920</v>
      </c>
      <c r="Y97" s="5" t="n">
        <f aca="false">IF(OR(W97="",X97=""),0,W97*X97)</f>
        <v>56672</v>
      </c>
    </row>
    <row r="98" customFormat="false" ht="26.85" hidden="false" customHeight="false" outlineLevel="0" collapsed="false">
      <c r="A98" s="23" t="s">
        <v>335</v>
      </c>
      <c r="B98" s="23" t="s">
        <v>372</v>
      </c>
      <c r="C98" s="14" t="s">
        <v>373</v>
      </c>
      <c r="D98" s="23" t="s">
        <v>356</v>
      </c>
      <c r="E98" s="24"/>
      <c r="F98" s="25"/>
      <c r="G98" s="25" t="str">
        <f aca="false">IF(E98="","",E98*F98)</f>
        <v/>
      </c>
      <c r="H98" s="25"/>
      <c r="I98" s="24" t="n">
        <v>6</v>
      </c>
      <c r="J98" s="25" t="n">
        <v>4200</v>
      </c>
      <c r="K98" s="25" t="n">
        <f aca="false">I98*J98</f>
        <v>25200</v>
      </c>
      <c r="L98" s="24" t="n">
        <v>6</v>
      </c>
      <c r="M98" s="25" t="n">
        <v>1500</v>
      </c>
      <c r="N98" s="25" t="n">
        <f aca="false">L98*M98</f>
        <v>9000</v>
      </c>
      <c r="O98" s="25"/>
      <c r="P98" s="14"/>
      <c r="Q98" s="44" t="str">
        <f aca="false">IF(OR(O98="",M98=""),"",M98-O98)</f>
        <v/>
      </c>
      <c r="R98" s="45" t="str">
        <f aca="false">IF(Q98="","",Q98*L98)</f>
        <v/>
      </c>
      <c r="S98" s="45" t="n">
        <f aca="false">N98-K98</f>
        <v>-16200</v>
      </c>
      <c r="T98" s="46" t="s">
        <v>46</v>
      </c>
      <c r="U98" s="14" t="s">
        <v>374</v>
      </c>
      <c r="V98" s="38" t="s">
        <v>358</v>
      </c>
      <c r="W98" s="39" t="n">
        <v>6</v>
      </c>
      <c r="X98" s="40" t="n">
        <v>4200</v>
      </c>
      <c r="Y98" s="9" t="n">
        <f aca="false">IF(OR(W98="",X98=""),0,W98*X98)</f>
        <v>25200</v>
      </c>
    </row>
    <row r="99" customFormat="false" ht="26.85" hidden="false" customHeight="false" outlineLevel="0" collapsed="false">
      <c r="A99" s="23" t="s">
        <v>335</v>
      </c>
      <c r="B99" s="23" t="s">
        <v>375</v>
      </c>
      <c r="C99" s="14" t="s">
        <v>376</v>
      </c>
      <c r="D99" s="23" t="s">
        <v>356</v>
      </c>
      <c r="E99" s="24"/>
      <c r="F99" s="25"/>
      <c r="G99" s="25" t="str">
        <f aca="false">IF(E99="","",E99*F99)</f>
        <v/>
      </c>
      <c r="H99" s="25"/>
      <c r="I99" s="24" t="n">
        <v>2</v>
      </c>
      <c r="J99" s="25" t="n">
        <v>7000</v>
      </c>
      <c r="K99" s="25" t="n">
        <f aca="false">I99*J99</f>
        <v>14000</v>
      </c>
      <c r="L99" s="24" t="n">
        <v>2</v>
      </c>
      <c r="M99" s="25" t="n">
        <v>7000</v>
      </c>
      <c r="N99" s="25" t="n">
        <f aca="false">L99*M99</f>
        <v>14000</v>
      </c>
      <c r="O99" s="25"/>
      <c r="P99" s="14"/>
      <c r="Q99" s="25" t="str">
        <f aca="false">IF(OR(O99="",M99=""),"",M99-O99)</f>
        <v/>
      </c>
      <c r="R99" s="33" t="str">
        <f aca="false">IF(Q99="","",Q99*L99)</f>
        <v/>
      </c>
      <c r="S99" s="33" t="n">
        <f aca="false">N99-K99</f>
        <v>0</v>
      </c>
      <c r="T99" s="14" t="s">
        <v>338</v>
      </c>
      <c r="U99" s="14" t="s">
        <v>377</v>
      </c>
      <c r="V99" s="23"/>
      <c r="W99" s="24" t="n">
        <f aca="false">L99</f>
        <v>2</v>
      </c>
      <c r="X99" s="25" t="n">
        <f aca="false">M99</f>
        <v>7000</v>
      </c>
      <c r="Y99" s="5" t="n">
        <f aca="false">IF(OR(W99="",X99=""),0,W99*X99)</f>
        <v>14000</v>
      </c>
    </row>
    <row r="100" customFormat="false" ht="26.85" hidden="false" customHeight="false" outlineLevel="0" collapsed="false">
      <c r="A100" s="23" t="s">
        <v>335</v>
      </c>
      <c r="B100" s="23" t="s">
        <v>378</v>
      </c>
      <c r="C100" s="14" t="s">
        <v>379</v>
      </c>
      <c r="D100" s="23" t="s">
        <v>363</v>
      </c>
      <c r="E100" s="24"/>
      <c r="F100" s="25"/>
      <c r="G100" s="25" t="str">
        <f aca="false">IF(E100="","",E100*F100)</f>
        <v/>
      </c>
      <c r="H100" s="25"/>
      <c r="I100" s="24" t="n">
        <v>120</v>
      </c>
      <c r="J100" s="25" t="n">
        <v>700</v>
      </c>
      <c r="K100" s="25" t="n">
        <f aca="false">I100*J100</f>
        <v>84000</v>
      </c>
      <c r="L100" s="24" t="n">
        <v>120</v>
      </c>
      <c r="M100" s="25" t="n">
        <v>700</v>
      </c>
      <c r="N100" s="25" t="n">
        <f aca="false">L100*M100</f>
        <v>84000</v>
      </c>
      <c r="O100" s="25"/>
      <c r="P100" s="14"/>
      <c r="Q100" s="25" t="str">
        <f aca="false">IF(OR(O100="",M100=""),"",M100-O100)</f>
        <v/>
      </c>
      <c r="R100" s="33" t="str">
        <f aca="false">IF(Q100="","",Q100*L100)</f>
        <v/>
      </c>
      <c r="S100" s="33" t="n">
        <f aca="false">N100-K100</f>
        <v>0</v>
      </c>
      <c r="T100" s="14" t="s">
        <v>338</v>
      </c>
      <c r="U100" s="14" t="s">
        <v>380</v>
      </c>
      <c r="V100" s="23"/>
      <c r="W100" s="24" t="n">
        <f aca="false">L100</f>
        <v>120</v>
      </c>
      <c r="X100" s="25" t="n">
        <f aca="false">M100</f>
        <v>700</v>
      </c>
      <c r="Y100" s="5" t="n">
        <f aca="false">IF(OR(W100="",X100=""),0,W100*X100)</f>
        <v>84000</v>
      </c>
    </row>
    <row r="101" customFormat="false" ht="26.85" hidden="false" customHeight="false" outlineLevel="0" collapsed="false">
      <c r="A101" s="23" t="s">
        <v>335</v>
      </c>
      <c r="B101" s="23" t="s">
        <v>381</v>
      </c>
      <c r="C101" s="14" t="s">
        <v>382</v>
      </c>
      <c r="D101" s="23" t="s">
        <v>86</v>
      </c>
      <c r="E101" s="24"/>
      <c r="F101" s="25"/>
      <c r="G101" s="25" t="str">
        <f aca="false">IF(E101="","",E101*F101)</f>
        <v/>
      </c>
      <c r="H101" s="25"/>
      <c r="I101" s="24" t="n">
        <v>64</v>
      </c>
      <c r="J101" s="25" t="n">
        <v>420</v>
      </c>
      <c r="K101" s="25" t="n">
        <f aca="false">I101*J101</f>
        <v>26880</v>
      </c>
      <c r="L101" s="24" t="n">
        <v>64</v>
      </c>
      <c r="M101" s="25" t="n">
        <v>420</v>
      </c>
      <c r="N101" s="25" t="n">
        <f aca="false">L101*M101</f>
        <v>26880</v>
      </c>
      <c r="O101" s="25"/>
      <c r="P101" s="14"/>
      <c r="Q101" s="25" t="str">
        <f aca="false">IF(OR(O101="",M101=""),"",M101-O101)</f>
        <v/>
      </c>
      <c r="R101" s="33" t="str">
        <f aca="false">IF(Q101="","",Q101*L101)</f>
        <v/>
      </c>
      <c r="S101" s="33" t="n">
        <f aca="false">N101-K101</f>
        <v>0</v>
      </c>
      <c r="T101" s="14" t="s">
        <v>338</v>
      </c>
      <c r="U101" s="14" t="s">
        <v>383</v>
      </c>
      <c r="V101" s="23"/>
      <c r="W101" s="24" t="n">
        <f aca="false">L101</f>
        <v>64</v>
      </c>
      <c r="X101" s="25" t="n">
        <f aca="false">M101</f>
        <v>420</v>
      </c>
      <c r="Y101" s="5" t="n">
        <f aca="false">IF(OR(W101="",X101=""),0,W101*X101)</f>
        <v>26880</v>
      </c>
    </row>
    <row r="102" customFormat="false" ht="26.85" hidden="false" customHeight="false" outlineLevel="0" collapsed="false">
      <c r="A102" s="23" t="s">
        <v>335</v>
      </c>
      <c r="B102" s="23" t="s">
        <v>384</v>
      </c>
      <c r="C102" s="14" t="s">
        <v>385</v>
      </c>
      <c r="D102" s="23" t="s">
        <v>86</v>
      </c>
      <c r="E102" s="24"/>
      <c r="F102" s="25"/>
      <c r="G102" s="25" t="str">
        <f aca="false">IF(E102="","",E102*F102)</f>
        <v/>
      </c>
      <c r="H102" s="25"/>
      <c r="I102" s="24" t="n">
        <v>8</v>
      </c>
      <c r="J102" s="25" t="n">
        <v>4200</v>
      </c>
      <c r="K102" s="25" t="n">
        <f aca="false">I102*J102</f>
        <v>33600</v>
      </c>
      <c r="L102" s="24" t="n">
        <v>8</v>
      </c>
      <c r="M102" s="25" t="n">
        <v>2400</v>
      </c>
      <c r="N102" s="25" t="n">
        <f aca="false">L102*M102</f>
        <v>19200</v>
      </c>
      <c r="O102" s="25"/>
      <c r="P102" s="14"/>
      <c r="Q102" s="44" t="str">
        <f aca="false">IF(OR(O102="",M102=""),"",M102-O102)</f>
        <v/>
      </c>
      <c r="R102" s="45" t="str">
        <f aca="false">IF(Q102="","",Q102*L102)</f>
        <v/>
      </c>
      <c r="S102" s="45" t="n">
        <f aca="false">N102-K102</f>
        <v>-14400</v>
      </c>
      <c r="T102" s="46" t="s">
        <v>46</v>
      </c>
      <c r="U102" s="14" t="s">
        <v>386</v>
      </c>
      <c r="V102" s="38" t="s">
        <v>358</v>
      </c>
      <c r="W102" s="39" t="n">
        <v>8</v>
      </c>
      <c r="X102" s="40" t="n">
        <v>4200</v>
      </c>
      <c r="Y102" s="9" t="n">
        <f aca="false">IF(OR(W102="",X102=""),0,W102*X102)</f>
        <v>33600</v>
      </c>
    </row>
    <row r="103" customFormat="false" ht="26.85" hidden="false" customHeight="false" outlineLevel="0" collapsed="false">
      <c r="A103" s="23" t="s">
        <v>335</v>
      </c>
      <c r="B103" s="23" t="s">
        <v>387</v>
      </c>
      <c r="C103" s="14" t="s">
        <v>388</v>
      </c>
      <c r="D103" s="23" t="s">
        <v>141</v>
      </c>
      <c r="E103" s="24"/>
      <c r="F103" s="25"/>
      <c r="G103" s="25" t="str">
        <f aca="false">IF(E103="","",E103*F103)</f>
        <v/>
      </c>
      <c r="H103" s="25"/>
      <c r="I103" s="24" t="n">
        <v>40</v>
      </c>
      <c r="J103" s="25" t="n">
        <v>588</v>
      </c>
      <c r="K103" s="25" t="n">
        <f aca="false">I103*J103</f>
        <v>23520</v>
      </c>
      <c r="L103" s="24" t="n">
        <v>40</v>
      </c>
      <c r="M103" s="25" t="n">
        <v>588</v>
      </c>
      <c r="N103" s="25" t="n">
        <f aca="false">L103*M103</f>
        <v>23520</v>
      </c>
      <c r="O103" s="25"/>
      <c r="P103" s="14"/>
      <c r="Q103" s="25" t="str">
        <f aca="false">IF(OR(O103="",M103=""),"",M103-O103)</f>
        <v/>
      </c>
      <c r="R103" s="33" t="str">
        <f aca="false">IF(Q103="","",Q103*L103)</f>
        <v/>
      </c>
      <c r="S103" s="33" t="n">
        <f aca="false">N103-K103</f>
        <v>0</v>
      </c>
      <c r="T103" s="14" t="s">
        <v>338</v>
      </c>
      <c r="U103" s="14"/>
      <c r="V103" s="23"/>
      <c r="W103" s="24" t="n">
        <f aca="false">L103</f>
        <v>40</v>
      </c>
      <c r="X103" s="25" t="n">
        <f aca="false">M103</f>
        <v>588</v>
      </c>
      <c r="Y103" s="5" t="n">
        <f aca="false">IF(OR(W103="",X103=""),0,W103*X103)</f>
        <v>23520</v>
      </c>
    </row>
    <row r="104" customFormat="false" ht="26.85" hidden="false" customHeight="false" outlineLevel="0" collapsed="false">
      <c r="A104" s="23" t="s">
        <v>335</v>
      </c>
      <c r="B104" s="23" t="s">
        <v>389</v>
      </c>
      <c r="C104" s="14" t="s">
        <v>390</v>
      </c>
      <c r="D104" s="23" t="s">
        <v>141</v>
      </c>
      <c r="E104" s="24"/>
      <c r="F104" s="25"/>
      <c r="G104" s="25" t="str">
        <f aca="false">IF(E104="","",E104*F104)</f>
        <v/>
      </c>
      <c r="H104" s="25"/>
      <c r="I104" s="24" t="n">
        <v>40</v>
      </c>
      <c r="J104" s="25" t="n">
        <v>588</v>
      </c>
      <c r="K104" s="25" t="n">
        <f aca="false">I104*J104</f>
        <v>23520</v>
      </c>
      <c r="L104" s="24" t="n">
        <v>40</v>
      </c>
      <c r="M104" s="25" t="n">
        <v>588</v>
      </c>
      <c r="N104" s="25" t="n">
        <f aca="false">L104*M104</f>
        <v>23520</v>
      </c>
      <c r="O104" s="25"/>
      <c r="P104" s="14"/>
      <c r="Q104" s="25" t="str">
        <f aca="false">IF(OR(O104="",M104=""),"",M104-O104)</f>
        <v/>
      </c>
      <c r="R104" s="33" t="str">
        <f aca="false">IF(Q104="","",Q104*L104)</f>
        <v/>
      </c>
      <c r="S104" s="33" t="n">
        <f aca="false">N104-K104</f>
        <v>0</v>
      </c>
      <c r="T104" s="14" t="s">
        <v>338</v>
      </c>
      <c r="U104" s="14"/>
      <c r="V104" s="23"/>
      <c r="W104" s="24" t="n">
        <f aca="false">L104</f>
        <v>40</v>
      </c>
      <c r="X104" s="25" t="n">
        <f aca="false">M104</f>
        <v>588</v>
      </c>
      <c r="Y104" s="5" t="n">
        <f aca="false">IF(OR(W104="",X104=""),0,W104*X104)</f>
        <v>23520</v>
      </c>
    </row>
    <row r="105" customFormat="false" ht="26.85" hidden="false" customHeight="false" outlineLevel="0" collapsed="false">
      <c r="A105" s="23" t="s">
        <v>335</v>
      </c>
      <c r="B105" s="23" t="s">
        <v>391</v>
      </c>
      <c r="C105" s="14" t="s">
        <v>392</v>
      </c>
      <c r="D105" s="23" t="s">
        <v>141</v>
      </c>
      <c r="E105" s="24"/>
      <c r="F105" s="25"/>
      <c r="G105" s="25" t="str">
        <f aca="false">IF(E105="","",E105*F105)</f>
        <v/>
      </c>
      <c r="H105" s="25"/>
      <c r="I105" s="24" t="n">
        <v>24</v>
      </c>
      <c r="J105" s="25" t="n">
        <v>588</v>
      </c>
      <c r="K105" s="25" t="n">
        <f aca="false">I105*J105</f>
        <v>14112</v>
      </c>
      <c r="L105" s="24" t="n">
        <v>24</v>
      </c>
      <c r="M105" s="25" t="n">
        <v>588</v>
      </c>
      <c r="N105" s="25" t="n">
        <f aca="false">L105*M105</f>
        <v>14112</v>
      </c>
      <c r="O105" s="25"/>
      <c r="P105" s="14"/>
      <c r="Q105" s="25" t="str">
        <f aca="false">IF(OR(O105="",M105=""),"",M105-O105)</f>
        <v/>
      </c>
      <c r="R105" s="33" t="str">
        <f aca="false">IF(Q105="","",Q105*L105)</f>
        <v/>
      </c>
      <c r="S105" s="33" t="n">
        <f aca="false">N105-K105</f>
        <v>0</v>
      </c>
      <c r="T105" s="14" t="s">
        <v>338</v>
      </c>
      <c r="U105" s="14"/>
      <c r="V105" s="23"/>
      <c r="W105" s="24" t="n">
        <f aca="false">L105</f>
        <v>24</v>
      </c>
      <c r="X105" s="25" t="n">
        <f aca="false">M105</f>
        <v>588</v>
      </c>
      <c r="Y105" s="5" t="n">
        <f aca="false">IF(OR(W105="",X105=""),0,W105*X105)</f>
        <v>14112</v>
      </c>
    </row>
    <row r="106" customFormat="false" ht="26.85" hidden="false" customHeight="false" outlineLevel="0" collapsed="false">
      <c r="A106" s="23" t="s">
        <v>335</v>
      </c>
      <c r="B106" s="23" t="s">
        <v>393</v>
      </c>
      <c r="C106" s="14" t="s">
        <v>394</v>
      </c>
      <c r="D106" s="23" t="s">
        <v>141</v>
      </c>
      <c r="E106" s="24"/>
      <c r="F106" s="25"/>
      <c r="G106" s="25" t="str">
        <f aca="false">IF(E106="","",E106*F106)</f>
        <v/>
      </c>
      <c r="H106" s="25"/>
      <c r="I106" s="24" t="n">
        <v>56</v>
      </c>
      <c r="J106" s="25" t="n">
        <v>588</v>
      </c>
      <c r="K106" s="25" t="n">
        <f aca="false">I106*J106</f>
        <v>32928</v>
      </c>
      <c r="L106" s="24" t="n">
        <v>56</v>
      </c>
      <c r="M106" s="25" t="n">
        <v>588</v>
      </c>
      <c r="N106" s="25" t="n">
        <f aca="false">L106*M106</f>
        <v>32928</v>
      </c>
      <c r="O106" s="25"/>
      <c r="P106" s="14"/>
      <c r="Q106" s="25" t="str">
        <f aca="false">IF(OR(O106="",M106=""),"",M106-O106)</f>
        <v/>
      </c>
      <c r="R106" s="33" t="str">
        <f aca="false">IF(Q106="","",Q106*L106)</f>
        <v/>
      </c>
      <c r="S106" s="33" t="n">
        <f aca="false">N106-K106</f>
        <v>0</v>
      </c>
      <c r="T106" s="14" t="s">
        <v>338</v>
      </c>
      <c r="U106" s="14"/>
      <c r="V106" s="23"/>
      <c r="W106" s="24" t="n">
        <f aca="false">L106</f>
        <v>56</v>
      </c>
      <c r="X106" s="25" t="n">
        <f aca="false">M106</f>
        <v>588</v>
      </c>
      <c r="Y106" s="5" t="n">
        <f aca="false">IF(OR(W106="",X106=""),0,W106*X106)</f>
        <v>32928</v>
      </c>
    </row>
    <row r="107" customFormat="false" ht="26.85" hidden="false" customHeight="false" outlineLevel="0" collapsed="false">
      <c r="A107" s="23" t="s">
        <v>335</v>
      </c>
      <c r="B107" s="23" t="s">
        <v>395</v>
      </c>
      <c r="C107" s="14" t="s">
        <v>396</v>
      </c>
      <c r="D107" s="23" t="s">
        <v>141</v>
      </c>
      <c r="E107" s="24"/>
      <c r="F107" s="25"/>
      <c r="G107" s="25" t="str">
        <f aca="false">IF(E107="","",E107*F107)</f>
        <v/>
      </c>
      <c r="H107" s="25"/>
      <c r="I107" s="24" t="n">
        <v>8</v>
      </c>
      <c r="J107" s="25" t="n">
        <v>588</v>
      </c>
      <c r="K107" s="25" t="n">
        <f aca="false">I107*J107</f>
        <v>4704</v>
      </c>
      <c r="L107" s="24" t="n">
        <v>8</v>
      </c>
      <c r="M107" s="25" t="n">
        <v>588</v>
      </c>
      <c r="N107" s="25" t="n">
        <f aca="false">L107*M107</f>
        <v>4704</v>
      </c>
      <c r="O107" s="25"/>
      <c r="P107" s="14"/>
      <c r="Q107" s="25" t="str">
        <f aca="false">IF(OR(O107="",M107=""),"",M107-O107)</f>
        <v/>
      </c>
      <c r="R107" s="33" t="str">
        <f aca="false">IF(Q107="","",Q107*L107)</f>
        <v/>
      </c>
      <c r="S107" s="33" t="n">
        <f aca="false">N107-K107</f>
        <v>0</v>
      </c>
      <c r="T107" s="14" t="s">
        <v>338</v>
      </c>
      <c r="U107" s="14"/>
      <c r="V107" s="23"/>
      <c r="W107" s="24" t="n">
        <f aca="false">L107</f>
        <v>8</v>
      </c>
      <c r="X107" s="25" t="n">
        <f aca="false">M107</f>
        <v>588</v>
      </c>
      <c r="Y107" s="5" t="n">
        <f aca="false">IF(OR(W107="",X107=""),0,W107*X107)</f>
        <v>4704</v>
      </c>
    </row>
    <row r="108" customFormat="false" ht="26.85" hidden="false" customHeight="false" outlineLevel="0" collapsed="false">
      <c r="A108" s="23" t="s">
        <v>335</v>
      </c>
      <c r="B108" s="23" t="s">
        <v>397</v>
      </c>
      <c r="C108" s="14" t="s">
        <v>398</v>
      </c>
      <c r="D108" s="23" t="s">
        <v>141</v>
      </c>
      <c r="E108" s="24"/>
      <c r="F108" s="25"/>
      <c r="G108" s="25" t="str">
        <f aca="false">IF(E108="","",E108*F108)</f>
        <v/>
      </c>
      <c r="H108" s="25"/>
      <c r="I108" s="24" t="n">
        <v>8</v>
      </c>
      <c r="J108" s="25" t="n">
        <v>588</v>
      </c>
      <c r="K108" s="25" t="n">
        <f aca="false">I108*J108</f>
        <v>4704</v>
      </c>
      <c r="L108" s="24" t="n">
        <v>8</v>
      </c>
      <c r="M108" s="25" t="n">
        <v>588</v>
      </c>
      <c r="N108" s="25" t="n">
        <f aca="false">L108*M108</f>
        <v>4704</v>
      </c>
      <c r="O108" s="25"/>
      <c r="P108" s="14"/>
      <c r="Q108" s="25" t="str">
        <f aca="false">IF(OR(O108="",M108=""),"",M108-O108)</f>
        <v/>
      </c>
      <c r="R108" s="33" t="str">
        <f aca="false">IF(Q108="","",Q108*L108)</f>
        <v/>
      </c>
      <c r="S108" s="33" t="n">
        <f aca="false">N108-K108</f>
        <v>0</v>
      </c>
      <c r="T108" s="14" t="s">
        <v>338</v>
      </c>
      <c r="U108" s="14"/>
      <c r="V108" s="23"/>
      <c r="W108" s="24" t="n">
        <f aca="false">L108</f>
        <v>8</v>
      </c>
      <c r="X108" s="25" t="n">
        <f aca="false">M108</f>
        <v>588</v>
      </c>
      <c r="Y108" s="5" t="n">
        <f aca="false">IF(OR(W108="",X108=""),0,W108*X108)</f>
        <v>4704</v>
      </c>
    </row>
    <row r="109" customFormat="false" ht="26.85" hidden="false" customHeight="false" outlineLevel="0" collapsed="false">
      <c r="A109" s="23" t="s">
        <v>335</v>
      </c>
      <c r="B109" s="23" t="s">
        <v>399</v>
      </c>
      <c r="C109" s="14" t="s">
        <v>400</v>
      </c>
      <c r="D109" s="23" t="s">
        <v>141</v>
      </c>
      <c r="E109" s="24"/>
      <c r="F109" s="25"/>
      <c r="G109" s="25" t="str">
        <f aca="false">IF(E109="","",E109*F109)</f>
        <v/>
      </c>
      <c r="H109" s="25"/>
      <c r="I109" s="24" t="n">
        <v>8</v>
      </c>
      <c r="J109" s="25" t="n">
        <v>588</v>
      </c>
      <c r="K109" s="25" t="n">
        <f aca="false">I109*J109</f>
        <v>4704</v>
      </c>
      <c r="L109" s="24" t="n">
        <v>8</v>
      </c>
      <c r="M109" s="25" t="n">
        <v>588</v>
      </c>
      <c r="N109" s="25" t="n">
        <f aca="false">L109*M109</f>
        <v>4704</v>
      </c>
      <c r="O109" s="25"/>
      <c r="P109" s="14"/>
      <c r="Q109" s="25" t="str">
        <f aca="false">IF(OR(O109="",M109=""),"",M109-O109)</f>
        <v/>
      </c>
      <c r="R109" s="33" t="str">
        <f aca="false">IF(Q109="","",Q109*L109)</f>
        <v/>
      </c>
      <c r="S109" s="33" t="n">
        <f aca="false">N109-K109</f>
        <v>0</v>
      </c>
      <c r="T109" s="14" t="s">
        <v>338</v>
      </c>
      <c r="U109" s="14"/>
      <c r="V109" s="23"/>
      <c r="W109" s="24" t="n">
        <f aca="false">L109</f>
        <v>8</v>
      </c>
      <c r="X109" s="25" t="n">
        <f aca="false">M109</f>
        <v>588</v>
      </c>
      <c r="Y109" s="5" t="n">
        <f aca="false">IF(OR(W109="",X109=""),0,W109*X109)</f>
        <v>4704</v>
      </c>
    </row>
    <row r="110" customFormat="false" ht="26.85" hidden="false" customHeight="false" outlineLevel="0" collapsed="false">
      <c r="A110" s="23" t="s">
        <v>335</v>
      </c>
      <c r="B110" s="23" t="s">
        <v>401</v>
      </c>
      <c r="C110" s="14" t="s">
        <v>402</v>
      </c>
      <c r="D110" s="23" t="s">
        <v>356</v>
      </c>
      <c r="E110" s="24"/>
      <c r="F110" s="25"/>
      <c r="G110" s="25" t="str">
        <f aca="false">IF(E110="","",E110*F110)</f>
        <v/>
      </c>
      <c r="H110" s="25"/>
      <c r="I110" s="24" t="n">
        <v>16</v>
      </c>
      <c r="J110" s="25" t="n">
        <v>2100</v>
      </c>
      <c r="K110" s="25" t="n">
        <f aca="false">I110*J110</f>
        <v>33600</v>
      </c>
      <c r="L110" s="24" t="n">
        <v>16</v>
      </c>
      <c r="M110" s="25" t="n">
        <v>2100</v>
      </c>
      <c r="N110" s="25" t="n">
        <f aca="false">L110*M110</f>
        <v>33600</v>
      </c>
      <c r="O110" s="25"/>
      <c r="P110" s="14"/>
      <c r="Q110" s="25" t="str">
        <f aca="false">IF(OR(O110="",M110=""),"",M110-O110)</f>
        <v/>
      </c>
      <c r="R110" s="33" t="str">
        <f aca="false">IF(Q110="","",Q110*L110)</f>
        <v/>
      </c>
      <c r="S110" s="33" t="n">
        <f aca="false">N110-K110</f>
        <v>0</v>
      </c>
      <c r="T110" s="14" t="s">
        <v>338</v>
      </c>
      <c r="U110" s="14" t="s">
        <v>403</v>
      </c>
      <c r="V110" s="23"/>
      <c r="W110" s="24" t="n">
        <f aca="false">L110</f>
        <v>16</v>
      </c>
      <c r="X110" s="25" t="n">
        <f aca="false">M110</f>
        <v>2100</v>
      </c>
      <c r="Y110" s="5" t="n">
        <f aca="false">IF(OR(W110="",X110=""),0,W110*X110)</f>
        <v>33600</v>
      </c>
    </row>
    <row r="111" customFormat="false" ht="39.55" hidden="false" customHeight="false" outlineLevel="0" collapsed="false">
      <c r="A111" s="23" t="s">
        <v>335</v>
      </c>
      <c r="B111" s="23" t="s">
        <v>404</v>
      </c>
      <c r="C111" s="14" t="s">
        <v>405</v>
      </c>
      <c r="D111" s="23" t="s">
        <v>141</v>
      </c>
      <c r="E111" s="24"/>
      <c r="F111" s="25"/>
      <c r="G111" s="25" t="str">
        <f aca="false">IF(E111="","",E111*F111)</f>
        <v/>
      </c>
      <c r="H111" s="25"/>
      <c r="I111" s="24" t="n">
        <v>145</v>
      </c>
      <c r="J111" s="25" t="n">
        <v>420</v>
      </c>
      <c r="K111" s="25" t="n">
        <f aca="false">I111*J111</f>
        <v>60900</v>
      </c>
      <c r="L111" s="24" t="n">
        <v>145</v>
      </c>
      <c r="M111" s="25" t="n">
        <v>420</v>
      </c>
      <c r="N111" s="25" t="n">
        <f aca="false">L111*M111</f>
        <v>60900</v>
      </c>
      <c r="O111" s="25"/>
      <c r="P111" s="14"/>
      <c r="Q111" s="25" t="str">
        <f aca="false">IF(OR(O111="",M111=""),"",M111-O111)</f>
        <v/>
      </c>
      <c r="R111" s="33" t="str">
        <f aca="false">IF(Q111="","",Q111*L111)</f>
        <v/>
      </c>
      <c r="S111" s="33" t="n">
        <f aca="false">N111-K111</f>
        <v>0</v>
      </c>
      <c r="T111" s="14" t="s">
        <v>338</v>
      </c>
      <c r="U111" s="14" t="s">
        <v>406</v>
      </c>
      <c r="V111" s="23"/>
      <c r="W111" s="24" t="n">
        <f aca="false">L111</f>
        <v>145</v>
      </c>
      <c r="X111" s="25" t="n">
        <f aca="false">M111</f>
        <v>420</v>
      </c>
      <c r="Y111" s="5" t="n">
        <f aca="false">IF(OR(W111="",X111=""),0,W111*X111)</f>
        <v>60900</v>
      </c>
    </row>
    <row r="112" customFormat="false" ht="26.85" hidden="false" customHeight="false" outlineLevel="0" collapsed="false">
      <c r="A112" s="23" t="s">
        <v>335</v>
      </c>
      <c r="B112" s="23" t="s">
        <v>407</v>
      </c>
      <c r="C112" s="14" t="s">
        <v>408</v>
      </c>
      <c r="D112" s="23" t="s">
        <v>141</v>
      </c>
      <c r="E112" s="24"/>
      <c r="F112" s="25"/>
      <c r="G112" s="25" t="str">
        <f aca="false">IF(E112="","",E112*F112)</f>
        <v/>
      </c>
      <c r="H112" s="25"/>
      <c r="I112" s="24" t="n">
        <v>267</v>
      </c>
      <c r="J112" s="25" t="n">
        <v>112</v>
      </c>
      <c r="K112" s="25" t="n">
        <f aca="false">I112*J112</f>
        <v>29904</v>
      </c>
      <c r="L112" s="24" t="n">
        <v>267</v>
      </c>
      <c r="M112" s="25" t="n">
        <v>112</v>
      </c>
      <c r="N112" s="25" t="n">
        <f aca="false">L112*M112</f>
        <v>29904</v>
      </c>
      <c r="O112" s="25"/>
      <c r="P112" s="14"/>
      <c r="Q112" s="25" t="str">
        <f aca="false">IF(OR(O112="",M112=""),"",M112-O112)</f>
        <v/>
      </c>
      <c r="R112" s="33" t="str">
        <f aca="false">IF(Q112="","",Q112*L112)</f>
        <v/>
      </c>
      <c r="S112" s="33" t="n">
        <f aca="false">N112-K112</f>
        <v>0</v>
      </c>
      <c r="T112" s="14" t="s">
        <v>338</v>
      </c>
      <c r="U112" s="14" t="s">
        <v>409</v>
      </c>
      <c r="V112" s="23"/>
      <c r="W112" s="24" t="n">
        <f aca="false">L112</f>
        <v>267</v>
      </c>
      <c r="X112" s="25" t="n">
        <f aca="false">M112</f>
        <v>112</v>
      </c>
      <c r="Y112" s="5" t="n">
        <f aca="false">IF(OR(W112="",X112=""),0,W112*X112)</f>
        <v>29904</v>
      </c>
    </row>
    <row r="113" customFormat="false" ht="26.85" hidden="false" customHeight="false" outlineLevel="0" collapsed="false">
      <c r="A113" s="23" t="s">
        <v>335</v>
      </c>
      <c r="B113" s="23" t="s">
        <v>410</v>
      </c>
      <c r="C113" s="14" t="s">
        <v>411</v>
      </c>
      <c r="D113" s="23" t="s">
        <v>141</v>
      </c>
      <c r="E113" s="24"/>
      <c r="F113" s="25"/>
      <c r="G113" s="25" t="str">
        <f aca="false">IF(E113="","",E113*F113)</f>
        <v/>
      </c>
      <c r="H113" s="25"/>
      <c r="I113" s="24" t="n">
        <v>8</v>
      </c>
      <c r="J113" s="25" t="n">
        <v>2800</v>
      </c>
      <c r="K113" s="25" t="n">
        <f aca="false">I113*J113</f>
        <v>22400</v>
      </c>
      <c r="L113" s="24" t="n">
        <v>8</v>
      </c>
      <c r="M113" s="25" t="n">
        <v>2800</v>
      </c>
      <c r="N113" s="25" t="n">
        <f aca="false">L113*M113</f>
        <v>22400</v>
      </c>
      <c r="O113" s="25"/>
      <c r="P113" s="14"/>
      <c r="Q113" s="25" t="str">
        <f aca="false">IF(OR(O113="",M113=""),"",M113-O113)</f>
        <v/>
      </c>
      <c r="R113" s="33" t="str">
        <f aca="false">IF(Q113="","",Q113*L113)</f>
        <v/>
      </c>
      <c r="S113" s="33" t="n">
        <f aca="false">N113-K113</f>
        <v>0</v>
      </c>
      <c r="T113" s="14" t="s">
        <v>338</v>
      </c>
      <c r="U113" s="14" t="s">
        <v>412</v>
      </c>
      <c r="V113" s="23"/>
      <c r="W113" s="24" t="n">
        <f aca="false">L113</f>
        <v>8</v>
      </c>
      <c r="X113" s="25" t="n">
        <f aca="false">M113</f>
        <v>2800</v>
      </c>
      <c r="Y113" s="5" t="n">
        <f aca="false">IF(OR(W113="",X113=""),0,W113*X113)</f>
        <v>22400</v>
      </c>
    </row>
    <row r="114" customFormat="false" ht="15" hidden="false" customHeight="false" outlineLevel="0" collapsed="false">
      <c r="A114" s="31"/>
      <c r="B114" s="32" t="s">
        <v>413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customFormat="false" ht="39.55" hidden="false" customHeight="false" outlineLevel="0" collapsed="false">
      <c r="A115" s="23" t="s">
        <v>414</v>
      </c>
      <c r="B115" s="23" t="s">
        <v>415</v>
      </c>
      <c r="C115" s="14" t="s">
        <v>416</v>
      </c>
      <c r="D115" s="23" t="s">
        <v>141</v>
      </c>
      <c r="E115" s="24"/>
      <c r="F115" s="25"/>
      <c r="G115" s="25" t="str">
        <f aca="false">IF(E115="","",E115*F115)</f>
        <v/>
      </c>
      <c r="H115" s="25"/>
      <c r="I115" s="24" t="n">
        <v>1</v>
      </c>
      <c r="J115" s="25" t="n">
        <v>1296</v>
      </c>
      <c r="K115" s="25" t="n">
        <f aca="false">I115*J115</f>
        <v>1296</v>
      </c>
      <c r="L115" s="24" t="n">
        <v>1</v>
      </c>
      <c r="M115" s="25" t="n">
        <v>1296</v>
      </c>
      <c r="N115" s="25" t="n">
        <f aca="false">L115*M115</f>
        <v>1296</v>
      </c>
      <c r="O115" s="25" t="n">
        <v>1425</v>
      </c>
      <c r="P115" s="14" t="s">
        <v>417</v>
      </c>
      <c r="Q115" s="25" t="n">
        <f aca="false">IF(OR(O115="",M115=""),"",M115-O115)</f>
        <v>-129</v>
      </c>
      <c r="R115" s="33" t="n">
        <f aca="false">IF(Q115="","",Q115*L115)</f>
        <v>-129</v>
      </c>
      <c r="S115" s="33" t="n">
        <f aca="false">N115-K115</f>
        <v>0</v>
      </c>
      <c r="T115" s="14" t="s">
        <v>418</v>
      </c>
      <c r="U115" s="14"/>
      <c r="V115" s="23"/>
      <c r="W115" s="24" t="n">
        <f aca="false">L115</f>
        <v>1</v>
      </c>
      <c r="X115" s="25" t="n">
        <f aca="false">M115</f>
        <v>1296</v>
      </c>
      <c r="Y115" s="5" t="n">
        <f aca="false">IF(OR(W115="",X115=""),0,W115*X115)</f>
        <v>1296</v>
      </c>
    </row>
    <row r="116" customFormat="false" ht="39.55" hidden="false" customHeight="false" outlineLevel="0" collapsed="false">
      <c r="A116" s="23" t="s">
        <v>414</v>
      </c>
      <c r="B116" s="23" t="s">
        <v>419</v>
      </c>
      <c r="C116" s="14" t="s">
        <v>420</v>
      </c>
      <c r="D116" s="23" t="s">
        <v>141</v>
      </c>
      <c r="E116" s="24"/>
      <c r="F116" s="25"/>
      <c r="G116" s="25" t="str">
        <f aca="false">IF(E116="","",E116*F116)</f>
        <v/>
      </c>
      <c r="H116" s="25"/>
      <c r="I116" s="24" t="n">
        <v>4</v>
      </c>
      <c r="J116" s="25" t="n">
        <v>2592</v>
      </c>
      <c r="K116" s="25" t="n">
        <f aca="false">I116*J116</f>
        <v>10368</v>
      </c>
      <c r="L116" s="24" t="n">
        <v>4</v>
      </c>
      <c r="M116" s="25" t="n">
        <v>2592</v>
      </c>
      <c r="N116" s="25" t="n">
        <f aca="false">L116*M116</f>
        <v>10368</v>
      </c>
      <c r="O116" s="25"/>
      <c r="P116" s="14"/>
      <c r="Q116" s="25" t="str">
        <f aca="false">IF(OR(O116="",M116=""),"",M116-O116)</f>
        <v/>
      </c>
      <c r="R116" s="33" t="str">
        <f aca="false">IF(Q116="","",Q116*L116)</f>
        <v/>
      </c>
      <c r="S116" s="33" t="n">
        <f aca="false">N116-K116</f>
        <v>0</v>
      </c>
      <c r="T116" s="14" t="s">
        <v>338</v>
      </c>
      <c r="U116" s="14"/>
      <c r="V116" s="23"/>
      <c r="W116" s="24" t="n">
        <f aca="false">L116</f>
        <v>4</v>
      </c>
      <c r="X116" s="25" t="n">
        <f aca="false">M116</f>
        <v>2592</v>
      </c>
      <c r="Y116" s="5" t="n">
        <f aca="false">IF(OR(W116="",X116=""),0,W116*X116)</f>
        <v>10368</v>
      </c>
    </row>
    <row r="117" customFormat="false" ht="39.55" hidden="false" customHeight="false" outlineLevel="0" collapsed="false">
      <c r="A117" s="23" t="s">
        <v>414</v>
      </c>
      <c r="B117" s="23" t="s">
        <v>421</v>
      </c>
      <c r="C117" s="14" t="s">
        <v>422</v>
      </c>
      <c r="D117" s="23" t="s">
        <v>141</v>
      </c>
      <c r="E117" s="24"/>
      <c r="F117" s="25"/>
      <c r="G117" s="25" t="str">
        <f aca="false">IF(E117="","",E117*F117)</f>
        <v/>
      </c>
      <c r="H117" s="25"/>
      <c r="I117" s="24" t="n">
        <v>2</v>
      </c>
      <c r="J117" s="25" t="n">
        <v>2592</v>
      </c>
      <c r="K117" s="25" t="n">
        <f aca="false">I117*J117</f>
        <v>5184</v>
      </c>
      <c r="L117" s="24" t="n">
        <v>2</v>
      </c>
      <c r="M117" s="25" t="n">
        <v>2592</v>
      </c>
      <c r="N117" s="25" t="n">
        <f aca="false">L117*M117</f>
        <v>5184</v>
      </c>
      <c r="O117" s="25"/>
      <c r="P117" s="14"/>
      <c r="Q117" s="25" t="str">
        <f aca="false">IF(OR(O117="",M117=""),"",M117-O117)</f>
        <v/>
      </c>
      <c r="R117" s="33" t="str">
        <f aca="false">IF(Q117="","",Q117*L117)</f>
        <v/>
      </c>
      <c r="S117" s="33" t="n">
        <f aca="false">N117-K117</f>
        <v>0</v>
      </c>
      <c r="T117" s="14" t="s">
        <v>338</v>
      </c>
      <c r="U117" s="14"/>
      <c r="V117" s="23"/>
      <c r="W117" s="24" t="n">
        <f aca="false">L117</f>
        <v>2</v>
      </c>
      <c r="X117" s="25" t="n">
        <f aca="false">M117</f>
        <v>2592</v>
      </c>
      <c r="Y117" s="5" t="n">
        <f aca="false">IF(OR(W117="",X117=""),0,W117*X117)</f>
        <v>5184</v>
      </c>
    </row>
    <row r="118" customFormat="false" ht="39.55" hidden="false" customHeight="false" outlineLevel="0" collapsed="false">
      <c r="A118" s="23" t="s">
        <v>414</v>
      </c>
      <c r="B118" s="23" t="s">
        <v>423</v>
      </c>
      <c r="C118" s="14" t="s">
        <v>424</v>
      </c>
      <c r="D118" s="23" t="s">
        <v>141</v>
      </c>
      <c r="E118" s="24"/>
      <c r="F118" s="25"/>
      <c r="G118" s="25" t="str">
        <f aca="false">IF(E118="","",E118*F118)</f>
        <v/>
      </c>
      <c r="H118" s="25"/>
      <c r="I118" s="24" t="n">
        <v>12</v>
      </c>
      <c r="J118" s="25" t="n">
        <v>2592</v>
      </c>
      <c r="K118" s="25" t="n">
        <f aca="false">I118*J118</f>
        <v>31104</v>
      </c>
      <c r="L118" s="24" t="n">
        <v>12</v>
      </c>
      <c r="M118" s="25" t="n">
        <v>2592</v>
      </c>
      <c r="N118" s="25" t="n">
        <f aca="false">L118*M118</f>
        <v>31104</v>
      </c>
      <c r="O118" s="25"/>
      <c r="P118" s="14"/>
      <c r="Q118" s="25" t="str">
        <f aca="false">IF(OR(O118="",M118=""),"",M118-O118)</f>
        <v/>
      </c>
      <c r="R118" s="33" t="str">
        <f aca="false">IF(Q118="","",Q118*L118)</f>
        <v/>
      </c>
      <c r="S118" s="33" t="n">
        <f aca="false">N118-K118</f>
        <v>0</v>
      </c>
      <c r="T118" s="14" t="s">
        <v>338</v>
      </c>
      <c r="U118" s="14"/>
      <c r="V118" s="23"/>
      <c r="W118" s="24" t="n">
        <f aca="false">L118</f>
        <v>12</v>
      </c>
      <c r="X118" s="25" t="n">
        <f aca="false">M118</f>
        <v>2592</v>
      </c>
      <c r="Y118" s="5" t="n">
        <f aca="false">IF(OR(W118="",X118=""),0,W118*X118)</f>
        <v>31104</v>
      </c>
    </row>
    <row r="119" customFormat="false" ht="39.55" hidden="false" customHeight="false" outlineLevel="0" collapsed="false">
      <c r="A119" s="23" t="s">
        <v>414</v>
      </c>
      <c r="B119" s="23" t="s">
        <v>425</v>
      </c>
      <c r="C119" s="14" t="s">
        <v>426</v>
      </c>
      <c r="D119" s="23" t="s">
        <v>141</v>
      </c>
      <c r="E119" s="24"/>
      <c r="F119" s="25"/>
      <c r="G119" s="25" t="str">
        <f aca="false">IF(E119="","",E119*F119)</f>
        <v/>
      </c>
      <c r="H119" s="25"/>
      <c r="I119" s="24" t="n">
        <v>10</v>
      </c>
      <c r="J119" s="25" t="n">
        <v>4050</v>
      </c>
      <c r="K119" s="25" t="n">
        <f aca="false">I119*J119</f>
        <v>40500</v>
      </c>
      <c r="L119" s="24" t="n">
        <v>10</v>
      </c>
      <c r="M119" s="25" t="n">
        <v>4000</v>
      </c>
      <c r="N119" s="25" t="n">
        <f aca="false">L119*M119</f>
        <v>40000</v>
      </c>
      <c r="O119" s="25" t="n">
        <v>4000</v>
      </c>
      <c r="P119" s="14" t="s">
        <v>427</v>
      </c>
      <c r="Q119" s="25" t="n">
        <f aca="false">IF(OR(O119="",M119=""),"",M119-O119)</f>
        <v>0</v>
      </c>
      <c r="R119" s="33" t="n">
        <f aca="false">IF(Q119="","",Q119*L119)</f>
        <v>0</v>
      </c>
      <c r="S119" s="33" t="n">
        <f aca="false">N119-K119</f>
        <v>-500</v>
      </c>
      <c r="T119" s="14" t="s">
        <v>42</v>
      </c>
      <c r="U119" s="14" t="s">
        <v>318</v>
      </c>
      <c r="V119" s="23"/>
      <c r="W119" s="24" t="n">
        <f aca="false">L119</f>
        <v>10</v>
      </c>
      <c r="X119" s="25" t="n">
        <f aca="false">M119</f>
        <v>4000</v>
      </c>
      <c r="Y119" s="5" t="n">
        <f aca="false">IF(OR(W119="",X119=""),0,W119*X119)</f>
        <v>40000</v>
      </c>
    </row>
    <row r="120" customFormat="false" ht="39.55" hidden="false" customHeight="false" outlineLevel="0" collapsed="false">
      <c r="A120" s="23" t="s">
        <v>414</v>
      </c>
      <c r="B120" s="23" t="s">
        <v>428</v>
      </c>
      <c r="C120" s="14" t="s">
        <v>429</v>
      </c>
      <c r="D120" s="23" t="s">
        <v>141</v>
      </c>
      <c r="E120" s="24"/>
      <c r="F120" s="25"/>
      <c r="G120" s="25" t="str">
        <f aca="false">IF(E120="","",E120*F120)</f>
        <v/>
      </c>
      <c r="H120" s="25"/>
      <c r="I120" s="24" t="n">
        <v>2</v>
      </c>
      <c r="J120" s="25" t="n">
        <v>4050</v>
      </c>
      <c r="K120" s="25" t="n">
        <f aca="false">I120*J120</f>
        <v>8100</v>
      </c>
      <c r="L120" s="24" t="n">
        <v>2</v>
      </c>
      <c r="M120" s="25" t="n">
        <v>4000</v>
      </c>
      <c r="N120" s="25" t="n">
        <f aca="false">L120*M120</f>
        <v>8000</v>
      </c>
      <c r="O120" s="25" t="n">
        <v>4000</v>
      </c>
      <c r="P120" s="14" t="s">
        <v>427</v>
      </c>
      <c r="Q120" s="25" t="n">
        <f aca="false">IF(OR(O120="",M120=""),"",M120-O120)</f>
        <v>0</v>
      </c>
      <c r="R120" s="33" t="n">
        <f aca="false">IF(Q120="","",Q120*L120)</f>
        <v>0</v>
      </c>
      <c r="S120" s="33" t="n">
        <f aca="false">N120-K120</f>
        <v>-100</v>
      </c>
      <c r="T120" s="14" t="s">
        <v>42</v>
      </c>
      <c r="U120" s="14" t="s">
        <v>318</v>
      </c>
      <c r="V120" s="23"/>
      <c r="W120" s="24" t="n">
        <f aca="false">L120</f>
        <v>2</v>
      </c>
      <c r="X120" s="25" t="n">
        <f aca="false">M120</f>
        <v>4000</v>
      </c>
      <c r="Y120" s="5" t="n">
        <f aca="false">IF(OR(W120="",X120=""),0,W120*X120)</f>
        <v>8000</v>
      </c>
    </row>
    <row r="121" customFormat="false" ht="52.2" hidden="false" customHeight="false" outlineLevel="0" collapsed="false">
      <c r="A121" s="23" t="s">
        <v>414</v>
      </c>
      <c r="B121" s="23" t="s">
        <v>430</v>
      </c>
      <c r="C121" s="14" t="s">
        <v>431</v>
      </c>
      <c r="D121" s="23" t="s">
        <v>141</v>
      </c>
      <c r="E121" s="24"/>
      <c r="F121" s="25"/>
      <c r="G121" s="25" t="str">
        <f aca="false">IF(E121="","",E121*F121)</f>
        <v/>
      </c>
      <c r="H121" s="25"/>
      <c r="I121" s="24" t="n">
        <v>12</v>
      </c>
      <c r="J121" s="25" t="n">
        <v>4860</v>
      </c>
      <c r="K121" s="25" t="n">
        <f aca="false">I121*J121</f>
        <v>58320</v>
      </c>
      <c r="L121" s="24" t="n">
        <v>12</v>
      </c>
      <c r="M121" s="25" t="n">
        <v>1500</v>
      </c>
      <c r="N121" s="25" t="n">
        <f aca="false">L121*M121</f>
        <v>18000</v>
      </c>
      <c r="O121" s="25"/>
      <c r="P121" s="14"/>
      <c r="Q121" s="44" t="str">
        <f aca="false">IF(OR(O121="",M121=""),"",M121-O121)</f>
        <v/>
      </c>
      <c r="R121" s="45" t="str">
        <f aca="false">IF(Q121="","",Q121*L121)</f>
        <v/>
      </c>
      <c r="S121" s="45" t="n">
        <f aca="false">N121-K121</f>
        <v>-40320</v>
      </c>
      <c r="T121" s="46" t="s">
        <v>46</v>
      </c>
      <c r="U121" s="14" t="s">
        <v>432</v>
      </c>
      <c r="V121" s="23"/>
      <c r="W121" s="24" t="n">
        <f aca="false">L121</f>
        <v>12</v>
      </c>
      <c r="X121" s="25" t="n">
        <f aca="false">M121</f>
        <v>1500</v>
      </c>
      <c r="Y121" s="5" t="n">
        <f aca="false">IF(OR(W121="",X121=""),0,W121*X121)</f>
        <v>18000</v>
      </c>
    </row>
    <row r="122" customFormat="false" ht="39.55" hidden="false" customHeight="false" outlineLevel="0" collapsed="false">
      <c r="A122" s="23" t="s">
        <v>414</v>
      </c>
      <c r="B122" s="23" t="s">
        <v>433</v>
      </c>
      <c r="C122" s="14" t="s">
        <v>434</v>
      </c>
      <c r="D122" s="23" t="s">
        <v>141</v>
      </c>
      <c r="E122" s="24"/>
      <c r="F122" s="25"/>
      <c r="G122" s="25" t="str">
        <f aca="false">IF(E122="","",E122*F122)</f>
        <v/>
      </c>
      <c r="H122" s="25"/>
      <c r="I122" s="24" t="n">
        <v>1</v>
      </c>
      <c r="J122" s="25" t="n">
        <v>4860</v>
      </c>
      <c r="K122" s="25" t="n">
        <f aca="false">I122*J122</f>
        <v>4860</v>
      </c>
      <c r="L122" s="24" t="n">
        <v>1</v>
      </c>
      <c r="M122" s="25" t="n">
        <v>4000</v>
      </c>
      <c r="N122" s="25" t="n">
        <f aca="false">L122*M122</f>
        <v>4000</v>
      </c>
      <c r="O122" s="25" t="n">
        <v>4000</v>
      </c>
      <c r="P122" s="14" t="s">
        <v>427</v>
      </c>
      <c r="Q122" s="25" t="n">
        <f aca="false">IF(OR(O122="",M122=""),"",M122-O122)</f>
        <v>0</v>
      </c>
      <c r="R122" s="33" t="n">
        <f aca="false">IF(Q122="","",Q122*L122)</f>
        <v>0</v>
      </c>
      <c r="S122" s="33" t="n">
        <f aca="false">N122-K122</f>
        <v>-860</v>
      </c>
      <c r="T122" s="14" t="s">
        <v>42</v>
      </c>
      <c r="U122" s="14" t="s">
        <v>318</v>
      </c>
      <c r="V122" s="23"/>
      <c r="W122" s="24" t="n">
        <f aca="false">L122</f>
        <v>1</v>
      </c>
      <c r="X122" s="25" t="n">
        <f aca="false">M122</f>
        <v>4000</v>
      </c>
      <c r="Y122" s="5" t="n">
        <f aca="false">IF(OR(W122="",X122=""),0,W122*X122)</f>
        <v>4000</v>
      </c>
    </row>
    <row r="123" customFormat="false" ht="64.9" hidden="false" customHeight="false" outlineLevel="0" collapsed="false">
      <c r="A123" s="23" t="s">
        <v>414</v>
      </c>
      <c r="B123" s="23" t="s">
        <v>435</v>
      </c>
      <c r="C123" s="14" t="s">
        <v>436</v>
      </c>
      <c r="D123" s="23" t="s">
        <v>141</v>
      </c>
      <c r="E123" s="24"/>
      <c r="F123" s="25"/>
      <c r="G123" s="25" t="str">
        <f aca="false">IF(E123="","",E123*F123)</f>
        <v/>
      </c>
      <c r="H123" s="25"/>
      <c r="I123" s="24" t="n">
        <v>1</v>
      </c>
      <c r="J123" s="25" t="n">
        <v>5670</v>
      </c>
      <c r="K123" s="25" t="n">
        <f aca="false">I123*J123</f>
        <v>5670</v>
      </c>
      <c r="L123" s="24" t="n">
        <v>1</v>
      </c>
      <c r="M123" s="25" t="n">
        <v>1500</v>
      </c>
      <c r="N123" s="25" t="n">
        <f aca="false">L123*M123</f>
        <v>1500</v>
      </c>
      <c r="O123" s="25"/>
      <c r="P123" s="14"/>
      <c r="Q123" s="44" t="str">
        <f aca="false">IF(OR(O123="",M123=""),"",M123-O123)</f>
        <v/>
      </c>
      <c r="R123" s="45" t="str">
        <f aca="false">IF(Q123="","",Q123*L123)</f>
        <v/>
      </c>
      <c r="S123" s="45" t="n">
        <f aca="false">N123-K123</f>
        <v>-4170</v>
      </c>
      <c r="T123" s="46" t="s">
        <v>46</v>
      </c>
      <c r="U123" s="14" t="s">
        <v>432</v>
      </c>
      <c r="V123" s="23"/>
      <c r="W123" s="24" t="n">
        <f aca="false">L123</f>
        <v>1</v>
      </c>
      <c r="X123" s="25" t="n">
        <f aca="false">M123</f>
        <v>1500</v>
      </c>
      <c r="Y123" s="5" t="n">
        <f aca="false">IF(OR(W123="",X123=""),0,W123*X123)</f>
        <v>1500</v>
      </c>
    </row>
    <row r="124" customFormat="false" ht="39.55" hidden="false" customHeight="false" outlineLevel="0" collapsed="false">
      <c r="A124" s="23" t="s">
        <v>414</v>
      </c>
      <c r="B124" s="23" t="s">
        <v>437</v>
      </c>
      <c r="C124" s="14" t="s">
        <v>438</v>
      </c>
      <c r="D124" s="23" t="s">
        <v>141</v>
      </c>
      <c r="E124" s="24"/>
      <c r="F124" s="25"/>
      <c r="G124" s="25" t="str">
        <f aca="false">IF(E124="","",E124*F124)</f>
        <v/>
      </c>
      <c r="H124" s="25"/>
      <c r="I124" s="24" t="n">
        <v>1</v>
      </c>
      <c r="J124" s="25" t="n">
        <v>5184</v>
      </c>
      <c r="K124" s="25" t="n">
        <f aca="false">I124*J124</f>
        <v>5184</v>
      </c>
      <c r="L124" s="24" t="n">
        <v>1</v>
      </c>
      <c r="M124" s="25" t="n">
        <v>4000</v>
      </c>
      <c r="N124" s="25" t="n">
        <f aca="false">L124*M124</f>
        <v>4000</v>
      </c>
      <c r="O124" s="25" t="n">
        <v>4000</v>
      </c>
      <c r="P124" s="14" t="s">
        <v>427</v>
      </c>
      <c r="Q124" s="25" t="n">
        <f aca="false">IF(OR(O124="",M124=""),"",M124-O124)</f>
        <v>0</v>
      </c>
      <c r="R124" s="33" t="n">
        <f aca="false">IF(Q124="","",Q124*L124)</f>
        <v>0</v>
      </c>
      <c r="S124" s="33" t="n">
        <f aca="false">N124-K124</f>
        <v>-1184</v>
      </c>
      <c r="T124" s="14" t="s">
        <v>42</v>
      </c>
      <c r="U124" s="14" t="s">
        <v>318</v>
      </c>
      <c r="V124" s="23"/>
      <c r="W124" s="24" t="n">
        <f aca="false">L124</f>
        <v>1</v>
      </c>
      <c r="X124" s="25" t="n">
        <f aca="false">M124</f>
        <v>4000</v>
      </c>
      <c r="Y124" s="5" t="n">
        <f aca="false">IF(OR(W124="",X124=""),0,W124*X124)</f>
        <v>4000</v>
      </c>
    </row>
    <row r="125" customFormat="false" ht="64.9" hidden="false" customHeight="false" outlineLevel="0" collapsed="false">
      <c r="A125" s="23" t="s">
        <v>414</v>
      </c>
      <c r="B125" s="23" t="s">
        <v>439</v>
      </c>
      <c r="C125" s="14" t="s">
        <v>440</v>
      </c>
      <c r="D125" s="23" t="s">
        <v>141</v>
      </c>
      <c r="E125" s="24"/>
      <c r="F125" s="25"/>
      <c r="G125" s="25" t="str">
        <f aca="false">IF(E125="","",E125*F125)</f>
        <v/>
      </c>
      <c r="H125" s="25"/>
      <c r="I125" s="24" t="n">
        <v>1</v>
      </c>
      <c r="J125" s="25" t="n">
        <v>6156</v>
      </c>
      <c r="K125" s="25" t="n">
        <f aca="false">I125*J125</f>
        <v>6156</v>
      </c>
      <c r="L125" s="24" t="n">
        <v>1</v>
      </c>
      <c r="M125" s="25" t="n">
        <v>1500</v>
      </c>
      <c r="N125" s="25" t="n">
        <f aca="false">L125*M125</f>
        <v>1500</v>
      </c>
      <c r="O125" s="25"/>
      <c r="P125" s="14"/>
      <c r="Q125" s="44" t="str">
        <f aca="false">IF(OR(O125="",M125=""),"",M125-O125)</f>
        <v/>
      </c>
      <c r="R125" s="45" t="str">
        <f aca="false">IF(Q125="","",Q125*L125)</f>
        <v/>
      </c>
      <c r="S125" s="45" t="n">
        <f aca="false">N125-K125</f>
        <v>-4656</v>
      </c>
      <c r="T125" s="46" t="s">
        <v>46</v>
      </c>
      <c r="U125" s="14" t="s">
        <v>432</v>
      </c>
      <c r="V125" s="23"/>
      <c r="W125" s="24" t="n">
        <f aca="false">L125</f>
        <v>1</v>
      </c>
      <c r="X125" s="25" t="n">
        <f aca="false">M125</f>
        <v>1500</v>
      </c>
      <c r="Y125" s="5" t="n">
        <f aca="false">IF(OR(W125="",X125=""),0,W125*X125)</f>
        <v>1500</v>
      </c>
    </row>
    <row r="126" customFormat="false" ht="39.55" hidden="false" customHeight="false" outlineLevel="0" collapsed="false">
      <c r="A126" s="23" t="s">
        <v>414</v>
      </c>
      <c r="B126" s="23" t="s">
        <v>441</v>
      </c>
      <c r="C126" s="14" t="s">
        <v>442</v>
      </c>
      <c r="D126" s="23" t="s">
        <v>141</v>
      </c>
      <c r="E126" s="24"/>
      <c r="F126" s="25"/>
      <c r="G126" s="25" t="str">
        <f aca="false">IF(E126="","",E126*F126)</f>
        <v/>
      </c>
      <c r="H126" s="25"/>
      <c r="I126" s="24" t="n">
        <v>1</v>
      </c>
      <c r="J126" s="25" t="n">
        <v>4860</v>
      </c>
      <c r="K126" s="25" t="n">
        <f aca="false">I126*J126</f>
        <v>4860</v>
      </c>
      <c r="L126" s="24" t="n">
        <v>1</v>
      </c>
      <c r="M126" s="25" t="n">
        <v>4000</v>
      </c>
      <c r="N126" s="25" t="n">
        <f aca="false">L126*M126</f>
        <v>4000</v>
      </c>
      <c r="O126" s="25" t="n">
        <v>4000</v>
      </c>
      <c r="P126" s="14" t="s">
        <v>427</v>
      </c>
      <c r="Q126" s="25" t="n">
        <f aca="false">IF(OR(O126="",M126=""),"",M126-O126)</f>
        <v>0</v>
      </c>
      <c r="R126" s="33" t="n">
        <f aca="false">IF(Q126="","",Q126*L126)</f>
        <v>0</v>
      </c>
      <c r="S126" s="33" t="n">
        <f aca="false">N126-K126</f>
        <v>-860</v>
      </c>
      <c r="T126" s="14" t="s">
        <v>42</v>
      </c>
      <c r="U126" s="14" t="s">
        <v>318</v>
      </c>
      <c r="V126" s="23"/>
      <c r="W126" s="24" t="n">
        <f aca="false">L126</f>
        <v>1</v>
      </c>
      <c r="X126" s="25" t="n">
        <f aca="false">M126</f>
        <v>4000</v>
      </c>
      <c r="Y126" s="5" t="n">
        <f aca="false">IF(OR(W126="",X126=""),0,W126*X126)</f>
        <v>4000</v>
      </c>
    </row>
    <row r="127" customFormat="false" ht="52.2" hidden="false" customHeight="false" outlineLevel="0" collapsed="false">
      <c r="A127" s="23" t="s">
        <v>414</v>
      </c>
      <c r="B127" s="23" t="s">
        <v>443</v>
      </c>
      <c r="C127" s="14" t="s">
        <v>444</v>
      </c>
      <c r="D127" s="23" t="s">
        <v>141</v>
      </c>
      <c r="E127" s="24"/>
      <c r="F127" s="25"/>
      <c r="G127" s="25" t="str">
        <f aca="false">IF(E127="","",E127*F127)</f>
        <v/>
      </c>
      <c r="H127" s="25"/>
      <c r="I127" s="24" t="n">
        <v>1</v>
      </c>
      <c r="J127" s="25" t="n">
        <v>6156</v>
      </c>
      <c r="K127" s="25" t="n">
        <f aca="false">I127*J127</f>
        <v>6156</v>
      </c>
      <c r="L127" s="24" t="n">
        <v>1</v>
      </c>
      <c r="M127" s="25" t="n">
        <v>1500</v>
      </c>
      <c r="N127" s="25" t="n">
        <f aca="false">L127*M127</f>
        <v>1500</v>
      </c>
      <c r="O127" s="25"/>
      <c r="P127" s="14"/>
      <c r="Q127" s="44" t="str">
        <f aca="false">IF(OR(O127="",M127=""),"",M127-O127)</f>
        <v/>
      </c>
      <c r="R127" s="45" t="str">
        <f aca="false">IF(Q127="","",Q127*L127)</f>
        <v/>
      </c>
      <c r="S127" s="45" t="n">
        <f aca="false">N127-K127</f>
        <v>-4656</v>
      </c>
      <c r="T127" s="46" t="s">
        <v>46</v>
      </c>
      <c r="U127" s="14" t="s">
        <v>432</v>
      </c>
      <c r="V127" s="23"/>
      <c r="W127" s="24" t="n">
        <f aca="false">L127</f>
        <v>1</v>
      </c>
      <c r="X127" s="25" t="n">
        <f aca="false">M127</f>
        <v>1500</v>
      </c>
      <c r="Y127" s="5" t="n">
        <f aca="false">IF(OR(W127="",X127=""),0,W127*X127)</f>
        <v>1500</v>
      </c>
    </row>
    <row r="128" customFormat="false" ht="39.55" hidden="false" customHeight="false" outlineLevel="0" collapsed="false">
      <c r="A128" s="23" t="s">
        <v>414</v>
      </c>
      <c r="B128" s="23" t="s">
        <v>445</v>
      </c>
      <c r="C128" s="14" t="s">
        <v>446</v>
      </c>
      <c r="D128" s="23" t="s">
        <v>141</v>
      </c>
      <c r="E128" s="24"/>
      <c r="F128" s="25"/>
      <c r="G128" s="25" t="str">
        <f aca="false">IF(E128="","",E128*F128)</f>
        <v/>
      </c>
      <c r="H128" s="25"/>
      <c r="I128" s="24" t="n">
        <v>1</v>
      </c>
      <c r="J128" s="25" t="n">
        <v>1020</v>
      </c>
      <c r="K128" s="25" t="n">
        <f aca="false">I128*J128</f>
        <v>1020</v>
      </c>
      <c r="L128" s="24" t="n">
        <v>1</v>
      </c>
      <c r="M128" s="25" t="n">
        <v>950</v>
      </c>
      <c r="N128" s="25" t="n">
        <f aca="false">L128*M128</f>
        <v>950</v>
      </c>
      <c r="O128" s="25" t="n">
        <v>950</v>
      </c>
      <c r="P128" s="14" t="s">
        <v>447</v>
      </c>
      <c r="Q128" s="25" t="n">
        <f aca="false">IF(OR(O128="",M128=""),"",M128-O128)</f>
        <v>0</v>
      </c>
      <c r="R128" s="33" t="n">
        <f aca="false">IF(Q128="","",Q128*L128)</f>
        <v>0</v>
      </c>
      <c r="S128" s="33" t="n">
        <f aca="false">N128-K128</f>
        <v>-70</v>
      </c>
      <c r="T128" s="14" t="s">
        <v>42</v>
      </c>
      <c r="U128" s="14" t="s">
        <v>318</v>
      </c>
      <c r="V128" s="23"/>
      <c r="W128" s="24" t="n">
        <f aca="false">L128</f>
        <v>1</v>
      </c>
      <c r="X128" s="25" t="n">
        <f aca="false">M128</f>
        <v>950</v>
      </c>
      <c r="Y128" s="5" t="n">
        <f aca="false">IF(OR(W128="",X128=""),0,W128*X128)</f>
        <v>950</v>
      </c>
    </row>
    <row r="129" customFormat="false" ht="39.55" hidden="false" customHeight="false" outlineLevel="0" collapsed="false">
      <c r="A129" s="23" t="s">
        <v>414</v>
      </c>
      <c r="B129" s="23" t="s">
        <v>448</v>
      </c>
      <c r="C129" s="14" t="s">
        <v>449</v>
      </c>
      <c r="D129" s="23" t="s">
        <v>363</v>
      </c>
      <c r="E129" s="24"/>
      <c r="F129" s="25"/>
      <c r="G129" s="25" t="str">
        <f aca="false">IF(E129="","",E129*F129)</f>
        <v/>
      </c>
      <c r="H129" s="25"/>
      <c r="I129" s="24" t="n">
        <v>2</v>
      </c>
      <c r="J129" s="25" t="n">
        <v>1134</v>
      </c>
      <c r="K129" s="25" t="n">
        <f aca="false">I129*J129</f>
        <v>2268</v>
      </c>
      <c r="L129" s="24" t="n">
        <v>2</v>
      </c>
      <c r="M129" s="25" t="n">
        <v>760</v>
      </c>
      <c r="N129" s="25" t="n">
        <f aca="false">L129*M129</f>
        <v>1520</v>
      </c>
      <c r="O129" s="25" t="n">
        <v>760</v>
      </c>
      <c r="P129" s="14" t="s">
        <v>450</v>
      </c>
      <c r="Q129" s="25" t="n">
        <f aca="false">IF(OR(O129="",M129=""),"",M129-O129)</f>
        <v>0</v>
      </c>
      <c r="R129" s="33" t="n">
        <f aca="false">IF(Q129="","",Q129*L129)</f>
        <v>0</v>
      </c>
      <c r="S129" s="33" t="n">
        <f aca="false">N129-K129</f>
        <v>-748</v>
      </c>
      <c r="T129" s="14" t="s">
        <v>42</v>
      </c>
      <c r="U129" s="14" t="s">
        <v>318</v>
      </c>
      <c r="V129" s="23"/>
      <c r="W129" s="24" t="n">
        <f aca="false">L129</f>
        <v>2</v>
      </c>
      <c r="X129" s="25" t="n">
        <f aca="false">M129</f>
        <v>760</v>
      </c>
      <c r="Y129" s="5" t="n">
        <f aca="false">IF(OR(W129="",X129=""),0,W129*X129)</f>
        <v>1520</v>
      </c>
    </row>
    <row r="130" customFormat="false" ht="39.55" hidden="false" customHeight="false" outlineLevel="0" collapsed="false">
      <c r="A130" s="23" t="s">
        <v>414</v>
      </c>
      <c r="B130" s="23" t="s">
        <v>451</v>
      </c>
      <c r="C130" s="14" t="s">
        <v>452</v>
      </c>
      <c r="D130" s="23" t="s">
        <v>363</v>
      </c>
      <c r="E130" s="24"/>
      <c r="F130" s="25"/>
      <c r="G130" s="25" t="str">
        <f aca="false">IF(E130="","",E130*F130)</f>
        <v/>
      </c>
      <c r="H130" s="25"/>
      <c r="I130" s="24" t="n">
        <v>2</v>
      </c>
      <c r="J130" s="25" t="n">
        <v>1134</v>
      </c>
      <c r="K130" s="25" t="n">
        <f aca="false">I130*J130</f>
        <v>2268</v>
      </c>
      <c r="L130" s="24" t="n">
        <v>2</v>
      </c>
      <c r="M130" s="25" t="n">
        <v>760</v>
      </c>
      <c r="N130" s="25" t="n">
        <f aca="false">L130*M130</f>
        <v>1520</v>
      </c>
      <c r="O130" s="25" t="n">
        <v>760</v>
      </c>
      <c r="P130" s="14" t="s">
        <v>450</v>
      </c>
      <c r="Q130" s="25" t="n">
        <f aca="false">IF(OR(O130="",M130=""),"",M130-O130)</f>
        <v>0</v>
      </c>
      <c r="R130" s="33" t="n">
        <f aca="false">IF(Q130="","",Q130*L130)</f>
        <v>0</v>
      </c>
      <c r="S130" s="33" t="n">
        <f aca="false">N130-K130</f>
        <v>-748</v>
      </c>
      <c r="T130" s="14" t="s">
        <v>42</v>
      </c>
      <c r="U130" s="14" t="s">
        <v>318</v>
      </c>
      <c r="V130" s="23"/>
      <c r="W130" s="24" t="n">
        <f aca="false">L130</f>
        <v>2</v>
      </c>
      <c r="X130" s="25" t="n">
        <f aca="false">M130</f>
        <v>760</v>
      </c>
      <c r="Y130" s="5" t="n">
        <f aca="false">IF(OR(W130="",X130=""),0,W130*X130)</f>
        <v>1520</v>
      </c>
    </row>
    <row r="131" customFormat="false" ht="39.55" hidden="false" customHeight="false" outlineLevel="0" collapsed="false">
      <c r="A131" s="23" t="s">
        <v>414</v>
      </c>
      <c r="B131" s="23" t="s">
        <v>453</v>
      </c>
      <c r="C131" s="14" t="s">
        <v>454</v>
      </c>
      <c r="D131" s="23" t="s">
        <v>363</v>
      </c>
      <c r="E131" s="24"/>
      <c r="F131" s="25"/>
      <c r="G131" s="25" t="str">
        <f aca="false">IF(E131="","",E131*F131)</f>
        <v/>
      </c>
      <c r="H131" s="25"/>
      <c r="I131" s="24" t="n">
        <v>6</v>
      </c>
      <c r="J131" s="25" t="n">
        <v>1134</v>
      </c>
      <c r="K131" s="25" t="n">
        <f aca="false">I131*J131</f>
        <v>6804</v>
      </c>
      <c r="L131" s="24" t="n">
        <v>6</v>
      </c>
      <c r="M131" s="25" t="n">
        <v>760</v>
      </c>
      <c r="N131" s="25" t="n">
        <f aca="false">L131*M131</f>
        <v>4560</v>
      </c>
      <c r="O131" s="25" t="n">
        <v>760</v>
      </c>
      <c r="P131" s="14" t="s">
        <v>450</v>
      </c>
      <c r="Q131" s="25" t="n">
        <f aca="false">IF(OR(O131="",M131=""),"",M131-O131)</f>
        <v>0</v>
      </c>
      <c r="R131" s="33" t="n">
        <f aca="false">IF(Q131="","",Q131*L131)</f>
        <v>0</v>
      </c>
      <c r="S131" s="33" t="n">
        <f aca="false">N131-K131</f>
        <v>-2244</v>
      </c>
      <c r="T131" s="14" t="s">
        <v>42</v>
      </c>
      <c r="U131" s="14" t="s">
        <v>318</v>
      </c>
      <c r="V131" s="23"/>
      <c r="W131" s="24" t="n">
        <f aca="false">L131</f>
        <v>6</v>
      </c>
      <c r="X131" s="25" t="n">
        <f aca="false">M131</f>
        <v>760</v>
      </c>
      <c r="Y131" s="5" t="n">
        <f aca="false">IF(OR(W131="",X131=""),0,W131*X131)</f>
        <v>4560</v>
      </c>
    </row>
    <row r="132" customFormat="false" ht="39.55" hidden="false" customHeight="false" outlineLevel="0" collapsed="false">
      <c r="A132" s="23" t="s">
        <v>414</v>
      </c>
      <c r="B132" s="23" t="s">
        <v>455</v>
      </c>
      <c r="C132" s="14" t="s">
        <v>456</v>
      </c>
      <c r="D132" s="23" t="s">
        <v>363</v>
      </c>
      <c r="E132" s="24"/>
      <c r="F132" s="25"/>
      <c r="G132" s="25" t="str">
        <f aca="false">IF(E132="","",E132*F132)</f>
        <v/>
      </c>
      <c r="H132" s="25"/>
      <c r="I132" s="24" t="n">
        <v>6</v>
      </c>
      <c r="J132" s="25" t="n">
        <v>1134</v>
      </c>
      <c r="K132" s="25" t="n">
        <f aca="false">I132*J132</f>
        <v>6804</v>
      </c>
      <c r="L132" s="24" t="n">
        <v>6</v>
      </c>
      <c r="M132" s="25" t="n">
        <v>760</v>
      </c>
      <c r="N132" s="25" t="n">
        <f aca="false">L132*M132</f>
        <v>4560</v>
      </c>
      <c r="O132" s="25" t="n">
        <v>760</v>
      </c>
      <c r="P132" s="14" t="s">
        <v>450</v>
      </c>
      <c r="Q132" s="25" t="n">
        <f aca="false">IF(OR(O132="",M132=""),"",M132-O132)</f>
        <v>0</v>
      </c>
      <c r="R132" s="33" t="n">
        <f aca="false">IF(Q132="","",Q132*L132)</f>
        <v>0</v>
      </c>
      <c r="S132" s="33" t="n">
        <f aca="false">N132-K132</f>
        <v>-2244</v>
      </c>
      <c r="T132" s="14" t="s">
        <v>42</v>
      </c>
      <c r="U132" s="14" t="s">
        <v>318</v>
      </c>
      <c r="V132" s="23"/>
      <c r="W132" s="24" t="n">
        <f aca="false">L132</f>
        <v>6</v>
      </c>
      <c r="X132" s="25" t="n">
        <f aca="false">M132</f>
        <v>760</v>
      </c>
      <c r="Y132" s="5" t="n">
        <f aca="false">IF(OR(W132="",X132=""),0,W132*X132)</f>
        <v>4560</v>
      </c>
    </row>
    <row r="133" customFormat="false" ht="39.55" hidden="false" customHeight="false" outlineLevel="0" collapsed="false">
      <c r="A133" s="23" t="s">
        <v>414</v>
      </c>
      <c r="B133" s="23" t="s">
        <v>457</v>
      </c>
      <c r="C133" s="14" t="s">
        <v>458</v>
      </c>
      <c r="D133" s="23" t="s">
        <v>363</v>
      </c>
      <c r="E133" s="24"/>
      <c r="F133" s="25"/>
      <c r="G133" s="25" t="str">
        <f aca="false">IF(E133="","",E133*F133)</f>
        <v/>
      </c>
      <c r="H133" s="25"/>
      <c r="I133" s="24" t="n">
        <v>1</v>
      </c>
      <c r="J133" s="25" t="n">
        <v>1134</v>
      </c>
      <c r="K133" s="25" t="n">
        <f aca="false">I133*J133</f>
        <v>1134</v>
      </c>
      <c r="L133" s="24" t="n">
        <v>1</v>
      </c>
      <c r="M133" s="25" t="n">
        <v>760</v>
      </c>
      <c r="N133" s="25" t="n">
        <f aca="false">L133*M133</f>
        <v>760</v>
      </c>
      <c r="O133" s="25" t="n">
        <v>760</v>
      </c>
      <c r="P133" s="14" t="s">
        <v>450</v>
      </c>
      <c r="Q133" s="25" t="n">
        <f aca="false">IF(OR(O133="",M133=""),"",M133-O133)</f>
        <v>0</v>
      </c>
      <c r="R133" s="33" t="n">
        <f aca="false">IF(Q133="","",Q133*L133)</f>
        <v>0</v>
      </c>
      <c r="S133" s="33" t="n">
        <f aca="false">N133-K133</f>
        <v>-374</v>
      </c>
      <c r="T133" s="14" t="s">
        <v>42</v>
      </c>
      <c r="U133" s="14" t="s">
        <v>318</v>
      </c>
      <c r="V133" s="23"/>
      <c r="W133" s="24" t="n">
        <f aca="false">L133</f>
        <v>1</v>
      </c>
      <c r="X133" s="25" t="n">
        <f aca="false">M133</f>
        <v>760</v>
      </c>
      <c r="Y133" s="5" t="n">
        <f aca="false">IF(OR(W133="",X133=""),0,W133*X133)</f>
        <v>760</v>
      </c>
    </row>
    <row r="134" customFormat="false" ht="39.55" hidden="false" customHeight="false" outlineLevel="0" collapsed="false">
      <c r="A134" s="23" t="s">
        <v>414</v>
      </c>
      <c r="B134" s="23" t="s">
        <v>459</v>
      </c>
      <c r="C134" s="14" t="s">
        <v>460</v>
      </c>
      <c r="D134" s="23" t="s">
        <v>363</v>
      </c>
      <c r="E134" s="24"/>
      <c r="F134" s="25"/>
      <c r="G134" s="25" t="str">
        <f aca="false">IF(E134="","",E134*F134)</f>
        <v/>
      </c>
      <c r="H134" s="25"/>
      <c r="I134" s="24" t="n">
        <v>1</v>
      </c>
      <c r="J134" s="25" t="n">
        <v>1134</v>
      </c>
      <c r="K134" s="25" t="n">
        <f aca="false">I134*J134</f>
        <v>1134</v>
      </c>
      <c r="L134" s="24" t="n">
        <v>1</v>
      </c>
      <c r="M134" s="25" t="n">
        <v>760</v>
      </c>
      <c r="N134" s="25" t="n">
        <f aca="false">L134*M134</f>
        <v>760</v>
      </c>
      <c r="O134" s="25" t="n">
        <v>760</v>
      </c>
      <c r="P134" s="14" t="s">
        <v>450</v>
      </c>
      <c r="Q134" s="25" t="n">
        <f aca="false">IF(OR(O134="",M134=""),"",M134-O134)</f>
        <v>0</v>
      </c>
      <c r="R134" s="33" t="n">
        <f aca="false">IF(Q134="","",Q134*L134)</f>
        <v>0</v>
      </c>
      <c r="S134" s="33" t="n">
        <f aca="false">N134-K134</f>
        <v>-374</v>
      </c>
      <c r="T134" s="14" t="s">
        <v>42</v>
      </c>
      <c r="U134" s="14" t="s">
        <v>318</v>
      </c>
      <c r="V134" s="23"/>
      <c r="W134" s="24" t="n">
        <f aca="false">L134</f>
        <v>1</v>
      </c>
      <c r="X134" s="25" t="n">
        <f aca="false">M134</f>
        <v>760</v>
      </c>
      <c r="Y134" s="5" t="n">
        <f aca="false">IF(OR(W134="",X134=""),0,W134*X134)</f>
        <v>760</v>
      </c>
    </row>
    <row r="135" customFormat="false" ht="39.55" hidden="false" customHeight="false" outlineLevel="0" collapsed="false">
      <c r="A135" s="23" t="s">
        <v>414</v>
      </c>
      <c r="B135" s="23" t="s">
        <v>461</v>
      </c>
      <c r="C135" s="14" t="s">
        <v>462</v>
      </c>
      <c r="D135" s="23" t="s">
        <v>363</v>
      </c>
      <c r="E135" s="24"/>
      <c r="F135" s="25"/>
      <c r="G135" s="25" t="str">
        <f aca="false">IF(E135="","",E135*F135)</f>
        <v/>
      </c>
      <c r="H135" s="25"/>
      <c r="I135" s="24" t="n">
        <v>6</v>
      </c>
      <c r="J135" s="25" t="n">
        <v>1134</v>
      </c>
      <c r="K135" s="25" t="n">
        <f aca="false">I135*J135</f>
        <v>6804</v>
      </c>
      <c r="L135" s="24" t="n">
        <v>6</v>
      </c>
      <c r="M135" s="25" t="n">
        <v>760</v>
      </c>
      <c r="N135" s="25" t="n">
        <f aca="false">L135*M135</f>
        <v>4560</v>
      </c>
      <c r="O135" s="25" t="n">
        <v>760</v>
      </c>
      <c r="P135" s="14" t="s">
        <v>450</v>
      </c>
      <c r="Q135" s="25" t="n">
        <f aca="false">IF(OR(O135="",M135=""),"",M135-O135)</f>
        <v>0</v>
      </c>
      <c r="R135" s="33" t="n">
        <f aca="false">IF(Q135="","",Q135*L135)</f>
        <v>0</v>
      </c>
      <c r="S135" s="33" t="n">
        <f aca="false">N135-K135</f>
        <v>-2244</v>
      </c>
      <c r="T135" s="14" t="s">
        <v>42</v>
      </c>
      <c r="U135" s="14" t="s">
        <v>318</v>
      </c>
      <c r="V135" s="23"/>
      <c r="W135" s="24" t="n">
        <f aca="false">L135</f>
        <v>6</v>
      </c>
      <c r="X135" s="25" t="n">
        <f aca="false">M135</f>
        <v>760</v>
      </c>
      <c r="Y135" s="5" t="n">
        <f aca="false">IF(OR(W135="",X135=""),0,W135*X135)</f>
        <v>4560</v>
      </c>
    </row>
    <row r="136" customFormat="false" ht="39.55" hidden="false" customHeight="false" outlineLevel="0" collapsed="false">
      <c r="A136" s="23" t="s">
        <v>414</v>
      </c>
      <c r="B136" s="23" t="s">
        <v>463</v>
      </c>
      <c r="C136" s="14" t="s">
        <v>464</v>
      </c>
      <c r="D136" s="23" t="s">
        <v>363</v>
      </c>
      <c r="E136" s="24"/>
      <c r="F136" s="25"/>
      <c r="G136" s="25" t="str">
        <f aca="false">IF(E136="","",E136*F136)</f>
        <v/>
      </c>
      <c r="H136" s="25"/>
      <c r="I136" s="24" t="n">
        <v>6</v>
      </c>
      <c r="J136" s="25" t="n">
        <v>1134</v>
      </c>
      <c r="K136" s="25" t="n">
        <f aca="false">I136*J136</f>
        <v>6804</v>
      </c>
      <c r="L136" s="24" t="n">
        <v>6</v>
      </c>
      <c r="M136" s="25" t="n">
        <v>760</v>
      </c>
      <c r="N136" s="25" t="n">
        <f aca="false">L136*M136</f>
        <v>4560</v>
      </c>
      <c r="O136" s="25" t="n">
        <v>760</v>
      </c>
      <c r="P136" s="14" t="s">
        <v>450</v>
      </c>
      <c r="Q136" s="25" t="n">
        <f aca="false">IF(OR(O136="",M136=""),"",M136-O136)</f>
        <v>0</v>
      </c>
      <c r="R136" s="33" t="n">
        <f aca="false">IF(Q136="","",Q136*L136)</f>
        <v>0</v>
      </c>
      <c r="S136" s="33" t="n">
        <f aca="false">N136-K136</f>
        <v>-2244</v>
      </c>
      <c r="T136" s="14" t="s">
        <v>42</v>
      </c>
      <c r="U136" s="14" t="s">
        <v>318</v>
      </c>
      <c r="V136" s="23"/>
      <c r="W136" s="24" t="n">
        <f aca="false">L136</f>
        <v>6</v>
      </c>
      <c r="X136" s="25" t="n">
        <f aca="false">M136</f>
        <v>760</v>
      </c>
      <c r="Y136" s="5" t="n">
        <f aca="false">IF(OR(W136="",X136=""),0,W136*X136)</f>
        <v>4560</v>
      </c>
    </row>
    <row r="137" customFormat="false" ht="39.55" hidden="false" customHeight="false" outlineLevel="0" collapsed="false">
      <c r="A137" s="23" t="s">
        <v>414</v>
      </c>
      <c r="B137" s="23" t="s">
        <v>465</v>
      </c>
      <c r="C137" s="14" t="s">
        <v>466</v>
      </c>
      <c r="D137" s="23" t="s">
        <v>363</v>
      </c>
      <c r="E137" s="24"/>
      <c r="F137" s="25"/>
      <c r="G137" s="25" t="str">
        <f aca="false">IF(E137="","",E137*F137)</f>
        <v/>
      </c>
      <c r="H137" s="25"/>
      <c r="I137" s="24" t="n">
        <v>19</v>
      </c>
      <c r="J137" s="25" t="n">
        <v>1360.8</v>
      </c>
      <c r="K137" s="25" t="n">
        <f aca="false">I137*J137</f>
        <v>25855.2</v>
      </c>
      <c r="L137" s="24" t="n">
        <v>19</v>
      </c>
      <c r="M137" s="25" t="n">
        <v>950</v>
      </c>
      <c r="N137" s="25" t="n">
        <f aca="false">L137*M137</f>
        <v>18050</v>
      </c>
      <c r="O137" s="25" t="n">
        <v>950</v>
      </c>
      <c r="P137" s="14" t="s">
        <v>467</v>
      </c>
      <c r="Q137" s="25" t="n">
        <f aca="false">IF(OR(O137="",M137=""),"",M137-O137)</f>
        <v>0</v>
      </c>
      <c r="R137" s="33" t="n">
        <f aca="false">IF(Q137="","",Q137*L137)</f>
        <v>0</v>
      </c>
      <c r="S137" s="33" t="n">
        <f aca="false">N137-K137</f>
        <v>-7805.2</v>
      </c>
      <c r="T137" s="14" t="s">
        <v>42</v>
      </c>
      <c r="U137" s="14" t="s">
        <v>318</v>
      </c>
      <c r="V137" s="23"/>
      <c r="W137" s="24" t="n">
        <f aca="false">L137</f>
        <v>19</v>
      </c>
      <c r="X137" s="25" t="n">
        <f aca="false">M137</f>
        <v>950</v>
      </c>
      <c r="Y137" s="5" t="n">
        <f aca="false">IF(OR(W137="",X137=""),0,W137*X137)</f>
        <v>18050</v>
      </c>
    </row>
    <row r="138" customFormat="false" ht="26.85" hidden="false" customHeight="false" outlineLevel="0" collapsed="false">
      <c r="A138" s="23" t="s">
        <v>414</v>
      </c>
      <c r="B138" s="23" t="s">
        <v>468</v>
      </c>
      <c r="C138" s="14" t="s">
        <v>469</v>
      </c>
      <c r="D138" s="23" t="s">
        <v>363</v>
      </c>
      <c r="E138" s="24"/>
      <c r="F138" s="25"/>
      <c r="G138" s="25" t="str">
        <f aca="false">IF(E138="","",E138*F138)</f>
        <v/>
      </c>
      <c r="H138" s="25"/>
      <c r="I138" s="24" t="n">
        <v>7</v>
      </c>
      <c r="J138" s="25" t="n">
        <v>1360.8</v>
      </c>
      <c r="K138" s="25" t="n">
        <f aca="false">I138*J138</f>
        <v>9525.6</v>
      </c>
      <c r="L138" s="24" t="n">
        <v>7</v>
      </c>
      <c r="M138" s="25" t="n">
        <v>689.79</v>
      </c>
      <c r="N138" s="25" t="n">
        <f aca="false">L138*M138</f>
        <v>4828.53</v>
      </c>
      <c r="O138" s="25"/>
      <c r="P138" s="14"/>
      <c r="Q138" s="44" t="str">
        <f aca="false">IF(OR(O138="",M138=""),"",M138-O138)</f>
        <v/>
      </c>
      <c r="R138" s="45" t="str">
        <f aca="false">IF(Q138="","",Q138*L138)</f>
        <v/>
      </c>
      <c r="S138" s="45" t="n">
        <f aca="false">N138-K138</f>
        <v>-4697.07</v>
      </c>
      <c r="T138" s="46" t="s">
        <v>46</v>
      </c>
      <c r="U138" s="14" t="s">
        <v>318</v>
      </c>
      <c r="V138" s="23"/>
      <c r="W138" s="24" t="n">
        <f aca="false">L138</f>
        <v>7</v>
      </c>
      <c r="X138" s="25" t="n">
        <f aca="false">M138</f>
        <v>689.79</v>
      </c>
      <c r="Y138" s="5" t="n">
        <f aca="false">IF(OR(W138="",X138=""),0,W138*X138)</f>
        <v>4828.53</v>
      </c>
    </row>
    <row r="139" customFormat="false" ht="26.85" hidden="false" customHeight="false" outlineLevel="0" collapsed="false">
      <c r="A139" s="23" t="s">
        <v>414</v>
      </c>
      <c r="B139" s="23" t="s">
        <v>470</v>
      </c>
      <c r="C139" s="14" t="s">
        <v>471</v>
      </c>
      <c r="D139" s="23" t="s">
        <v>363</v>
      </c>
      <c r="E139" s="24"/>
      <c r="F139" s="25"/>
      <c r="G139" s="25" t="str">
        <f aca="false">IF(E139="","",E139*F139)</f>
        <v/>
      </c>
      <c r="H139" s="25"/>
      <c r="I139" s="24" t="n">
        <v>40</v>
      </c>
      <c r="J139" s="25" t="n">
        <v>1360.8</v>
      </c>
      <c r="K139" s="25" t="n">
        <f aca="false">I139*J139</f>
        <v>54432</v>
      </c>
      <c r="L139" s="24" t="n">
        <v>40</v>
      </c>
      <c r="M139" s="25" t="n">
        <v>862.23</v>
      </c>
      <c r="N139" s="25" t="n">
        <f aca="false">L139*M139</f>
        <v>34489.2</v>
      </c>
      <c r="O139" s="25" t="n">
        <v>689.79</v>
      </c>
      <c r="P139" s="14" t="s">
        <v>472</v>
      </c>
      <c r="Q139" s="25" t="n">
        <f aca="false">IF(OR(O139="",M139=""),"",M139-O139)</f>
        <v>172.44</v>
      </c>
      <c r="R139" s="33" t="n">
        <f aca="false">IF(Q139="","",Q139*L139)</f>
        <v>6897.6</v>
      </c>
      <c r="S139" s="33" t="n">
        <f aca="false">N139-K139</f>
        <v>-19942.8</v>
      </c>
      <c r="T139" s="14" t="s">
        <v>44</v>
      </c>
      <c r="U139" s="14" t="s">
        <v>318</v>
      </c>
      <c r="V139" s="23"/>
      <c r="W139" s="24" t="n">
        <f aca="false">L139</f>
        <v>40</v>
      </c>
      <c r="X139" s="25" t="n">
        <f aca="false">M139</f>
        <v>862.23</v>
      </c>
      <c r="Y139" s="5" t="n">
        <f aca="false">IF(OR(W139="",X139=""),0,W139*X139)</f>
        <v>34489.2</v>
      </c>
    </row>
    <row r="140" customFormat="false" ht="26.85" hidden="false" customHeight="false" outlineLevel="0" collapsed="false">
      <c r="A140" s="23" t="s">
        <v>414</v>
      </c>
      <c r="B140" s="23" t="s">
        <v>473</v>
      </c>
      <c r="C140" s="14" t="s">
        <v>474</v>
      </c>
      <c r="D140" s="23" t="s">
        <v>363</v>
      </c>
      <c r="E140" s="24"/>
      <c r="F140" s="25"/>
      <c r="G140" s="25" t="str">
        <f aca="false">IF(E140="","",E140*F140)</f>
        <v/>
      </c>
      <c r="H140" s="25"/>
      <c r="I140" s="24" t="n">
        <v>15</v>
      </c>
      <c r="J140" s="25" t="n">
        <v>1360.8</v>
      </c>
      <c r="K140" s="25" t="n">
        <f aca="false">I140*J140</f>
        <v>20412</v>
      </c>
      <c r="L140" s="24" t="n">
        <v>15</v>
      </c>
      <c r="M140" s="25" t="n">
        <v>1077.79</v>
      </c>
      <c r="N140" s="25" t="n">
        <f aca="false">L140*M140</f>
        <v>16166.85</v>
      </c>
      <c r="O140" s="25" t="n">
        <v>862.23</v>
      </c>
      <c r="P140" s="14" t="s">
        <v>475</v>
      </c>
      <c r="Q140" s="25" t="n">
        <f aca="false">IF(OR(O140="",M140=""),"",M140-O140)</f>
        <v>215.56</v>
      </c>
      <c r="R140" s="33" t="n">
        <f aca="false">IF(Q140="","",Q140*L140)</f>
        <v>3233.4</v>
      </c>
      <c r="S140" s="33" t="n">
        <f aca="false">N140-K140</f>
        <v>-4245.15</v>
      </c>
      <c r="T140" s="14" t="s">
        <v>44</v>
      </c>
      <c r="U140" s="14" t="s">
        <v>318</v>
      </c>
      <c r="V140" s="23"/>
      <c r="W140" s="24" t="n">
        <f aca="false">L140</f>
        <v>15</v>
      </c>
      <c r="X140" s="25" t="n">
        <f aca="false">M140</f>
        <v>1077.79</v>
      </c>
      <c r="Y140" s="5" t="n">
        <f aca="false">IF(OR(W140="",X140=""),0,W140*X140)</f>
        <v>16166.85</v>
      </c>
    </row>
    <row r="141" customFormat="false" ht="26.85" hidden="false" customHeight="false" outlineLevel="0" collapsed="false">
      <c r="A141" s="23" t="s">
        <v>414</v>
      </c>
      <c r="B141" s="23" t="s">
        <v>476</v>
      </c>
      <c r="C141" s="14" t="s">
        <v>477</v>
      </c>
      <c r="D141" s="23" t="s">
        <v>363</v>
      </c>
      <c r="E141" s="24"/>
      <c r="F141" s="25"/>
      <c r="G141" s="25" t="str">
        <f aca="false">IF(E141="","",E141*F141)</f>
        <v/>
      </c>
      <c r="H141" s="25"/>
      <c r="I141" s="24" t="n">
        <v>10</v>
      </c>
      <c r="J141" s="25" t="n">
        <v>1620</v>
      </c>
      <c r="K141" s="25" t="n">
        <f aca="false">I141*J141</f>
        <v>16200</v>
      </c>
      <c r="L141" s="24" t="n">
        <v>10</v>
      </c>
      <c r="M141" s="25" t="n">
        <v>1620</v>
      </c>
      <c r="N141" s="25" t="n">
        <f aca="false">L141*M141</f>
        <v>16200</v>
      </c>
      <c r="O141" s="25" t="n">
        <v>1700</v>
      </c>
      <c r="P141" s="14" t="s">
        <v>478</v>
      </c>
      <c r="Q141" s="25" t="n">
        <f aca="false">IF(OR(O141="",M141=""),"",M141-O141)</f>
        <v>-80</v>
      </c>
      <c r="R141" s="33" t="n">
        <f aca="false">IF(Q141="","",Q141*L141)</f>
        <v>-800</v>
      </c>
      <c r="S141" s="33" t="n">
        <f aca="false">N141-K141</f>
        <v>0</v>
      </c>
      <c r="T141" s="14" t="s">
        <v>418</v>
      </c>
      <c r="U141" s="14"/>
      <c r="V141" s="23"/>
      <c r="W141" s="24" t="n">
        <f aca="false">L141</f>
        <v>10</v>
      </c>
      <c r="X141" s="25" t="n">
        <f aca="false">M141</f>
        <v>1620</v>
      </c>
      <c r="Y141" s="5" t="n">
        <f aca="false">IF(OR(W141="",X141=""),0,W141*X141)</f>
        <v>16200</v>
      </c>
    </row>
    <row r="142" customFormat="false" ht="26.85" hidden="false" customHeight="false" outlineLevel="0" collapsed="false">
      <c r="A142" s="23" t="s">
        <v>414</v>
      </c>
      <c r="B142" s="23" t="s">
        <v>479</v>
      </c>
      <c r="C142" s="14" t="s">
        <v>480</v>
      </c>
      <c r="D142" s="23" t="s">
        <v>363</v>
      </c>
      <c r="E142" s="24"/>
      <c r="F142" s="25"/>
      <c r="G142" s="25" t="str">
        <f aca="false">IF(E142="","",E142*F142)</f>
        <v/>
      </c>
      <c r="H142" s="25"/>
      <c r="I142" s="24" t="n">
        <v>3</v>
      </c>
      <c r="J142" s="25" t="n">
        <v>1944</v>
      </c>
      <c r="K142" s="25" t="n">
        <f aca="false">I142*J142</f>
        <v>5832</v>
      </c>
      <c r="L142" s="24" t="n">
        <v>3</v>
      </c>
      <c r="M142" s="25" t="n">
        <v>1944</v>
      </c>
      <c r="N142" s="25" t="n">
        <f aca="false">L142*M142</f>
        <v>5832</v>
      </c>
      <c r="O142" s="25"/>
      <c r="P142" s="14"/>
      <c r="Q142" s="25" t="str">
        <f aca="false">IF(OR(O142="",M142=""),"",M142-O142)</f>
        <v/>
      </c>
      <c r="R142" s="33" t="str">
        <f aca="false">IF(Q142="","",Q142*L142)</f>
        <v/>
      </c>
      <c r="S142" s="33" t="n">
        <f aca="false">N142-K142</f>
        <v>0</v>
      </c>
      <c r="T142" s="14" t="s">
        <v>338</v>
      </c>
      <c r="U142" s="14"/>
      <c r="V142" s="23"/>
      <c r="W142" s="24" t="n">
        <f aca="false">L142</f>
        <v>3</v>
      </c>
      <c r="X142" s="25" t="n">
        <f aca="false">M142</f>
        <v>1944</v>
      </c>
      <c r="Y142" s="5" t="n">
        <f aca="false">IF(OR(W142="",X142=""),0,W142*X142)</f>
        <v>5832</v>
      </c>
    </row>
    <row r="143" customFormat="false" ht="26.85" hidden="false" customHeight="false" outlineLevel="0" collapsed="false">
      <c r="A143" s="23" t="s">
        <v>414</v>
      </c>
      <c r="B143" s="23" t="s">
        <v>481</v>
      </c>
      <c r="C143" s="14" t="s">
        <v>482</v>
      </c>
      <c r="D143" s="23" t="s">
        <v>363</v>
      </c>
      <c r="E143" s="24"/>
      <c r="F143" s="25"/>
      <c r="G143" s="25" t="str">
        <f aca="false">IF(E143="","",E143*F143)</f>
        <v/>
      </c>
      <c r="H143" s="25"/>
      <c r="I143" s="24" t="n">
        <v>14</v>
      </c>
      <c r="J143" s="25" t="n">
        <v>1944</v>
      </c>
      <c r="K143" s="25" t="n">
        <f aca="false">I143*J143</f>
        <v>27216</v>
      </c>
      <c r="L143" s="24" t="n">
        <v>14</v>
      </c>
      <c r="M143" s="25" t="n">
        <v>1944</v>
      </c>
      <c r="N143" s="25" t="n">
        <f aca="false">L143*M143</f>
        <v>27216</v>
      </c>
      <c r="O143" s="25"/>
      <c r="P143" s="14"/>
      <c r="Q143" s="25" t="str">
        <f aca="false">IF(OR(O143="",M143=""),"",M143-O143)</f>
        <v/>
      </c>
      <c r="R143" s="33" t="str">
        <f aca="false">IF(Q143="","",Q143*L143)</f>
        <v/>
      </c>
      <c r="S143" s="33" t="n">
        <f aca="false">N143-K143</f>
        <v>0</v>
      </c>
      <c r="T143" s="14" t="s">
        <v>338</v>
      </c>
      <c r="U143" s="14"/>
      <c r="V143" s="23"/>
      <c r="W143" s="24" t="n">
        <f aca="false">L143</f>
        <v>14</v>
      </c>
      <c r="X143" s="25" t="n">
        <f aca="false">M143</f>
        <v>1944</v>
      </c>
      <c r="Y143" s="5" t="n">
        <f aca="false">IF(OR(W143="",X143=""),0,W143*X143)</f>
        <v>27216</v>
      </c>
    </row>
    <row r="144" customFormat="false" ht="26.85" hidden="false" customHeight="false" outlineLevel="0" collapsed="false">
      <c r="A144" s="23" t="s">
        <v>414</v>
      </c>
      <c r="B144" s="23" t="s">
        <v>483</v>
      </c>
      <c r="C144" s="14" t="s">
        <v>484</v>
      </c>
      <c r="D144" s="23" t="s">
        <v>363</v>
      </c>
      <c r="E144" s="24"/>
      <c r="F144" s="25"/>
      <c r="G144" s="25" t="str">
        <f aca="false">IF(E144="","",E144*F144)</f>
        <v/>
      </c>
      <c r="H144" s="25"/>
      <c r="I144" s="24" t="n">
        <v>10</v>
      </c>
      <c r="J144" s="25" t="n">
        <v>1944</v>
      </c>
      <c r="K144" s="25" t="n">
        <f aca="false">I144*J144</f>
        <v>19440</v>
      </c>
      <c r="L144" s="24" t="n">
        <v>10</v>
      </c>
      <c r="M144" s="25" t="n">
        <v>1944</v>
      </c>
      <c r="N144" s="25" t="n">
        <f aca="false">L144*M144</f>
        <v>19440</v>
      </c>
      <c r="O144" s="25"/>
      <c r="P144" s="14"/>
      <c r="Q144" s="25" t="str">
        <f aca="false">IF(OR(O144="",M144=""),"",M144-O144)</f>
        <v/>
      </c>
      <c r="R144" s="33" t="str">
        <f aca="false">IF(Q144="","",Q144*L144)</f>
        <v/>
      </c>
      <c r="S144" s="33" t="n">
        <f aca="false">N144-K144</f>
        <v>0</v>
      </c>
      <c r="T144" s="14" t="s">
        <v>338</v>
      </c>
      <c r="U144" s="14"/>
      <c r="V144" s="23"/>
      <c r="W144" s="24" t="n">
        <f aca="false">L144</f>
        <v>10</v>
      </c>
      <c r="X144" s="25" t="n">
        <f aca="false">M144</f>
        <v>1944</v>
      </c>
      <c r="Y144" s="5" t="n">
        <f aca="false">IF(OR(W144="",X144=""),0,W144*X144)</f>
        <v>19440</v>
      </c>
    </row>
    <row r="145" customFormat="false" ht="26.85" hidden="false" customHeight="false" outlineLevel="0" collapsed="false">
      <c r="A145" s="23" t="s">
        <v>414</v>
      </c>
      <c r="B145" s="23" t="s">
        <v>485</v>
      </c>
      <c r="C145" s="14" t="s">
        <v>486</v>
      </c>
      <c r="D145" s="23" t="s">
        <v>363</v>
      </c>
      <c r="E145" s="24"/>
      <c r="F145" s="25"/>
      <c r="G145" s="25" t="str">
        <f aca="false">IF(E145="","",E145*F145)</f>
        <v/>
      </c>
      <c r="H145" s="25"/>
      <c r="I145" s="24" t="n">
        <v>16</v>
      </c>
      <c r="J145" s="25" t="n">
        <v>2592</v>
      </c>
      <c r="K145" s="25" t="n">
        <f aca="false">I145*J145</f>
        <v>41472</v>
      </c>
      <c r="L145" s="24" t="n">
        <v>16</v>
      </c>
      <c r="M145" s="25" t="n">
        <v>2592</v>
      </c>
      <c r="N145" s="25" t="n">
        <f aca="false">L145*M145</f>
        <v>41472</v>
      </c>
      <c r="O145" s="25"/>
      <c r="P145" s="14"/>
      <c r="Q145" s="25" t="str">
        <f aca="false">IF(OR(O145="",M145=""),"",M145-O145)</f>
        <v/>
      </c>
      <c r="R145" s="33" t="str">
        <f aca="false">IF(Q145="","",Q145*L145)</f>
        <v/>
      </c>
      <c r="S145" s="33" t="n">
        <f aca="false">N145-K145</f>
        <v>0</v>
      </c>
      <c r="T145" s="14" t="s">
        <v>338</v>
      </c>
      <c r="U145" s="14"/>
      <c r="V145" s="23"/>
      <c r="W145" s="24" t="n">
        <f aca="false">L145</f>
        <v>16</v>
      </c>
      <c r="X145" s="25" t="n">
        <f aca="false">M145</f>
        <v>2592</v>
      </c>
      <c r="Y145" s="5" t="n">
        <f aca="false">IF(OR(W145="",X145=""),0,W145*X145)</f>
        <v>41472</v>
      </c>
    </row>
    <row r="146" customFormat="false" ht="26.85" hidden="false" customHeight="false" outlineLevel="0" collapsed="false">
      <c r="A146" s="23" t="s">
        <v>414</v>
      </c>
      <c r="B146" s="23" t="s">
        <v>487</v>
      </c>
      <c r="C146" s="14" t="s">
        <v>488</v>
      </c>
      <c r="D146" s="23" t="s">
        <v>363</v>
      </c>
      <c r="E146" s="24"/>
      <c r="F146" s="25"/>
      <c r="G146" s="25" t="str">
        <f aca="false">IF(E146="","",E146*F146)</f>
        <v/>
      </c>
      <c r="H146" s="25"/>
      <c r="I146" s="24" t="n">
        <v>11</v>
      </c>
      <c r="J146" s="25" t="n">
        <v>2592</v>
      </c>
      <c r="K146" s="25" t="n">
        <f aca="false">I146*J146</f>
        <v>28512</v>
      </c>
      <c r="L146" s="24" t="n">
        <v>11</v>
      </c>
      <c r="M146" s="25" t="n">
        <v>2592</v>
      </c>
      <c r="N146" s="25" t="n">
        <f aca="false">L146*M146</f>
        <v>28512</v>
      </c>
      <c r="O146" s="25"/>
      <c r="P146" s="14"/>
      <c r="Q146" s="25" t="str">
        <f aca="false">IF(OR(O146="",M146=""),"",M146-O146)</f>
        <v/>
      </c>
      <c r="R146" s="33" t="str">
        <f aca="false">IF(Q146="","",Q146*L146)</f>
        <v/>
      </c>
      <c r="S146" s="33" t="n">
        <f aca="false">N146-K146</f>
        <v>0</v>
      </c>
      <c r="T146" s="14" t="s">
        <v>338</v>
      </c>
      <c r="U146" s="14"/>
      <c r="V146" s="23"/>
      <c r="W146" s="24" t="n">
        <f aca="false">L146</f>
        <v>11</v>
      </c>
      <c r="X146" s="25" t="n">
        <f aca="false">M146</f>
        <v>2592</v>
      </c>
      <c r="Y146" s="5" t="n">
        <f aca="false">IF(OR(W146="",X146=""),0,W146*X146)</f>
        <v>28512</v>
      </c>
    </row>
    <row r="147" customFormat="false" ht="26.85" hidden="false" customHeight="false" outlineLevel="0" collapsed="false">
      <c r="A147" s="23" t="s">
        <v>414</v>
      </c>
      <c r="B147" s="23" t="s">
        <v>489</v>
      </c>
      <c r="C147" s="14" t="s">
        <v>490</v>
      </c>
      <c r="D147" s="23" t="s">
        <v>363</v>
      </c>
      <c r="E147" s="24"/>
      <c r="F147" s="25"/>
      <c r="G147" s="25" t="str">
        <f aca="false">IF(E147="","",E147*F147)</f>
        <v/>
      </c>
      <c r="H147" s="25"/>
      <c r="I147" s="24" t="n">
        <v>2</v>
      </c>
      <c r="J147" s="25" t="n">
        <v>2754</v>
      </c>
      <c r="K147" s="25" t="n">
        <f aca="false">I147*J147</f>
        <v>5508</v>
      </c>
      <c r="L147" s="24" t="n">
        <v>2</v>
      </c>
      <c r="M147" s="25" t="n">
        <v>2754</v>
      </c>
      <c r="N147" s="25" t="n">
        <f aca="false">L147*M147</f>
        <v>5508</v>
      </c>
      <c r="O147" s="25"/>
      <c r="P147" s="14"/>
      <c r="Q147" s="25" t="str">
        <f aca="false">IF(OR(O147="",M147=""),"",M147-O147)</f>
        <v/>
      </c>
      <c r="R147" s="33" t="str">
        <f aca="false">IF(Q147="","",Q147*L147)</f>
        <v/>
      </c>
      <c r="S147" s="33" t="n">
        <f aca="false">N147-K147</f>
        <v>0</v>
      </c>
      <c r="T147" s="14" t="s">
        <v>338</v>
      </c>
      <c r="U147" s="14"/>
      <c r="V147" s="23"/>
      <c r="W147" s="24" t="n">
        <f aca="false">L147</f>
        <v>2</v>
      </c>
      <c r="X147" s="25" t="n">
        <f aca="false">M147</f>
        <v>2754</v>
      </c>
      <c r="Y147" s="5" t="n">
        <f aca="false">IF(OR(W147="",X147=""),0,W147*X147)</f>
        <v>5508</v>
      </c>
    </row>
    <row r="148" customFormat="false" ht="26.85" hidden="false" customHeight="false" outlineLevel="0" collapsed="false">
      <c r="A148" s="23" t="s">
        <v>414</v>
      </c>
      <c r="B148" s="23" t="s">
        <v>491</v>
      </c>
      <c r="C148" s="14" t="s">
        <v>492</v>
      </c>
      <c r="D148" s="23" t="s">
        <v>363</v>
      </c>
      <c r="E148" s="24"/>
      <c r="F148" s="25"/>
      <c r="G148" s="25" t="str">
        <f aca="false">IF(E148="","",E148*F148)</f>
        <v/>
      </c>
      <c r="H148" s="25"/>
      <c r="I148" s="24" t="n">
        <v>18</v>
      </c>
      <c r="J148" s="25" t="n">
        <v>3726</v>
      </c>
      <c r="K148" s="25" t="n">
        <f aca="false">I148*J148</f>
        <v>67068</v>
      </c>
      <c r="L148" s="24" t="n">
        <v>18</v>
      </c>
      <c r="M148" s="25" t="n">
        <v>3230</v>
      </c>
      <c r="N148" s="25" t="n">
        <f aca="false">L148*M148</f>
        <v>58140</v>
      </c>
      <c r="O148" s="25"/>
      <c r="P148" s="14"/>
      <c r="Q148" s="44" t="str">
        <f aca="false">IF(OR(O148="",M148=""),"",M148-O148)</f>
        <v/>
      </c>
      <c r="R148" s="45" t="str">
        <f aca="false">IF(Q148="","",Q148*L148)</f>
        <v/>
      </c>
      <c r="S148" s="45" t="n">
        <f aca="false">N148-K148</f>
        <v>-8928</v>
      </c>
      <c r="T148" s="46" t="s">
        <v>46</v>
      </c>
      <c r="U148" s="14"/>
      <c r="V148" s="23"/>
      <c r="W148" s="24" t="n">
        <f aca="false">L148</f>
        <v>18</v>
      </c>
      <c r="X148" s="25" t="n">
        <f aca="false">M148</f>
        <v>3230</v>
      </c>
      <c r="Y148" s="5" t="n">
        <f aca="false">IF(OR(W148="",X148=""),0,W148*X148)</f>
        <v>58140</v>
      </c>
    </row>
    <row r="149" customFormat="false" ht="39.55" hidden="false" customHeight="false" outlineLevel="0" collapsed="false">
      <c r="A149" s="23" t="s">
        <v>414</v>
      </c>
      <c r="B149" s="23" t="s">
        <v>493</v>
      </c>
      <c r="C149" s="14" t="s">
        <v>494</v>
      </c>
      <c r="D149" s="23" t="s">
        <v>141</v>
      </c>
      <c r="E149" s="24"/>
      <c r="F149" s="25"/>
      <c r="G149" s="25" t="str">
        <f aca="false">IF(E149="","",E149*F149)</f>
        <v/>
      </c>
      <c r="H149" s="25"/>
      <c r="I149" s="24" t="n">
        <v>4</v>
      </c>
      <c r="J149" s="25" t="n">
        <v>1020</v>
      </c>
      <c r="K149" s="25" t="n">
        <f aca="false">I149*J149</f>
        <v>4080</v>
      </c>
      <c r="L149" s="24" t="n">
        <v>4</v>
      </c>
      <c r="M149" s="25" t="n">
        <v>855</v>
      </c>
      <c r="N149" s="25" t="n">
        <f aca="false">L149*M149</f>
        <v>3420</v>
      </c>
      <c r="O149" s="25" t="n">
        <v>855</v>
      </c>
      <c r="P149" s="14" t="s">
        <v>495</v>
      </c>
      <c r="Q149" s="25" t="n">
        <f aca="false">IF(OR(O149="",M149=""),"",M149-O149)</f>
        <v>0</v>
      </c>
      <c r="R149" s="33" t="n">
        <f aca="false">IF(Q149="","",Q149*L149)</f>
        <v>0</v>
      </c>
      <c r="S149" s="33" t="n">
        <f aca="false">N149-K149</f>
        <v>-660</v>
      </c>
      <c r="T149" s="14" t="s">
        <v>42</v>
      </c>
      <c r="U149" s="14" t="s">
        <v>233</v>
      </c>
      <c r="V149" s="23"/>
      <c r="W149" s="24" t="n">
        <f aca="false">L149</f>
        <v>4</v>
      </c>
      <c r="X149" s="25" t="n">
        <f aca="false">M149</f>
        <v>855</v>
      </c>
      <c r="Y149" s="5" t="n">
        <f aca="false">IF(OR(W149="",X149=""),0,W149*X149)</f>
        <v>3420</v>
      </c>
    </row>
    <row r="150" customFormat="false" ht="39.55" hidden="false" customHeight="false" outlineLevel="0" collapsed="false">
      <c r="A150" s="23" t="s">
        <v>414</v>
      </c>
      <c r="B150" s="23" t="s">
        <v>496</v>
      </c>
      <c r="C150" s="14" t="s">
        <v>497</v>
      </c>
      <c r="D150" s="23" t="s">
        <v>141</v>
      </c>
      <c r="E150" s="24"/>
      <c r="F150" s="25"/>
      <c r="G150" s="25" t="str">
        <f aca="false">IF(E150="","",E150*F150)</f>
        <v/>
      </c>
      <c r="H150" s="25"/>
      <c r="I150" s="24" t="n">
        <v>2</v>
      </c>
      <c r="J150" s="25" t="n">
        <v>1020</v>
      </c>
      <c r="K150" s="25" t="n">
        <f aca="false">I150*J150</f>
        <v>2040</v>
      </c>
      <c r="L150" s="24" t="n">
        <v>2</v>
      </c>
      <c r="M150" s="25" t="n">
        <v>855</v>
      </c>
      <c r="N150" s="25" t="n">
        <f aca="false">L150*M150</f>
        <v>1710</v>
      </c>
      <c r="O150" s="25" t="n">
        <v>855</v>
      </c>
      <c r="P150" s="14" t="s">
        <v>495</v>
      </c>
      <c r="Q150" s="25" t="n">
        <f aca="false">IF(OR(O150="",M150=""),"",M150-O150)</f>
        <v>0</v>
      </c>
      <c r="R150" s="33" t="n">
        <f aca="false">IF(Q150="","",Q150*L150)</f>
        <v>0</v>
      </c>
      <c r="S150" s="33" t="n">
        <f aca="false">N150-K150</f>
        <v>-330</v>
      </c>
      <c r="T150" s="14" t="s">
        <v>42</v>
      </c>
      <c r="U150" s="14" t="s">
        <v>233</v>
      </c>
      <c r="V150" s="23"/>
      <c r="W150" s="24" t="n">
        <f aca="false">L150</f>
        <v>2</v>
      </c>
      <c r="X150" s="25" t="n">
        <f aca="false">M150</f>
        <v>855</v>
      </c>
      <c r="Y150" s="5" t="n">
        <f aca="false">IF(OR(W150="",X150=""),0,W150*X150)</f>
        <v>1710</v>
      </c>
    </row>
    <row r="151" customFormat="false" ht="26.85" hidden="false" customHeight="false" outlineLevel="0" collapsed="false">
      <c r="A151" s="23" t="s">
        <v>414</v>
      </c>
      <c r="B151" s="23" t="s">
        <v>498</v>
      </c>
      <c r="C151" s="14" t="s">
        <v>499</v>
      </c>
      <c r="D151" s="23" t="s">
        <v>141</v>
      </c>
      <c r="E151" s="24"/>
      <c r="F151" s="25"/>
      <c r="G151" s="25" t="str">
        <f aca="false">IF(E151="","",E151*F151)</f>
        <v/>
      </c>
      <c r="H151" s="25"/>
      <c r="I151" s="24" t="n">
        <v>4</v>
      </c>
      <c r="J151" s="25" t="n">
        <v>1620</v>
      </c>
      <c r="K151" s="25" t="n">
        <f aca="false">I151*J151</f>
        <v>6480</v>
      </c>
      <c r="L151" s="24" t="n">
        <v>4</v>
      </c>
      <c r="M151" s="25" t="n">
        <v>880</v>
      </c>
      <c r="N151" s="25" t="n">
        <f aca="false">L151*M151</f>
        <v>3520</v>
      </c>
      <c r="O151" s="25"/>
      <c r="P151" s="14"/>
      <c r="Q151" s="44" t="str">
        <f aca="false">IF(OR(O151="",M151=""),"",M151-O151)</f>
        <v/>
      </c>
      <c r="R151" s="45" t="str">
        <f aca="false">IF(Q151="","",Q151*L151)</f>
        <v/>
      </c>
      <c r="S151" s="45" t="n">
        <f aca="false">N151-K151</f>
        <v>-2960</v>
      </c>
      <c r="T151" s="46" t="s">
        <v>46</v>
      </c>
      <c r="U151" s="14" t="s">
        <v>500</v>
      </c>
      <c r="V151" s="23"/>
      <c r="W151" s="24" t="n">
        <f aca="false">L151</f>
        <v>4</v>
      </c>
      <c r="X151" s="25" t="n">
        <f aca="false">M151</f>
        <v>880</v>
      </c>
      <c r="Y151" s="5" t="n">
        <f aca="false">IF(OR(W151="",X151=""),0,W151*X151)</f>
        <v>3520</v>
      </c>
    </row>
    <row r="152" customFormat="false" ht="26.85" hidden="false" customHeight="false" outlineLevel="0" collapsed="false">
      <c r="A152" s="23" t="s">
        <v>414</v>
      </c>
      <c r="B152" s="23" t="s">
        <v>501</v>
      </c>
      <c r="C152" s="14" t="s">
        <v>502</v>
      </c>
      <c r="D152" s="23" t="s">
        <v>141</v>
      </c>
      <c r="E152" s="24"/>
      <c r="F152" s="25"/>
      <c r="G152" s="25" t="str">
        <f aca="false">IF(E152="","",E152*F152)</f>
        <v/>
      </c>
      <c r="H152" s="25"/>
      <c r="I152" s="24" t="n">
        <v>2</v>
      </c>
      <c r="J152" s="25" t="n">
        <v>2592</v>
      </c>
      <c r="K152" s="25" t="n">
        <f aca="false">I152*J152</f>
        <v>5184</v>
      </c>
      <c r="L152" s="24" t="n">
        <v>2</v>
      </c>
      <c r="M152" s="25" t="n">
        <v>1700</v>
      </c>
      <c r="N152" s="25" t="n">
        <f aca="false">L152*M152</f>
        <v>3400</v>
      </c>
      <c r="O152" s="25"/>
      <c r="P152" s="14"/>
      <c r="Q152" s="44" t="str">
        <f aca="false">IF(OR(O152="",M152=""),"",M152-O152)</f>
        <v/>
      </c>
      <c r="R152" s="45" t="str">
        <f aca="false">IF(Q152="","",Q152*L152)</f>
        <v/>
      </c>
      <c r="S152" s="45" t="n">
        <f aca="false">N152-K152</f>
        <v>-1784</v>
      </c>
      <c r="T152" s="46" t="s">
        <v>46</v>
      </c>
      <c r="U152" s="14"/>
      <c r="V152" s="23"/>
      <c r="W152" s="24" t="n">
        <f aca="false">L152</f>
        <v>2</v>
      </c>
      <c r="X152" s="25" t="n">
        <f aca="false">M152</f>
        <v>1700</v>
      </c>
      <c r="Y152" s="5" t="n">
        <f aca="false">IF(OR(W152="",X152=""),0,W152*X152)</f>
        <v>3400</v>
      </c>
    </row>
    <row r="153" customFormat="false" ht="26.85" hidden="false" customHeight="false" outlineLevel="0" collapsed="false">
      <c r="A153" s="23" t="s">
        <v>414</v>
      </c>
      <c r="B153" s="23" t="s">
        <v>503</v>
      </c>
      <c r="C153" s="14" t="s">
        <v>504</v>
      </c>
      <c r="D153" s="23" t="s">
        <v>141</v>
      </c>
      <c r="E153" s="24"/>
      <c r="F153" s="25"/>
      <c r="G153" s="25" t="str">
        <f aca="false">IF(E153="","",E153*F153)</f>
        <v/>
      </c>
      <c r="H153" s="25"/>
      <c r="I153" s="24" t="n">
        <v>2</v>
      </c>
      <c r="J153" s="25" t="n">
        <v>2268</v>
      </c>
      <c r="K153" s="25" t="n">
        <f aca="false">I153*J153</f>
        <v>4536</v>
      </c>
      <c r="L153" s="24" t="n">
        <v>2</v>
      </c>
      <c r="M153" s="25" t="n">
        <v>1020</v>
      </c>
      <c r="N153" s="25" t="n">
        <f aca="false">L153*M153</f>
        <v>2040</v>
      </c>
      <c r="O153" s="25"/>
      <c r="P153" s="14"/>
      <c r="Q153" s="44" t="str">
        <f aca="false">IF(OR(O153="",M153=""),"",M153-O153)</f>
        <v/>
      </c>
      <c r="R153" s="45" t="str">
        <f aca="false">IF(Q153="","",Q153*L153)</f>
        <v/>
      </c>
      <c r="S153" s="45" t="n">
        <f aca="false">N153-K153</f>
        <v>-2496</v>
      </c>
      <c r="T153" s="46" t="s">
        <v>46</v>
      </c>
      <c r="U153" s="14"/>
      <c r="V153" s="23"/>
      <c r="W153" s="24" t="n">
        <f aca="false">L153</f>
        <v>2</v>
      </c>
      <c r="X153" s="25" t="n">
        <f aca="false">M153</f>
        <v>1020</v>
      </c>
      <c r="Y153" s="5" t="n">
        <f aca="false">IF(OR(W153="",X153=""),0,W153*X153)</f>
        <v>2040</v>
      </c>
    </row>
    <row r="154" customFormat="false" ht="26.85" hidden="false" customHeight="false" outlineLevel="0" collapsed="false">
      <c r="A154" s="23" t="s">
        <v>414</v>
      </c>
      <c r="B154" s="23" t="s">
        <v>505</v>
      </c>
      <c r="C154" s="14" t="s">
        <v>506</v>
      </c>
      <c r="D154" s="23" t="s">
        <v>141</v>
      </c>
      <c r="E154" s="24"/>
      <c r="F154" s="25"/>
      <c r="G154" s="25" t="str">
        <f aca="false">IF(E154="","",E154*F154)</f>
        <v/>
      </c>
      <c r="H154" s="25"/>
      <c r="I154" s="24" t="n">
        <v>1</v>
      </c>
      <c r="J154" s="25" t="n">
        <v>2268</v>
      </c>
      <c r="K154" s="25" t="n">
        <f aca="false">I154*J154</f>
        <v>2268</v>
      </c>
      <c r="L154" s="24" t="n">
        <v>1</v>
      </c>
      <c r="M154" s="25" t="n">
        <v>1360</v>
      </c>
      <c r="N154" s="25" t="n">
        <f aca="false">L154*M154</f>
        <v>1360</v>
      </c>
      <c r="O154" s="25"/>
      <c r="P154" s="14"/>
      <c r="Q154" s="44" t="str">
        <f aca="false">IF(OR(O154="",M154=""),"",M154-O154)</f>
        <v/>
      </c>
      <c r="R154" s="45" t="str">
        <f aca="false">IF(Q154="","",Q154*L154)</f>
        <v/>
      </c>
      <c r="S154" s="45" t="n">
        <f aca="false">N154-K154</f>
        <v>-908</v>
      </c>
      <c r="T154" s="46" t="s">
        <v>46</v>
      </c>
      <c r="U154" s="14"/>
      <c r="V154" s="23"/>
      <c r="W154" s="24" t="n">
        <f aca="false">L154</f>
        <v>1</v>
      </c>
      <c r="X154" s="25" t="n">
        <f aca="false">M154</f>
        <v>1360</v>
      </c>
      <c r="Y154" s="5" t="n">
        <f aca="false">IF(OR(W154="",X154=""),0,W154*X154)</f>
        <v>1360</v>
      </c>
    </row>
    <row r="155" customFormat="false" ht="39.55" hidden="false" customHeight="false" outlineLevel="0" collapsed="false">
      <c r="A155" s="23" t="s">
        <v>414</v>
      </c>
      <c r="B155" s="23" t="s">
        <v>507</v>
      </c>
      <c r="C155" s="14" t="s">
        <v>508</v>
      </c>
      <c r="D155" s="23" t="s">
        <v>141</v>
      </c>
      <c r="E155" s="24"/>
      <c r="F155" s="25"/>
      <c r="G155" s="25" t="str">
        <f aca="false">IF(E155="","",E155*F155)</f>
        <v/>
      </c>
      <c r="H155" s="25"/>
      <c r="I155" s="24" t="n">
        <v>9</v>
      </c>
      <c r="J155" s="25" t="n">
        <v>1020</v>
      </c>
      <c r="K155" s="25" t="n">
        <f aca="false">I155*J155</f>
        <v>9180</v>
      </c>
      <c r="L155" s="24" t="n">
        <v>9</v>
      </c>
      <c r="M155" s="25" t="n">
        <v>855</v>
      </c>
      <c r="N155" s="25" t="n">
        <f aca="false">L155*M155</f>
        <v>7695</v>
      </c>
      <c r="O155" s="25" t="n">
        <v>855</v>
      </c>
      <c r="P155" s="14" t="s">
        <v>495</v>
      </c>
      <c r="Q155" s="25" t="n">
        <f aca="false">IF(OR(O155="",M155=""),"",M155-O155)</f>
        <v>0</v>
      </c>
      <c r="R155" s="33" t="n">
        <f aca="false">IF(Q155="","",Q155*L155)</f>
        <v>0</v>
      </c>
      <c r="S155" s="33" t="n">
        <f aca="false">N155-K155</f>
        <v>-1485</v>
      </c>
      <c r="T155" s="14" t="s">
        <v>42</v>
      </c>
      <c r="U155" s="14" t="s">
        <v>233</v>
      </c>
      <c r="V155" s="23"/>
      <c r="W155" s="24" t="n">
        <f aca="false">L155</f>
        <v>9</v>
      </c>
      <c r="X155" s="25" t="n">
        <f aca="false">M155</f>
        <v>855</v>
      </c>
      <c r="Y155" s="5" t="n">
        <f aca="false">IF(OR(W155="",X155=""),0,W155*X155)</f>
        <v>7695</v>
      </c>
    </row>
    <row r="156" customFormat="false" ht="26.85" hidden="false" customHeight="false" outlineLevel="0" collapsed="false">
      <c r="A156" s="23" t="s">
        <v>414</v>
      </c>
      <c r="B156" s="23" t="s">
        <v>509</v>
      </c>
      <c r="C156" s="14" t="s">
        <v>510</v>
      </c>
      <c r="D156" s="23" t="s">
        <v>141</v>
      </c>
      <c r="E156" s="24"/>
      <c r="F156" s="25"/>
      <c r="G156" s="25" t="str">
        <f aca="false">IF(E156="","",E156*F156)</f>
        <v/>
      </c>
      <c r="H156" s="25"/>
      <c r="I156" s="24" t="n">
        <v>3</v>
      </c>
      <c r="J156" s="25" t="n">
        <v>1296</v>
      </c>
      <c r="K156" s="25" t="n">
        <f aca="false">I156*J156</f>
        <v>3888</v>
      </c>
      <c r="L156" s="24" t="n">
        <v>3</v>
      </c>
      <c r="M156" s="25" t="n">
        <v>680</v>
      </c>
      <c r="N156" s="25" t="n">
        <f aca="false">L156*M156</f>
        <v>2040</v>
      </c>
      <c r="O156" s="25"/>
      <c r="P156" s="14"/>
      <c r="Q156" s="44" t="str">
        <f aca="false">IF(OR(O156="",M156=""),"",M156-O156)</f>
        <v/>
      </c>
      <c r="R156" s="45" t="str">
        <f aca="false">IF(Q156="","",Q156*L156)</f>
        <v/>
      </c>
      <c r="S156" s="45" t="n">
        <f aca="false">N156-K156</f>
        <v>-1848</v>
      </c>
      <c r="T156" s="46" t="s">
        <v>46</v>
      </c>
      <c r="U156" s="14"/>
      <c r="V156" s="23"/>
      <c r="W156" s="24" t="n">
        <f aca="false">L156</f>
        <v>3</v>
      </c>
      <c r="X156" s="25" t="n">
        <f aca="false">M156</f>
        <v>680</v>
      </c>
      <c r="Y156" s="5" t="n">
        <f aca="false">IF(OR(W156="",X156=""),0,W156*X156)</f>
        <v>2040</v>
      </c>
    </row>
    <row r="157" customFormat="false" ht="26.85" hidden="false" customHeight="false" outlineLevel="0" collapsed="false">
      <c r="A157" s="23" t="s">
        <v>414</v>
      </c>
      <c r="B157" s="23" t="s">
        <v>511</v>
      </c>
      <c r="C157" s="14" t="s">
        <v>512</v>
      </c>
      <c r="D157" s="23" t="s">
        <v>141</v>
      </c>
      <c r="E157" s="24"/>
      <c r="F157" s="25"/>
      <c r="G157" s="25" t="str">
        <f aca="false">IF(E157="","",E157*F157)</f>
        <v/>
      </c>
      <c r="H157" s="25"/>
      <c r="I157" s="24" t="n">
        <v>4</v>
      </c>
      <c r="J157" s="25" t="n">
        <v>1944</v>
      </c>
      <c r="K157" s="25" t="n">
        <f aca="false">I157*J157</f>
        <v>7776</v>
      </c>
      <c r="L157" s="24" t="n">
        <v>4</v>
      </c>
      <c r="M157" s="25" t="n">
        <v>1700</v>
      </c>
      <c r="N157" s="25" t="n">
        <f aca="false">L157*M157</f>
        <v>6800</v>
      </c>
      <c r="O157" s="25"/>
      <c r="P157" s="14"/>
      <c r="Q157" s="44" t="str">
        <f aca="false">IF(OR(O157="",M157=""),"",M157-O157)</f>
        <v/>
      </c>
      <c r="R157" s="45" t="str">
        <f aca="false">IF(Q157="","",Q157*L157)</f>
        <v/>
      </c>
      <c r="S157" s="45" t="n">
        <f aca="false">N157-K157</f>
        <v>-976</v>
      </c>
      <c r="T157" s="46" t="s">
        <v>46</v>
      </c>
      <c r="U157" s="14"/>
      <c r="V157" s="23"/>
      <c r="W157" s="24" t="n">
        <f aca="false">L157</f>
        <v>4</v>
      </c>
      <c r="X157" s="25" t="n">
        <f aca="false">M157</f>
        <v>1700</v>
      </c>
      <c r="Y157" s="5" t="n">
        <f aca="false">IF(OR(W157="",X157=""),0,W157*X157)</f>
        <v>6800</v>
      </c>
    </row>
    <row r="158" customFormat="false" ht="26.85" hidden="false" customHeight="false" outlineLevel="0" collapsed="false">
      <c r="A158" s="23" t="s">
        <v>414</v>
      </c>
      <c r="B158" s="23" t="s">
        <v>513</v>
      </c>
      <c r="C158" s="14" t="s">
        <v>514</v>
      </c>
      <c r="D158" s="23" t="s">
        <v>141</v>
      </c>
      <c r="E158" s="24"/>
      <c r="F158" s="25"/>
      <c r="G158" s="25" t="str">
        <f aca="false">IF(E158="","",E158*F158)</f>
        <v/>
      </c>
      <c r="H158" s="25"/>
      <c r="I158" s="24" t="n">
        <v>1</v>
      </c>
      <c r="J158" s="25" t="n">
        <v>1944</v>
      </c>
      <c r="K158" s="25" t="n">
        <f aca="false">I158*J158</f>
        <v>1944</v>
      </c>
      <c r="L158" s="24" t="n">
        <v>1</v>
      </c>
      <c r="M158" s="25" t="n">
        <v>2040</v>
      </c>
      <c r="N158" s="25" t="n">
        <f aca="false">L158*M158</f>
        <v>2040</v>
      </c>
      <c r="O158" s="25"/>
      <c r="P158" s="14"/>
      <c r="Q158" s="25" t="str">
        <f aca="false">IF(OR(O158="",M158=""),"",M158-O158)</f>
        <v/>
      </c>
      <c r="R158" s="33" t="str">
        <f aca="false">IF(Q158="","",Q158*L158)</f>
        <v/>
      </c>
      <c r="S158" s="33" t="n">
        <f aca="false">N158-K158</f>
        <v>96</v>
      </c>
      <c r="T158" s="14" t="s">
        <v>338</v>
      </c>
      <c r="U158" s="14"/>
      <c r="V158" s="23"/>
      <c r="W158" s="24" t="n">
        <f aca="false">L158</f>
        <v>1</v>
      </c>
      <c r="X158" s="25" t="n">
        <f aca="false">M158</f>
        <v>2040</v>
      </c>
      <c r="Y158" s="5" t="n">
        <f aca="false">IF(OR(W158="",X158=""),0,W158*X158)</f>
        <v>2040</v>
      </c>
    </row>
    <row r="159" customFormat="false" ht="39.55" hidden="false" customHeight="false" outlineLevel="0" collapsed="false">
      <c r="A159" s="23" t="s">
        <v>414</v>
      </c>
      <c r="B159" s="23" t="s">
        <v>515</v>
      </c>
      <c r="C159" s="14" t="s">
        <v>516</v>
      </c>
      <c r="D159" s="23" t="s">
        <v>141</v>
      </c>
      <c r="E159" s="24"/>
      <c r="F159" s="25"/>
      <c r="G159" s="25" t="str">
        <f aca="false">IF(E159="","",E159*F159)</f>
        <v/>
      </c>
      <c r="H159" s="25"/>
      <c r="I159" s="24" t="n">
        <v>10</v>
      </c>
      <c r="J159" s="25" t="n">
        <v>1020</v>
      </c>
      <c r="K159" s="25" t="n">
        <f aca="false">I159*J159</f>
        <v>10200</v>
      </c>
      <c r="L159" s="24" t="n">
        <v>10</v>
      </c>
      <c r="M159" s="25" t="n">
        <v>855</v>
      </c>
      <c r="N159" s="25" t="n">
        <f aca="false">L159*M159</f>
        <v>8550</v>
      </c>
      <c r="O159" s="25" t="n">
        <v>855</v>
      </c>
      <c r="P159" s="14" t="s">
        <v>495</v>
      </c>
      <c r="Q159" s="25" t="n">
        <f aca="false">IF(OR(O159="",M159=""),"",M159-O159)</f>
        <v>0</v>
      </c>
      <c r="R159" s="33" t="n">
        <f aca="false">IF(Q159="","",Q159*L159)</f>
        <v>0</v>
      </c>
      <c r="S159" s="33" t="n">
        <f aca="false">N159-K159</f>
        <v>-1650</v>
      </c>
      <c r="T159" s="14" t="s">
        <v>42</v>
      </c>
      <c r="U159" s="14" t="s">
        <v>233</v>
      </c>
      <c r="V159" s="23"/>
      <c r="W159" s="24" t="n">
        <f aca="false">L159</f>
        <v>10</v>
      </c>
      <c r="X159" s="25" t="n">
        <f aca="false">M159</f>
        <v>855</v>
      </c>
      <c r="Y159" s="5" t="n">
        <f aca="false">IF(OR(W159="",X159=""),0,W159*X159)</f>
        <v>8550</v>
      </c>
    </row>
    <row r="160" customFormat="false" ht="39.55" hidden="false" customHeight="false" outlineLevel="0" collapsed="false">
      <c r="A160" s="23" t="s">
        <v>414</v>
      </c>
      <c r="B160" s="23" t="s">
        <v>517</v>
      </c>
      <c r="C160" s="14" t="s">
        <v>518</v>
      </c>
      <c r="D160" s="23" t="s">
        <v>141</v>
      </c>
      <c r="E160" s="24"/>
      <c r="F160" s="25"/>
      <c r="G160" s="25" t="str">
        <f aca="false">IF(E160="","",E160*F160)</f>
        <v/>
      </c>
      <c r="H160" s="25"/>
      <c r="I160" s="24" t="n">
        <v>3</v>
      </c>
      <c r="J160" s="25" t="n">
        <v>1020</v>
      </c>
      <c r="K160" s="25" t="n">
        <f aca="false">I160*J160</f>
        <v>3060</v>
      </c>
      <c r="L160" s="24" t="n">
        <v>3</v>
      </c>
      <c r="M160" s="25" t="n">
        <v>855</v>
      </c>
      <c r="N160" s="25" t="n">
        <f aca="false">L160*M160</f>
        <v>2565</v>
      </c>
      <c r="O160" s="25" t="n">
        <v>855</v>
      </c>
      <c r="P160" s="14" t="s">
        <v>495</v>
      </c>
      <c r="Q160" s="25" t="n">
        <f aca="false">IF(OR(O160="",M160=""),"",M160-O160)</f>
        <v>0</v>
      </c>
      <c r="R160" s="33" t="n">
        <f aca="false">IF(Q160="","",Q160*L160)</f>
        <v>0</v>
      </c>
      <c r="S160" s="33" t="n">
        <f aca="false">N160-K160</f>
        <v>-495</v>
      </c>
      <c r="T160" s="14" t="s">
        <v>42</v>
      </c>
      <c r="U160" s="14" t="s">
        <v>233</v>
      </c>
      <c r="V160" s="23"/>
      <c r="W160" s="24" t="n">
        <f aca="false">L160</f>
        <v>3</v>
      </c>
      <c r="X160" s="25" t="n">
        <f aca="false">M160</f>
        <v>855</v>
      </c>
      <c r="Y160" s="5" t="n">
        <f aca="false">IF(OR(W160="",X160=""),0,W160*X160)</f>
        <v>2565</v>
      </c>
    </row>
    <row r="161" customFormat="false" ht="39.55" hidden="false" customHeight="false" outlineLevel="0" collapsed="false">
      <c r="A161" s="23" t="s">
        <v>414</v>
      </c>
      <c r="B161" s="23" t="s">
        <v>519</v>
      </c>
      <c r="C161" s="14" t="s">
        <v>520</v>
      </c>
      <c r="D161" s="23" t="s">
        <v>141</v>
      </c>
      <c r="E161" s="24"/>
      <c r="F161" s="25"/>
      <c r="G161" s="25" t="str">
        <f aca="false">IF(E161="","",E161*F161)</f>
        <v/>
      </c>
      <c r="H161" s="25"/>
      <c r="I161" s="24" t="n">
        <v>10</v>
      </c>
      <c r="J161" s="25" t="n">
        <v>1020</v>
      </c>
      <c r="K161" s="25" t="n">
        <f aca="false">I161*J161</f>
        <v>10200</v>
      </c>
      <c r="L161" s="24" t="n">
        <v>10</v>
      </c>
      <c r="M161" s="25" t="n">
        <v>855</v>
      </c>
      <c r="N161" s="25" t="n">
        <f aca="false">L161*M161</f>
        <v>8550</v>
      </c>
      <c r="O161" s="25" t="n">
        <v>855</v>
      </c>
      <c r="P161" s="14" t="s">
        <v>495</v>
      </c>
      <c r="Q161" s="25" t="n">
        <f aca="false">IF(OR(O161="",M161=""),"",M161-O161)</f>
        <v>0</v>
      </c>
      <c r="R161" s="33" t="n">
        <f aca="false">IF(Q161="","",Q161*L161)</f>
        <v>0</v>
      </c>
      <c r="S161" s="33" t="n">
        <f aca="false">N161-K161</f>
        <v>-1650</v>
      </c>
      <c r="T161" s="14" t="s">
        <v>42</v>
      </c>
      <c r="U161" s="14" t="s">
        <v>233</v>
      </c>
      <c r="V161" s="23"/>
      <c r="W161" s="24" t="n">
        <f aca="false">L161</f>
        <v>10</v>
      </c>
      <c r="X161" s="25" t="n">
        <f aca="false">M161</f>
        <v>855</v>
      </c>
      <c r="Y161" s="5" t="n">
        <f aca="false">IF(OR(W161="",X161=""),0,W161*X161)</f>
        <v>8550</v>
      </c>
    </row>
    <row r="162" customFormat="false" ht="39.55" hidden="false" customHeight="false" outlineLevel="0" collapsed="false">
      <c r="A162" s="23" t="s">
        <v>414</v>
      </c>
      <c r="B162" s="23" t="s">
        <v>521</v>
      </c>
      <c r="C162" s="14" t="s">
        <v>522</v>
      </c>
      <c r="D162" s="23" t="s">
        <v>141</v>
      </c>
      <c r="E162" s="24"/>
      <c r="F162" s="25"/>
      <c r="G162" s="25" t="str">
        <f aca="false">IF(E162="","",E162*F162)</f>
        <v/>
      </c>
      <c r="H162" s="25"/>
      <c r="I162" s="24" t="n">
        <v>6</v>
      </c>
      <c r="J162" s="25" t="n">
        <v>1020</v>
      </c>
      <c r="K162" s="25" t="n">
        <f aca="false">I162*J162</f>
        <v>6120</v>
      </c>
      <c r="L162" s="24" t="n">
        <v>6</v>
      </c>
      <c r="M162" s="25" t="n">
        <v>855</v>
      </c>
      <c r="N162" s="25" t="n">
        <f aca="false">L162*M162</f>
        <v>5130</v>
      </c>
      <c r="O162" s="25" t="n">
        <v>855</v>
      </c>
      <c r="P162" s="14" t="s">
        <v>495</v>
      </c>
      <c r="Q162" s="25" t="n">
        <f aca="false">IF(OR(O162="",M162=""),"",M162-O162)</f>
        <v>0</v>
      </c>
      <c r="R162" s="33" t="n">
        <f aca="false">IF(Q162="","",Q162*L162)</f>
        <v>0</v>
      </c>
      <c r="S162" s="33" t="n">
        <f aca="false">N162-K162</f>
        <v>-990</v>
      </c>
      <c r="T162" s="14" t="s">
        <v>42</v>
      </c>
      <c r="U162" s="14" t="s">
        <v>233</v>
      </c>
      <c r="V162" s="23"/>
      <c r="W162" s="24" t="n">
        <f aca="false">L162</f>
        <v>6</v>
      </c>
      <c r="X162" s="25" t="n">
        <f aca="false">M162</f>
        <v>855</v>
      </c>
      <c r="Y162" s="5" t="n">
        <f aca="false">IF(OR(W162="",X162=""),0,W162*X162)</f>
        <v>5130</v>
      </c>
    </row>
    <row r="163" customFormat="false" ht="26.85" hidden="false" customHeight="false" outlineLevel="0" collapsed="false">
      <c r="A163" s="23" t="s">
        <v>414</v>
      </c>
      <c r="B163" s="23" t="s">
        <v>523</v>
      </c>
      <c r="C163" s="14" t="s">
        <v>524</v>
      </c>
      <c r="D163" s="23" t="s">
        <v>141</v>
      </c>
      <c r="E163" s="24"/>
      <c r="F163" s="25"/>
      <c r="G163" s="25" t="str">
        <f aca="false">IF(E163="","",E163*F163)</f>
        <v/>
      </c>
      <c r="H163" s="25"/>
      <c r="I163" s="24" t="n">
        <v>1</v>
      </c>
      <c r="J163" s="25" t="n">
        <v>1296</v>
      </c>
      <c r="K163" s="25" t="n">
        <f aca="false">I163*J163</f>
        <v>1296</v>
      </c>
      <c r="L163" s="24" t="n">
        <v>1</v>
      </c>
      <c r="M163" s="25" t="n">
        <v>850</v>
      </c>
      <c r="N163" s="25" t="n">
        <f aca="false">L163*M163</f>
        <v>850</v>
      </c>
      <c r="O163" s="25"/>
      <c r="P163" s="14"/>
      <c r="Q163" s="44" t="str">
        <f aca="false">IF(OR(O163="",M163=""),"",M163-O163)</f>
        <v/>
      </c>
      <c r="R163" s="45" t="str">
        <f aca="false">IF(Q163="","",Q163*L163)</f>
        <v/>
      </c>
      <c r="S163" s="45" t="n">
        <f aca="false">N163-K163</f>
        <v>-446</v>
      </c>
      <c r="T163" s="46" t="s">
        <v>46</v>
      </c>
      <c r="U163" s="14"/>
      <c r="V163" s="23"/>
      <c r="W163" s="24" t="n">
        <f aca="false">L163</f>
        <v>1</v>
      </c>
      <c r="X163" s="25" t="n">
        <f aca="false">M163</f>
        <v>850</v>
      </c>
      <c r="Y163" s="5" t="n">
        <f aca="false">IF(OR(W163="",X163=""),0,W163*X163)</f>
        <v>850</v>
      </c>
    </row>
    <row r="164" customFormat="false" ht="26.85" hidden="false" customHeight="false" outlineLevel="0" collapsed="false">
      <c r="A164" s="23" t="s">
        <v>414</v>
      </c>
      <c r="B164" s="23" t="s">
        <v>525</v>
      </c>
      <c r="C164" s="14" t="s">
        <v>526</v>
      </c>
      <c r="D164" s="23" t="s">
        <v>141</v>
      </c>
      <c r="E164" s="24"/>
      <c r="F164" s="25"/>
      <c r="G164" s="25" t="str">
        <f aca="false">IF(E164="","",E164*F164)</f>
        <v/>
      </c>
      <c r="H164" s="25"/>
      <c r="I164" s="24" t="n">
        <v>1</v>
      </c>
      <c r="J164" s="25" t="n">
        <v>2268</v>
      </c>
      <c r="K164" s="25" t="n">
        <f aca="false">I164*J164</f>
        <v>2268</v>
      </c>
      <c r="L164" s="24" t="n">
        <v>1</v>
      </c>
      <c r="M164" s="25" t="n">
        <v>1190</v>
      </c>
      <c r="N164" s="25" t="n">
        <f aca="false">L164*M164</f>
        <v>1190</v>
      </c>
      <c r="O164" s="25"/>
      <c r="P164" s="14"/>
      <c r="Q164" s="44" t="str">
        <f aca="false">IF(OR(O164="",M164=""),"",M164-O164)</f>
        <v/>
      </c>
      <c r="R164" s="45" t="str">
        <f aca="false">IF(Q164="","",Q164*L164)</f>
        <v/>
      </c>
      <c r="S164" s="45" t="n">
        <f aca="false">N164-K164</f>
        <v>-1078</v>
      </c>
      <c r="T164" s="46" t="s">
        <v>46</v>
      </c>
      <c r="U164" s="14"/>
      <c r="V164" s="23"/>
      <c r="W164" s="24" t="n">
        <f aca="false">L164</f>
        <v>1</v>
      </c>
      <c r="X164" s="25" t="n">
        <f aca="false">M164</f>
        <v>1190</v>
      </c>
      <c r="Y164" s="5" t="n">
        <f aca="false">IF(OR(W164="",X164=""),0,W164*X164)</f>
        <v>1190</v>
      </c>
    </row>
    <row r="165" customFormat="false" ht="26.85" hidden="false" customHeight="false" outlineLevel="0" collapsed="false">
      <c r="A165" s="23" t="s">
        <v>414</v>
      </c>
      <c r="B165" s="23" t="s">
        <v>527</v>
      </c>
      <c r="C165" s="14" t="s">
        <v>528</v>
      </c>
      <c r="D165" s="23" t="s">
        <v>141</v>
      </c>
      <c r="E165" s="24"/>
      <c r="F165" s="25"/>
      <c r="G165" s="25" t="str">
        <f aca="false">IF(E165="","",E165*F165)</f>
        <v/>
      </c>
      <c r="H165" s="25"/>
      <c r="I165" s="24" t="n">
        <v>1</v>
      </c>
      <c r="J165" s="25" t="n">
        <v>2268</v>
      </c>
      <c r="K165" s="25" t="n">
        <f aca="false">I165*J165</f>
        <v>2268</v>
      </c>
      <c r="L165" s="24" t="n">
        <v>1</v>
      </c>
      <c r="M165" s="25" t="n">
        <v>1700</v>
      </c>
      <c r="N165" s="25" t="n">
        <f aca="false">L165*M165</f>
        <v>1700</v>
      </c>
      <c r="O165" s="25"/>
      <c r="P165" s="14"/>
      <c r="Q165" s="44" t="str">
        <f aca="false">IF(OR(O165="",M165=""),"",M165-O165)</f>
        <v/>
      </c>
      <c r="R165" s="45" t="str">
        <f aca="false">IF(Q165="","",Q165*L165)</f>
        <v/>
      </c>
      <c r="S165" s="45" t="n">
        <f aca="false">N165-K165</f>
        <v>-568</v>
      </c>
      <c r="T165" s="46" t="s">
        <v>46</v>
      </c>
      <c r="U165" s="14"/>
      <c r="V165" s="23"/>
      <c r="W165" s="24" t="n">
        <f aca="false">L165</f>
        <v>1</v>
      </c>
      <c r="X165" s="25" t="n">
        <f aca="false">M165</f>
        <v>1700</v>
      </c>
      <c r="Y165" s="5" t="n">
        <f aca="false">IF(OR(W165="",X165=""),0,W165*X165)</f>
        <v>1700</v>
      </c>
    </row>
    <row r="166" customFormat="false" ht="26.85" hidden="false" customHeight="false" outlineLevel="0" collapsed="false">
      <c r="A166" s="23" t="s">
        <v>414</v>
      </c>
      <c r="B166" s="23" t="s">
        <v>529</v>
      </c>
      <c r="C166" s="14" t="s">
        <v>530</v>
      </c>
      <c r="D166" s="23" t="s">
        <v>141</v>
      </c>
      <c r="E166" s="24"/>
      <c r="F166" s="25"/>
      <c r="G166" s="25" t="str">
        <f aca="false">IF(E166="","",E166*F166)</f>
        <v/>
      </c>
      <c r="H166" s="25"/>
      <c r="I166" s="24" t="n">
        <v>3</v>
      </c>
      <c r="J166" s="25" t="n">
        <v>2268</v>
      </c>
      <c r="K166" s="25" t="n">
        <f aca="false">I166*J166</f>
        <v>6804</v>
      </c>
      <c r="L166" s="24" t="n">
        <v>3</v>
      </c>
      <c r="M166" s="25" t="n">
        <v>1870</v>
      </c>
      <c r="N166" s="25" t="n">
        <f aca="false">L166*M166</f>
        <v>5610</v>
      </c>
      <c r="O166" s="25"/>
      <c r="P166" s="14"/>
      <c r="Q166" s="44" t="str">
        <f aca="false">IF(OR(O166="",M166=""),"",M166-O166)</f>
        <v/>
      </c>
      <c r="R166" s="45" t="str">
        <f aca="false">IF(Q166="","",Q166*L166)</f>
        <v/>
      </c>
      <c r="S166" s="45" t="n">
        <f aca="false">N166-K166</f>
        <v>-1194</v>
      </c>
      <c r="T166" s="46" t="s">
        <v>46</v>
      </c>
      <c r="U166" s="14"/>
      <c r="V166" s="23"/>
      <c r="W166" s="24" t="n">
        <f aca="false">L166</f>
        <v>3</v>
      </c>
      <c r="X166" s="25" t="n">
        <f aca="false">M166</f>
        <v>1870</v>
      </c>
      <c r="Y166" s="5" t="n">
        <f aca="false">IF(OR(W166="",X166=""),0,W166*X166)</f>
        <v>5610</v>
      </c>
    </row>
    <row r="167" customFormat="false" ht="26.85" hidden="false" customHeight="false" outlineLevel="0" collapsed="false">
      <c r="A167" s="23" t="s">
        <v>414</v>
      </c>
      <c r="B167" s="23" t="s">
        <v>531</v>
      </c>
      <c r="C167" s="14" t="s">
        <v>532</v>
      </c>
      <c r="D167" s="23" t="s">
        <v>141</v>
      </c>
      <c r="E167" s="24"/>
      <c r="F167" s="25"/>
      <c r="G167" s="25" t="str">
        <f aca="false">IF(E167="","",E167*F167)</f>
        <v/>
      </c>
      <c r="H167" s="25"/>
      <c r="I167" s="24" t="n">
        <v>1</v>
      </c>
      <c r="J167" s="25" t="n">
        <v>2268</v>
      </c>
      <c r="K167" s="25" t="n">
        <f aca="false">I167*J167</f>
        <v>2268</v>
      </c>
      <c r="L167" s="24" t="n">
        <v>1</v>
      </c>
      <c r="M167" s="25" t="n">
        <v>2040</v>
      </c>
      <c r="N167" s="25" t="n">
        <f aca="false">L167*M167</f>
        <v>2040</v>
      </c>
      <c r="O167" s="25"/>
      <c r="P167" s="14"/>
      <c r="Q167" s="44" t="str">
        <f aca="false">IF(OR(O167="",M167=""),"",M167-O167)</f>
        <v/>
      </c>
      <c r="R167" s="45" t="str">
        <f aca="false">IF(Q167="","",Q167*L167)</f>
        <v/>
      </c>
      <c r="S167" s="45" t="n">
        <f aca="false">N167-K167</f>
        <v>-228</v>
      </c>
      <c r="T167" s="46" t="s">
        <v>46</v>
      </c>
      <c r="U167" s="14"/>
      <c r="V167" s="23"/>
      <c r="W167" s="24" t="n">
        <f aca="false">L167</f>
        <v>1</v>
      </c>
      <c r="X167" s="25" t="n">
        <f aca="false">M167</f>
        <v>2040</v>
      </c>
      <c r="Y167" s="5" t="n">
        <f aca="false">IF(OR(W167="",X167=""),0,W167*X167)</f>
        <v>2040</v>
      </c>
    </row>
    <row r="168" customFormat="false" ht="26.85" hidden="false" customHeight="false" outlineLevel="0" collapsed="false">
      <c r="A168" s="23" t="s">
        <v>414</v>
      </c>
      <c r="B168" s="23" t="s">
        <v>533</v>
      </c>
      <c r="C168" s="14" t="s">
        <v>534</v>
      </c>
      <c r="D168" s="23" t="s">
        <v>141</v>
      </c>
      <c r="E168" s="24"/>
      <c r="F168" s="25"/>
      <c r="G168" s="25" t="str">
        <f aca="false">IF(E168="","",E168*F168)</f>
        <v/>
      </c>
      <c r="H168" s="25"/>
      <c r="I168" s="24" t="n">
        <v>1</v>
      </c>
      <c r="J168" s="25" t="n">
        <v>2268</v>
      </c>
      <c r="K168" s="25" t="n">
        <f aca="false">I168*J168</f>
        <v>2268</v>
      </c>
      <c r="L168" s="24" t="n">
        <v>1</v>
      </c>
      <c r="M168" s="25" t="n">
        <v>2210</v>
      </c>
      <c r="N168" s="25" t="n">
        <f aca="false">L168*M168</f>
        <v>2210</v>
      </c>
      <c r="O168" s="25"/>
      <c r="P168" s="14"/>
      <c r="Q168" s="44" t="str">
        <f aca="false">IF(OR(O168="",M168=""),"",M168-O168)</f>
        <v/>
      </c>
      <c r="R168" s="45" t="str">
        <f aca="false">IF(Q168="","",Q168*L168)</f>
        <v/>
      </c>
      <c r="S168" s="45" t="n">
        <f aca="false">N168-K168</f>
        <v>-58</v>
      </c>
      <c r="T168" s="46" t="s">
        <v>46</v>
      </c>
      <c r="U168" s="14"/>
      <c r="V168" s="23"/>
      <c r="W168" s="24" t="n">
        <f aca="false">L168</f>
        <v>1</v>
      </c>
      <c r="X168" s="25" t="n">
        <f aca="false">M168</f>
        <v>2210</v>
      </c>
      <c r="Y168" s="5" t="n">
        <f aca="false">IF(OR(W168="",X168=""),0,W168*X168)</f>
        <v>2210</v>
      </c>
    </row>
    <row r="169" customFormat="false" ht="26.85" hidden="false" customHeight="false" outlineLevel="0" collapsed="false">
      <c r="A169" s="23" t="s">
        <v>414</v>
      </c>
      <c r="B169" s="23" t="s">
        <v>535</v>
      </c>
      <c r="C169" s="14" t="s">
        <v>536</v>
      </c>
      <c r="D169" s="23" t="s">
        <v>141</v>
      </c>
      <c r="E169" s="24"/>
      <c r="F169" s="25"/>
      <c r="G169" s="25" t="str">
        <f aca="false">IF(E169="","",E169*F169)</f>
        <v/>
      </c>
      <c r="H169" s="25"/>
      <c r="I169" s="24" t="n">
        <v>4</v>
      </c>
      <c r="J169" s="25" t="n">
        <v>2592</v>
      </c>
      <c r="K169" s="25" t="n">
        <f aca="false">I169*J169</f>
        <v>10368</v>
      </c>
      <c r="L169" s="24" t="n">
        <v>4</v>
      </c>
      <c r="M169" s="25" t="n">
        <v>2720</v>
      </c>
      <c r="N169" s="25" t="n">
        <f aca="false">L169*M169</f>
        <v>10880</v>
      </c>
      <c r="O169" s="25"/>
      <c r="P169" s="14"/>
      <c r="Q169" s="25" t="str">
        <f aca="false">IF(OR(O169="",M169=""),"",M169-O169)</f>
        <v/>
      </c>
      <c r="R169" s="33" t="str">
        <f aca="false">IF(Q169="","",Q169*L169)</f>
        <v/>
      </c>
      <c r="S169" s="33" t="n">
        <f aca="false">N169-K169</f>
        <v>512</v>
      </c>
      <c r="T169" s="14" t="s">
        <v>338</v>
      </c>
      <c r="U169" s="14"/>
      <c r="V169" s="23"/>
      <c r="W169" s="24" t="n">
        <f aca="false">L169</f>
        <v>4</v>
      </c>
      <c r="X169" s="25" t="n">
        <f aca="false">M169</f>
        <v>2720</v>
      </c>
      <c r="Y169" s="5" t="n">
        <f aca="false">IF(OR(W169="",X169=""),0,W169*X169)</f>
        <v>10880</v>
      </c>
    </row>
    <row r="170" customFormat="false" ht="39.55" hidden="false" customHeight="false" outlineLevel="0" collapsed="false">
      <c r="A170" s="23" t="s">
        <v>414</v>
      </c>
      <c r="B170" s="23" t="s">
        <v>537</v>
      </c>
      <c r="C170" s="14" t="s">
        <v>538</v>
      </c>
      <c r="D170" s="23" t="s">
        <v>141</v>
      </c>
      <c r="E170" s="24"/>
      <c r="F170" s="25"/>
      <c r="G170" s="25" t="str">
        <f aca="false">IF(E170="","",E170*F170)</f>
        <v/>
      </c>
      <c r="H170" s="25"/>
      <c r="I170" s="24" t="n">
        <v>2</v>
      </c>
      <c r="J170" s="25" t="n">
        <v>1020</v>
      </c>
      <c r="K170" s="25" t="n">
        <f aca="false">I170*J170</f>
        <v>2040</v>
      </c>
      <c r="L170" s="24" t="n">
        <v>2</v>
      </c>
      <c r="M170" s="25" t="n">
        <v>370</v>
      </c>
      <c r="N170" s="25" t="n">
        <f aca="false">L170*M170</f>
        <v>740</v>
      </c>
      <c r="O170" s="25" t="n">
        <v>855</v>
      </c>
      <c r="P170" s="14" t="s">
        <v>495</v>
      </c>
      <c r="Q170" s="22" t="n">
        <f aca="false">IF(OR(O170="",M170=""),"",M170-O170)</f>
        <v>-485</v>
      </c>
      <c r="R170" s="37" t="n">
        <f aca="false">IF(Q170="","",Q170*L170)</f>
        <v>-970</v>
      </c>
      <c r="S170" s="37" t="n">
        <f aca="false">N170-K170</f>
        <v>-1300</v>
      </c>
      <c r="T170" s="13" t="s">
        <v>34</v>
      </c>
      <c r="U170" s="14"/>
      <c r="V170" s="38" t="s">
        <v>539</v>
      </c>
      <c r="W170" s="39" t="n">
        <v>2</v>
      </c>
      <c r="X170" s="40" t="n">
        <v>855</v>
      </c>
      <c r="Y170" s="9" t="n">
        <f aca="false">IF(OR(W170="",X170=""),0,W170*X170)</f>
        <v>1710</v>
      </c>
    </row>
    <row r="171" customFormat="false" ht="39.55" hidden="false" customHeight="false" outlineLevel="0" collapsed="false">
      <c r="A171" s="23" t="s">
        <v>414</v>
      </c>
      <c r="B171" s="23" t="s">
        <v>540</v>
      </c>
      <c r="C171" s="14" t="s">
        <v>541</v>
      </c>
      <c r="D171" s="23" t="s">
        <v>141</v>
      </c>
      <c r="E171" s="24"/>
      <c r="F171" s="25"/>
      <c r="G171" s="25" t="str">
        <f aca="false">IF(E171="","",E171*F171)</f>
        <v/>
      </c>
      <c r="H171" s="25"/>
      <c r="I171" s="24" t="n">
        <v>14</v>
      </c>
      <c r="J171" s="25" t="n">
        <v>1020</v>
      </c>
      <c r="K171" s="25" t="n">
        <f aca="false">I171*J171</f>
        <v>14280</v>
      </c>
      <c r="L171" s="24" t="n">
        <v>14</v>
      </c>
      <c r="M171" s="25" t="n">
        <v>370</v>
      </c>
      <c r="N171" s="25" t="n">
        <f aca="false">L171*M171</f>
        <v>5180</v>
      </c>
      <c r="O171" s="25" t="n">
        <v>855</v>
      </c>
      <c r="P171" s="14" t="s">
        <v>495</v>
      </c>
      <c r="Q171" s="22" t="n">
        <f aca="false">IF(OR(O171="",M171=""),"",M171-O171)</f>
        <v>-485</v>
      </c>
      <c r="R171" s="37" t="n">
        <f aca="false">IF(Q171="","",Q171*L171)</f>
        <v>-6790</v>
      </c>
      <c r="S171" s="37" t="n">
        <f aca="false">N171-K171</f>
        <v>-9100</v>
      </c>
      <c r="T171" s="13" t="s">
        <v>34</v>
      </c>
      <c r="U171" s="14"/>
      <c r="V171" s="38" t="s">
        <v>539</v>
      </c>
      <c r="W171" s="39" t="n">
        <v>14</v>
      </c>
      <c r="X171" s="40" t="n">
        <v>855</v>
      </c>
      <c r="Y171" s="9" t="n">
        <f aca="false">IF(OR(W171="",X171=""),0,W171*X171)</f>
        <v>11970</v>
      </c>
    </row>
    <row r="172" customFormat="false" ht="39.55" hidden="false" customHeight="false" outlineLevel="0" collapsed="false">
      <c r="A172" s="23" t="s">
        <v>414</v>
      </c>
      <c r="B172" s="23" t="s">
        <v>542</v>
      </c>
      <c r="C172" s="14" t="s">
        <v>543</v>
      </c>
      <c r="D172" s="23" t="s">
        <v>141</v>
      </c>
      <c r="E172" s="24"/>
      <c r="F172" s="25"/>
      <c r="G172" s="25" t="str">
        <f aca="false">IF(E172="","",E172*F172)</f>
        <v/>
      </c>
      <c r="H172" s="25"/>
      <c r="I172" s="24" t="n">
        <v>12</v>
      </c>
      <c r="J172" s="25" t="n">
        <v>1020</v>
      </c>
      <c r="K172" s="25" t="n">
        <f aca="false">I172*J172</f>
        <v>12240</v>
      </c>
      <c r="L172" s="24" t="n">
        <v>12</v>
      </c>
      <c r="M172" s="25" t="n">
        <v>370</v>
      </c>
      <c r="N172" s="25" t="n">
        <f aca="false">L172*M172</f>
        <v>4440</v>
      </c>
      <c r="O172" s="25" t="n">
        <v>855</v>
      </c>
      <c r="P172" s="14" t="s">
        <v>495</v>
      </c>
      <c r="Q172" s="22" t="n">
        <f aca="false">IF(OR(O172="",M172=""),"",M172-O172)</f>
        <v>-485</v>
      </c>
      <c r="R172" s="37" t="n">
        <f aca="false">IF(Q172="","",Q172*L172)</f>
        <v>-5820</v>
      </c>
      <c r="S172" s="37" t="n">
        <f aca="false">N172-K172</f>
        <v>-7800</v>
      </c>
      <c r="T172" s="13" t="s">
        <v>34</v>
      </c>
      <c r="U172" s="14"/>
      <c r="V172" s="38" t="s">
        <v>539</v>
      </c>
      <c r="W172" s="39" t="n">
        <v>12</v>
      </c>
      <c r="X172" s="40" t="n">
        <v>855</v>
      </c>
      <c r="Y172" s="9" t="n">
        <f aca="false">IF(OR(W172="",X172=""),0,W172*X172)</f>
        <v>10260</v>
      </c>
    </row>
    <row r="173" customFormat="false" ht="39.55" hidden="false" customHeight="false" outlineLevel="0" collapsed="false">
      <c r="A173" s="23" t="s">
        <v>414</v>
      </c>
      <c r="B173" s="23" t="s">
        <v>544</v>
      </c>
      <c r="C173" s="14" t="s">
        <v>545</v>
      </c>
      <c r="D173" s="23" t="s">
        <v>141</v>
      </c>
      <c r="E173" s="24"/>
      <c r="F173" s="25"/>
      <c r="G173" s="25" t="str">
        <f aca="false">IF(E173="","",E173*F173)</f>
        <v/>
      </c>
      <c r="H173" s="25"/>
      <c r="I173" s="24" t="n">
        <v>1</v>
      </c>
      <c r="J173" s="25" t="n">
        <v>1020</v>
      </c>
      <c r="K173" s="25" t="n">
        <f aca="false">I173*J173</f>
        <v>1020</v>
      </c>
      <c r="L173" s="24" t="n">
        <v>1</v>
      </c>
      <c r="M173" s="25" t="n">
        <v>370</v>
      </c>
      <c r="N173" s="25" t="n">
        <f aca="false">L173*M173</f>
        <v>370</v>
      </c>
      <c r="O173" s="25" t="n">
        <v>855</v>
      </c>
      <c r="P173" s="14" t="s">
        <v>495</v>
      </c>
      <c r="Q173" s="22" t="n">
        <f aca="false">IF(OR(O173="",M173=""),"",M173-O173)</f>
        <v>-485</v>
      </c>
      <c r="R173" s="37" t="n">
        <f aca="false">IF(Q173="","",Q173*L173)</f>
        <v>-485</v>
      </c>
      <c r="S173" s="37" t="n">
        <f aca="false">N173-K173</f>
        <v>-650</v>
      </c>
      <c r="T173" s="13" t="s">
        <v>34</v>
      </c>
      <c r="U173" s="14"/>
      <c r="V173" s="38" t="s">
        <v>539</v>
      </c>
      <c r="W173" s="39" t="n">
        <v>1</v>
      </c>
      <c r="X173" s="40" t="n">
        <v>855</v>
      </c>
      <c r="Y173" s="9" t="n">
        <f aca="false">IF(OR(W173="",X173=""),0,W173*X173)</f>
        <v>855</v>
      </c>
    </row>
    <row r="174" customFormat="false" ht="39.55" hidden="false" customHeight="false" outlineLevel="0" collapsed="false">
      <c r="A174" s="23" t="s">
        <v>414</v>
      </c>
      <c r="B174" s="23" t="s">
        <v>546</v>
      </c>
      <c r="C174" s="14" t="s">
        <v>547</v>
      </c>
      <c r="D174" s="23" t="s">
        <v>141</v>
      </c>
      <c r="E174" s="24"/>
      <c r="F174" s="25"/>
      <c r="G174" s="25" t="str">
        <f aca="false">IF(E174="","",E174*F174)</f>
        <v/>
      </c>
      <c r="H174" s="25"/>
      <c r="I174" s="24" t="n">
        <v>1</v>
      </c>
      <c r="J174" s="25" t="n">
        <v>1020</v>
      </c>
      <c r="K174" s="25" t="n">
        <f aca="false">I174*J174</f>
        <v>1020</v>
      </c>
      <c r="L174" s="24" t="n">
        <v>1</v>
      </c>
      <c r="M174" s="25" t="n">
        <v>370</v>
      </c>
      <c r="N174" s="25" t="n">
        <f aca="false">L174*M174</f>
        <v>370</v>
      </c>
      <c r="O174" s="25" t="n">
        <v>855</v>
      </c>
      <c r="P174" s="14" t="s">
        <v>495</v>
      </c>
      <c r="Q174" s="22" t="n">
        <f aca="false">IF(OR(O174="",M174=""),"",M174-O174)</f>
        <v>-485</v>
      </c>
      <c r="R174" s="37" t="n">
        <f aca="false">IF(Q174="","",Q174*L174)</f>
        <v>-485</v>
      </c>
      <c r="S174" s="37" t="n">
        <f aca="false">N174-K174</f>
        <v>-650</v>
      </c>
      <c r="T174" s="13" t="s">
        <v>34</v>
      </c>
      <c r="U174" s="14"/>
      <c r="V174" s="38" t="s">
        <v>539</v>
      </c>
      <c r="W174" s="39" t="n">
        <v>1</v>
      </c>
      <c r="X174" s="40" t="n">
        <v>855</v>
      </c>
      <c r="Y174" s="9" t="n">
        <f aca="false">IF(OR(W174="",X174=""),0,W174*X174)</f>
        <v>855</v>
      </c>
    </row>
    <row r="175" customFormat="false" ht="39.55" hidden="false" customHeight="false" outlineLevel="0" collapsed="false">
      <c r="A175" s="23" t="s">
        <v>414</v>
      </c>
      <c r="B175" s="23" t="s">
        <v>548</v>
      </c>
      <c r="C175" s="14" t="s">
        <v>549</v>
      </c>
      <c r="D175" s="23" t="s">
        <v>141</v>
      </c>
      <c r="E175" s="24"/>
      <c r="F175" s="25"/>
      <c r="G175" s="25" t="str">
        <f aca="false">IF(E175="","",E175*F175)</f>
        <v/>
      </c>
      <c r="H175" s="25"/>
      <c r="I175" s="24" t="n">
        <v>3</v>
      </c>
      <c r="J175" s="25" t="n">
        <v>1020</v>
      </c>
      <c r="K175" s="25" t="n">
        <f aca="false">I175*J175</f>
        <v>3060</v>
      </c>
      <c r="L175" s="24" t="n">
        <v>3</v>
      </c>
      <c r="M175" s="25" t="n">
        <v>370</v>
      </c>
      <c r="N175" s="25" t="n">
        <f aca="false">L175*M175</f>
        <v>1110</v>
      </c>
      <c r="O175" s="25" t="n">
        <v>855</v>
      </c>
      <c r="P175" s="14" t="s">
        <v>495</v>
      </c>
      <c r="Q175" s="22" t="n">
        <f aca="false">IF(OR(O175="",M175=""),"",M175-O175)</f>
        <v>-485</v>
      </c>
      <c r="R175" s="37" t="n">
        <f aca="false">IF(Q175="","",Q175*L175)</f>
        <v>-1455</v>
      </c>
      <c r="S175" s="37" t="n">
        <f aca="false">N175-K175</f>
        <v>-1950</v>
      </c>
      <c r="T175" s="13" t="s">
        <v>34</v>
      </c>
      <c r="U175" s="14"/>
      <c r="V175" s="38" t="s">
        <v>539</v>
      </c>
      <c r="W175" s="39" t="n">
        <v>3</v>
      </c>
      <c r="X175" s="40" t="n">
        <v>855</v>
      </c>
      <c r="Y175" s="9" t="n">
        <f aca="false">IF(OR(W175="",X175=""),0,W175*X175)</f>
        <v>2565</v>
      </c>
    </row>
    <row r="176" customFormat="false" ht="39.55" hidden="false" customHeight="false" outlineLevel="0" collapsed="false">
      <c r="A176" s="23" t="s">
        <v>414</v>
      </c>
      <c r="B176" s="23" t="s">
        <v>550</v>
      </c>
      <c r="C176" s="14" t="s">
        <v>551</v>
      </c>
      <c r="D176" s="23" t="s">
        <v>141</v>
      </c>
      <c r="E176" s="24"/>
      <c r="F176" s="25"/>
      <c r="G176" s="25" t="str">
        <f aca="false">IF(E176="","",E176*F176)</f>
        <v/>
      </c>
      <c r="H176" s="25"/>
      <c r="I176" s="24" t="n">
        <v>1</v>
      </c>
      <c r="J176" s="25" t="n">
        <v>1020</v>
      </c>
      <c r="K176" s="25" t="n">
        <f aca="false">I176*J176</f>
        <v>1020</v>
      </c>
      <c r="L176" s="24" t="n">
        <v>1</v>
      </c>
      <c r="M176" s="25" t="n">
        <v>370</v>
      </c>
      <c r="N176" s="25" t="n">
        <f aca="false">L176*M176</f>
        <v>370</v>
      </c>
      <c r="O176" s="25" t="n">
        <v>855</v>
      </c>
      <c r="P176" s="14" t="s">
        <v>495</v>
      </c>
      <c r="Q176" s="22" t="n">
        <f aca="false">IF(OR(O176="",M176=""),"",M176-O176)</f>
        <v>-485</v>
      </c>
      <c r="R176" s="37" t="n">
        <f aca="false">IF(Q176="","",Q176*L176)</f>
        <v>-485</v>
      </c>
      <c r="S176" s="37" t="n">
        <f aca="false">N176-K176</f>
        <v>-650</v>
      </c>
      <c r="T176" s="13" t="s">
        <v>34</v>
      </c>
      <c r="U176" s="14"/>
      <c r="V176" s="38" t="s">
        <v>539</v>
      </c>
      <c r="W176" s="39" t="n">
        <v>1</v>
      </c>
      <c r="X176" s="40" t="n">
        <v>855</v>
      </c>
      <c r="Y176" s="9" t="n">
        <f aca="false">IF(OR(W176="",X176=""),0,W176*X176)</f>
        <v>855</v>
      </c>
    </row>
    <row r="177" customFormat="false" ht="39.55" hidden="false" customHeight="false" outlineLevel="0" collapsed="false">
      <c r="A177" s="23" t="s">
        <v>414</v>
      </c>
      <c r="B177" s="23" t="s">
        <v>552</v>
      </c>
      <c r="C177" s="14" t="s">
        <v>553</v>
      </c>
      <c r="D177" s="23" t="s">
        <v>141</v>
      </c>
      <c r="E177" s="24"/>
      <c r="F177" s="25"/>
      <c r="G177" s="25" t="str">
        <f aca="false">IF(E177="","",E177*F177)</f>
        <v/>
      </c>
      <c r="H177" s="25"/>
      <c r="I177" s="24" t="n">
        <v>2</v>
      </c>
      <c r="J177" s="25" t="n">
        <v>1020</v>
      </c>
      <c r="K177" s="25" t="n">
        <f aca="false">I177*J177</f>
        <v>2040</v>
      </c>
      <c r="L177" s="24" t="n">
        <v>2</v>
      </c>
      <c r="M177" s="25" t="n">
        <v>370</v>
      </c>
      <c r="N177" s="25" t="n">
        <f aca="false">L177*M177</f>
        <v>740</v>
      </c>
      <c r="O177" s="25" t="n">
        <v>855</v>
      </c>
      <c r="P177" s="14" t="s">
        <v>495</v>
      </c>
      <c r="Q177" s="22" t="n">
        <f aca="false">IF(OR(O177="",M177=""),"",M177-O177)</f>
        <v>-485</v>
      </c>
      <c r="R177" s="37" t="n">
        <f aca="false">IF(Q177="","",Q177*L177)</f>
        <v>-970</v>
      </c>
      <c r="S177" s="37" t="n">
        <f aca="false">N177-K177</f>
        <v>-1300</v>
      </c>
      <c r="T177" s="13" t="s">
        <v>34</v>
      </c>
      <c r="U177" s="14"/>
      <c r="V177" s="38" t="s">
        <v>539</v>
      </c>
      <c r="W177" s="39" t="n">
        <v>2</v>
      </c>
      <c r="X177" s="40" t="n">
        <v>855</v>
      </c>
      <c r="Y177" s="9" t="n">
        <f aca="false">IF(OR(W177="",X177=""),0,W177*X177)</f>
        <v>1710</v>
      </c>
    </row>
    <row r="178" customFormat="false" ht="39.55" hidden="false" customHeight="false" outlineLevel="0" collapsed="false">
      <c r="A178" s="23" t="s">
        <v>414</v>
      </c>
      <c r="B178" s="23" t="s">
        <v>554</v>
      </c>
      <c r="C178" s="14" t="s">
        <v>555</v>
      </c>
      <c r="D178" s="23" t="s">
        <v>141</v>
      </c>
      <c r="E178" s="24"/>
      <c r="F178" s="25"/>
      <c r="G178" s="25" t="str">
        <f aca="false">IF(E178="","",E178*F178)</f>
        <v/>
      </c>
      <c r="H178" s="25"/>
      <c r="I178" s="24" t="n">
        <v>1</v>
      </c>
      <c r="J178" s="25" t="n">
        <v>1020</v>
      </c>
      <c r="K178" s="25" t="n">
        <f aca="false">I178*J178</f>
        <v>1020</v>
      </c>
      <c r="L178" s="24" t="n">
        <v>1</v>
      </c>
      <c r="M178" s="25" t="n">
        <v>370</v>
      </c>
      <c r="N178" s="25" t="n">
        <f aca="false">L178*M178</f>
        <v>370</v>
      </c>
      <c r="O178" s="25" t="n">
        <v>855</v>
      </c>
      <c r="P178" s="14" t="s">
        <v>495</v>
      </c>
      <c r="Q178" s="22" t="n">
        <f aca="false">IF(OR(O178="",M178=""),"",M178-O178)</f>
        <v>-485</v>
      </c>
      <c r="R178" s="37" t="n">
        <f aca="false">IF(Q178="","",Q178*L178)</f>
        <v>-485</v>
      </c>
      <c r="S178" s="37" t="n">
        <f aca="false">N178-K178</f>
        <v>-650</v>
      </c>
      <c r="T178" s="13" t="s">
        <v>34</v>
      </c>
      <c r="U178" s="14"/>
      <c r="V178" s="38" t="s">
        <v>539</v>
      </c>
      <c r="W178" s="39" t="n">
        <v>1</v>
      </c>
      <c r="X178" s="40" t="n">
        <v>855</v>
      </c>
      <c r="Y178" s="9" t="n">
        <f aca="false">IF(OR(W178="",X178=""),0,W178*X178)</f>
        <v>855</v>
      </c>
    </row>
    <row r="179" customFormat="false" ht="39.55" hidden="false" customHeight="false" outlineLevel="0" collapsed="false">
      <c r="A179" s="23" t="s">
        <v>414</v>
      </c>
      <c r="B179" s="23" t="s">
        <v>556</v>
      </c>
      <c r="C179" s="14" t="s">
        <v>557</v>
      </c>
      <c r="D179" s="23" t="s">
        <v>141</v>
      </c>
      <c r="E179" s="24"/>
      <c r="F179" s="25"/>
      <c r="G179" s="25" t="str">
        <f aca="false">IF(E179="","",E179*F179)</f>
        <v/>
      </c>
      <c r="H179" s="25"/>
      <c r="I179" s="24" t="n">
        <v>1</v>
      </c>
      <c r="J179" s="25" t="n">
        <v>1020</v>
      </c>
      <c r="K179" s="25" t="n">
        <f aca="false">I179*J179</f>
        <v>1020</v>
      </c>
      <c r="L179" s="24" t="n">
        <v>1</v>
      </c>
      <c r="M179" s="25" t="n">
        <v>440</v>
      </c>
      <c r="N179" s="25" t="n">
        <f aca="false">L179*M179</f>
        <v>440</v>
      </c>
      <c r="O179" s="25" t="n">
        <v>855</v>
      </c>
      <c r="P179" s="14" t="s">
        <v>495</v>
      </c>
      <c r="Q179" s="22" t="n">
        <f aca="false">IF(OR(O179="",M179=""),"",M179-O179)</f>
        <v>-415</v>
      </c>
      <c r="R179" s="37" t="n">
        <f aca="false">IF(Q179="","",Q179*L179)</f>
        <v>-415</v>
      </c>
      <c r="S179" s="37" t="n">
        <f aca="false">N179-K179</f>
        <v>-580</v>
      </c>
      <c r="T179" s="13" t="s">
        <v>34</v>
      </c>
      <c r="U179" s="14"/>
      <c r="V179" s="38" t="s">
        <v>539</v>
      </c>
      <c r="W179" s="39" t="n">
        <v>1</v>
      </c>
      <c r="X179" s="40" t="n">
        <v>855</v>
      </c>
      <c r="Y179" s="9" t="n">
        <f aca="false">IF(OR(W179="",X179=""),0,W179*X179)</f>
        <v>855</v>
      </c>
    </row>
    <row r="180" customFormat="false" ht="39.55" hidden="false" customHeight="false" outlineLevel="0" collapsed="false">
      <c r="A180" s="23" t="s">
        <v>414</v>
      </c>
      <c r="B180" s="23" t="s">
        <v>558</v>
      </c>
      <c r="C180" s="14" t="s">
        <v>559</v>
      </c>
      <c r="D180" s="23" t="s">
        <v>141</v>
      </c>
      <c r="E180" s="24"/>
      <c r="F180" s="25"/>
      <c r="G180" s="25" t="str">
        <f aca="false">IF(E180="","",E180*F180)</f>
        <v/>
      </c>
      <c r="H180" s="25"/>
      <c r="I180" s="24" t="n">
        <v>1</v>
      </c>
      <c r="J180" s="25" t="n">
        <v>1020</v>
      </c>
      <c r="K180" s="25" t="n">
        <f aca="false">I180*J180</f>
        <v>1020</v>
      </c>
      <c r="L180" s="24" t="n">
        <v>1</v>
      </c>
      <c r="M180" s="25" t="n">
        <v>440</v>
      </c>
      <c r="N180" s="25" t="n">
        <f aca="false">L180*M180</f>
        <v>440</v>
      </c>
      <c r="O180" s="25" t="n">
        <v>855</v>
      </c>
      <c r="P180" s="14" t="s">
        <v>495</v>
      </c>
      <c r="Q180" s="22" t="n">
        <f aca="false">IF(OR(O180="",M180=""),"",M180-O180)</f>
        <v>-415</v>
      </c>
      <c r="R180" s="37" t="n">
        <f aca="false">IF(Q180="","",Q180*L180)</f>
        <v>-415</v>
      </c>
      <c r="S180" s="37" t="n">
        <f aca="false">N180-K180</f>
        <v>-580</v>
      </c>
      <c r="T180" s="13" t="s">
        <v>34</v>
      </c>
      <c r="U180" s="14"/>
      <c r="V180" s="38" t="s">
        <v>539</v>
      </c>
      <c r="W180" s="39" t="n">
        <v>1</v>
      </c>
      <c r="X180" s="40" t="n">
        <v>855</v>
      </c>
      <c r="Y180" s="9" t="n">
        <f aca="false">IF(OR(W180="",X180=""),0,W180*X180)</f>
        <v>855</v>
      </c>
    </row>
    <row r="181" customFormat="false" ht="26.85" hidden="false" customHeight="false" outlineLevel="0" collapsed="false">
      <c r="A181" s="23" t="s">
        <v>414</v>
      </c>
      <c r="B181" s="23" t="s">
        <v>560</v>
      </c>
      <c r="C181" s="14" t="s">
        <v>561</v>
      </c>
      <c r="D181" s="23" t="s">
        <v>141</v>
      </c>
      <c r="E181" s="24"/>
      <c r="F181" s="25"/>
      <c r="G181" s="25" t="str">
        <f aca="false">IF(E181="","",E181*F181)</f>
        <v/>
      </c>
      <c r="H181" s="25"/>
      <c r="I181" s="24" t="n">
        <v>1</v>
      </c>
      <c r="J181" s="25" t="n">
        <v>1296</v>
      </c>
      <c r="K181" s="25" t="n">
        <f aca="false">I181*J181</f>
        <v>1296</v>
      </c>
      <c r="L181" s="24" t="n">
        <v>1</v>
      </c>
      <c r="M181" s="25" t="n">
        <v>680</v>
      </c>
      <c r="N181" s="25" t="n">
        <f aca="false">L181*M181</f>
        <v>680</v>
      </c>
      <c r="O181" s="25"/>
      <c r="P181" s="14"/>
      <c r="Q181" s="44" t="str">
        <f aca="false">IF(OR(O181="",M181=""),"",M181-O181)</f>
        <v/>
      </c>
      <c r="R181" s="45" t="str">
        <f aca="false">IF(Q181="","",Q181*L181)</f>
        <v/>
      </c>
      <c r="S181" s="45" t="n">
        <f aca="false">N181-K181</f>
        <v>-616</v>
      </c>
      <c r="T181" s="46" t="s">
        <v>46</v>
      </c>
      <c r="U181" s="14"/>
      <c r="V181" s="23"/>
      <c r="W181" s="24" t="n">
        <f aca="false">L181</f>
        <v>1</v>
      </c>
      <c r="X181" s="25" t="n">
        <f aca="false">M181</f>
        <v>680</v>
      </c>
      <c r="Y181" s="5" t="n">
        <f aca="false">IF(OR(W181="",X181=""),0,W181*X181)</f>
        <v>680</v>
      </c>
    </row>
    <row r="182" customFormat="false" ht="26.85" hidden="false" customHeight="false" outlineLevel="0" collapsed="false">
      <c r="A182" s="23" t="s">
        <v>414</v>
      </c>
      <c r="B182" s="23" t="s">
        <v>562</v>
      </c>
      <c r="C182" s="14" t="s">
        <v>563</v>
      </c>
      <c r="D182" s="23" t="s">
        <v>141</v>
      </c>
      <c r="E182" s="24"/>
      <c r="F182" s="25"/>
      <c r="G182" s="25" t="str">
        <f aca="false">IF(E182="","",E182*F182)</f>
        <v/>
      </c>
      <c r="H182" s="25"/>
      <c r="I182" s="24" t="n">
        <v>1</v>
      </c>
      <c r="J182" s="25" t="n">
        <v>1620</v>
      </c>
      <c r="K182" s="25" t="n">
        <f aca="false">I182*J182</f>
        <v>1620</v>
      </c>
      <c r="L182" s="24" t="n">
        <v>1</v>
      </c>
      <c r="M182" s="25" t="n">
        <v>680</v>
      </c>
      <c r="N182" s="25" t="n">
        <f aca="false">L182*M182</f>
        <v>680</v>
      </c>
      <c r="O182" s="25"/>
      <c r="P182" s="14"/>
      <c r="Q182" s="44" t="str">
        <f aca="false">IF(OR(O182="",M182=""),"",M182-O182)</f>
        <v/>
      </c>
      <c r="R182" s="45" t="str">
        <f aca="false">IF(Q182="","",Q182*L182)</f>
        <v/>
      </c>
      <c r="S182" s="45" t="n">
        <f aca="false">N182-K182</f>
        <v>-940</v>
      </c>
      <c r="T182" s="46" t="s">
        <v>46</v>
      </c>
      <c r="U182" s="14"/>
      <c r="V182" s="23"/>
      <c r="W182" s="24" t="n">
        <f aca="false">L182</f>
        <v>1</v>
      </c>
      <c r="X182" s="25" t="n">
        <f aca="false">M182</f>
        <v>680</v>
      </c>
      <c r="Y182" s="5" t="n">
        <f aca="false">IF(OR(W182="",X182=""),0,W182*X182)</f>
        <v>680</v>
      </c>
    </row>
    <row r="183" customFormat="false" ht="26.85" hidden="false" customHeight="false" outlineLevel="0" collapsed="false">
      <c r="A183" s="23" t="s">
        <v>414</v>
      </c>
      <c r="B183" s="23" t="s">
        <v>564</v>
      </c>
      <c r="C183" s="14" t="s">
        <v>565</v>
      </c>
      <c r="D183" s="23" t="s">
        <v>141</v>
      </c>
      <c r="E183" s="24"/>
      <c r="F183" s="25"/>
      <c r="G183" s="25" t="str">
        <f aca="false">IF(E183="","",E183*F183)</f>
        <v/>
      </c>
      <c r="H183" s="25"/>
      <c r="I183" s="24" t="n">
        <v>1</v>
      </c>
      <c r="J183" s="25" t="n">
        <v>1296</v>
      </c>
      <c r="K183" s="25" t="n">
        <f aca="false">I183*J183</f>
        <v>1296</v>
      </c>
      <c r="L183" s="24" t="n">
        <v>1</v>
      </c>
      <c r="M183" s="25" t="n">
        <v>850</v>
      </c>
      <c r="N183" s="25" t="n">
        <f aca="false">L183*M183</f>
        <v>850</v>
      </c>
      <c r="O183" s="25"/>
      <c r="P183" s="14"/>
      <c r="Q183" s="44" t="str">
        <f aca="false">IF(OR(O183="",M183=""),"",M183-O183)</f>
        <v/>
      </c>
      <c r="R183" s="45" t="str">
        <f aca="false">IF(Q183="","",Q183*L183)</f>
        <v/>
      </c>
      <c r="S183" s="45" t="n">
        <f aca="false">N183-K183</f>
        <v>-446</v>
      </c>
      <c r="T183" s="46" t="s">
        <v>46</v>
      </c>
      <c r="U183" s="14"/>
      <c r="V183" s="23"/>
      <c r="W183" s="24" t="n">
        <f aca="false">L183</f>
        <v>1</v>
      </c>
      <c r="X183" s="25" t="n">
        <f aca="false">M183</f>
        <v>850</v>
      </c>
      <c r="Y183" s="5" t="n">
        <f aca="false">IF(OR(W183="",X183=""),0,W183*X183)</f>
        <v>850</v>
      </c>
    </row>
    <row r="184" customFormat="false" ht="26.85" hidden="false" customHeight="false" outlineLevel="0" collapsed="false">
      <c r="A184" s="23" t="s">
        <v>414</v>
      </c>
      <c r="B184" s="23" t="s">
        <v>566</v>
      </c>
      <c r="C184" s="14" t="s">
        <v>567</v>
      </c>
      <c r="D184" s="23" t="s">
        <v>141</v>
      </c>
      <c r="E184" s="24"/>
      <c r="F184" s="25"/>
      <c r="G184" s="25" t="str">
        <f aca="false">IF(E184="","",E184*F184)</f>
        <v/>
      </c>
      <c r="H184" s="25"/>
      <c r="I184" s="24" t="n">
        <v>1</v>
      </c>
      <c r="J184" s="25" t="n">
        <v>1296</v>
      </c>
      <c r="K184" s="25" t="n">
        <f aca="false">I184*J184</f>
        <v>1296</v>
      </c>
      <c r="L184" s="24" t="n">
        <v>1</v>
      </c>
      <c r="M184" s="25" t="n">
        <v>850</v>
      </c>
      <c r="N184" s="25" t="n">
        <f aca="false">L184*M184</f>
        <v>850</v>
      </c>
      <c r="O184" s="25"/>
      <c r="P184" s="14"/>
      <c r="Q184" s="44" t="str">
        <f aca="false">IF(OR(O184="",M184=""),"",M184-O184)</f>
        <v/>
      </c>
      <c r="R184" s="45" t="str">
        <f aca="false">IF(Q184="","",Q184*L184)</f>
        <v/>
      </c>
      <c r="S184" s="45" t="n">
        <f aca="false">N184-K184</f>
        <v>-446</v>
      </c>
      <c r="T184" s="46" t="s">
        <v>46</v>
      </c>
      <c r="U184" s="14"/>
      <c r="V184" s="23"/>
      <c r="W184" s="24" t="n">
        <f aca="false">L184</f>
        <v>1</v>
      </c>
      <c r="X184" s="25" t="n">
        <f aca="false">M184</f>
        <v>850</v>
      </c>
      <c r="Y184" s="5" t="n">
        <f aca="false">IF(OR(W184="",X184=""),0,W184*X184)</f>
        <v>850</v>
      </c>
    </row>
    <row r="185" customFormat="false" ht="26.85" hidden="false" customHeight="false" outlineLevel="0" collapsed="false">
      <c r="A185" s="23" t="s">
        <v>414</v>
      </c>
      <c r="B185" s="23" t="s">
        <v>568</v>
      </c>
      <c r="C185" s="14" t="s">
        <v>569</v>
      </c>
      <c r="D185" s="23" t="s">
        <v>141</v>
      </c>
      <c r="E185" s="24"/>
      <c r="F185" s="25"/>
      <c r="G185" s="25" t="str">
        <f aca="false">IF(E185="","",E185*F185)</f>
        <v/>
      </c>
      <c r="H185" s="25"/>
      <c r="I185" s="24" t="n">
        <v>1</v>
      </c>
      <c r="J185" s="25" t="n">
        <v>2106</v>
      </c>
      <c r="K185" s="25" t="n">
        <f aca="false">I185*J185</f>
        <v>2106</v>
      </c>
      <c r="L185" s="24" t="n">
        <v>1</v>
      </c>
      <c r="M185" s="25" t="n">
        <v>850</v>
      </c>
      <c r="N185" s="25" t="n">
        <f aca="false">L185*M185</f>
        <v>850</v>
      </c>
      <c r="O185" s="25"/>
      <c r="P185" s="14"/>
      <c r="Q185" s="44" t="str">
        <f aca="false">IF(OR(O185="",M185=""),"",M185-O185)</f>
        <v/>
      </c>
      <c r="R185" s="45" t="str">
        <f aca="false">IF(Q185="","",Q185*L185)</f>
        <v/>
      </c>
      <c r="S185" s="45" t="n">
        <f aca="false">N185-K185</f>
        <v>-1256</v>
      </c>
      <c r="T185" s="46" t="s">
        <v>46</v>
      </c>
      <c r="U185" s="14"/>
      <c r="V185" s="23"/>
      <c r="W185" s="24" t="n">
        <f aca="false">L185</f>
        <v>1</v>
      </c>
      <c r="X185" s="25" t="n">
        <f aca="false">M185</f>
        <v>850</v>
      </c>
      <c r="Y185" s="5" t="n">
        <f aca="false">IF(OR(W185="",X185=""),0,W185*X185)</f>
        <v>850</v>
      </c>
    </row>
    <row r="186" customFormat="false" ht="26.85" hidden="false" customHeight="false" outlineLevel="0" collapsed="false">
      <c r="A186" s="23" t="s">
        <v>414</v>
      </c>
      <c r="B186" s="23" t="s">
        <v>570</v>
      </c>
      <c r="C186" s="14" t="s">
        <v>571</v>
      </c>
      <c r="D186" s="23" t="s">
        <v>141</v>
      </c>
      <c r="E186" s="24"/>
      <c r="F186" s="25"/>
      <c r="G186" s="25" t="str">
        <f aca="false">IF(E186="","",E186*F186)</f>
        <v/>
      </c>
      <c r="H186" s="25"/>
      <c r="I186" s="24" t="n">
        <v>1</v>
      </c>
      <c r="J186" s="25" t="n">
        <v>1620</v>
      </c>
      <c r="K186" s="25" t="n">
        <f aca="false">I186*J186</f>
        <v>1620</v>
      </c>
      <c r="L186" s="24" t="n">
        <v>1</v>
      </c>
      <c r="M186" s="25" t="n">
        <v>850</v>
      </c>
      <c r="N186" s="25" t="n">
        <f aca="false">L186*M186</f>
        <v>850</v>
      </c>
      <c r="O186" s="25"/>
      <c r="P186" s="14"/>
      <c r="Q186" s="44" t="str">
        <f aca="false">IF(OR(O186="",M186=""),"",M186-O186)</f>
        <v/>
      </c>
      <c r="R186" s="45" t="str">
        <f aca="false">IF(Q186="","",Q186*L186)</f>
        <v/>
      </c>
      <c r="S186" s="45" t="n">
        <f aca="false">N186-K186</f>
        <v>-770</v>
      </c>
      <c r="T186" s="46" t="s">
        <v>46</v>
      </c>
      <c r="U186" s="14"/>
      <c r="V186" s="23"/>
      <c r="W186" s="24" t="n">
        <f aca="false">L186</f>
        <v>1</v>
      </c>
      <c r="X186" s="25" t="n">
        <f aca="false">M186</f>
        <v>850</v>
      </c>
      <c r="Y186" s="5" t="n">
        <f aca="false">IF(OR(W186="",X186=""),0,W186*X186)</f>
        <v>850</v>
      </c>
    </row>
    <row r="187" customFormat="false" ht="26.85" hidden="false" customHeight="false" outlineLevel="0" collapsed="false">
      <c r="A187" s="23" t="s">
        <v>414</v>
      </c>
      <c r="B187" s="23" t="s">
        <v>572</v>
      </c>
      <c r="C187" s="14" t="s">
        <v>573</v>
      </c>
      <c r="D187" s="23" t="s">
        <v>141</v>
      </c>
      <c r="E187" s="24"/>
      <c r="F187" s="25"/>
      <c r="G187" s="25" t="str">
        <f aca="false">IF(E187="","",E187*F187)</f>
        <v/>
      </c>
      <c r="H187" s="25"/>
      <c r="I187" s="24" t="n">
        <v>1</v>
      </c>
      <c r="J187" s="25" t="n">
        <v>1944</v>
      </c>
      <c r="K187" s="25" t="n">
        <f aca="false">I187*J187</f>
        <v>1944</v>
      </c>
      <c r="L187" s="24" t="n">
        <v>1</v>
      </c>
      <c r="M187" s="25" t="n">
        <v>1020</v>
      </c>
      <c r="N187" s="25" t="n">
        <f aca="false">L187*M187</f>
        <v>1020</v>
      </c>
      <c r="O187" s="25"/>
      <c r="P187" s="14"/>
      <c r="Q187" s="44" t="str">
        <f aca="false">IF(OR(O187="",M187=""),"",M187-O187)</f>
        <v/>
      </c>
      <c r="R187" s="45" t="str">
        <f aca="false">IF(Q187="","",Q187*L187)</f>
        <v/>
      </c>
      <c r="S187" s="45" t="n">
        <f aca="false">N187-K187</f>
        <v>-924</v>
      </c>
      <c r="T187" s="46" t="s">
        <v>46</v>
      </c>
      <c r="U187" s="14"/>
      <c r="V187" s="23"/>
      <c r="W187" s="24" t="n">
        <f aca="false">L187</f>
        <v>1</v>
      </c>
      <c r="X187" s="25" t="n">
        <f aca="false">M187</f>
        <v>1020</v>
      </c>
      <c r="Y187" s="5" t="n">
        <f aca="false">IF(OR(W187="",X187=""),0,W187*X187)</f>
        <v>1020</v>
      </c>
    </row>
    <row r="188" customFormat="false" ht="26.85" hidden="false" customHeight="false" outlineLevel="0" collapsed="false">
      <c r="A188" s="23" t="s">
        <v>414</v>
      </c>
      <c r="B188" s="23" t="s">
        <v>574</v>
      </c>
      <c r="C188" s="14" t="s">
        <v>575</v>
      </c>
      <c r="D188" s="23" t="s">
        <v>141</v>
      </c>
      <c r="E188" s="24"/>
      <c r="F188" s="25"/>
      <c r="G188" s="25" t="str">
        <f aca="false">IF(E188="","",E188*F188)</f>
        <v/>
      </c>
      <c r="H188" s="25"/>
      <c r="I188" s="24" t="n">
        <v>2</v>
      </c>
      <c r="J188" s="25" t="n">
        <v>1944</v>
      </c>
      <c r="K188" s="25" t="n">
        <f aca="false">I188*J188</f>
        <v>3888</v>
      </c>
      <c r="L188" s="24" t="n">
        <v>2</v>
      </c>
      <c r="M188" s="25" t="n">
        <v>1020</v>
      </c>
      <c r="N188" s="25" t="n">
        <f aca="false">L188*M188</f>
        <v>2040</v>
      </c>
      <c r="O188" s="25"/>
      <c r="P188" s="14"/>
      <c r="Q188" s="44" t="str">
        <f aca="false">IF(OR(O188="",M188=""),"",M188-O188)</f>
        <v/>
      </c>
      <c r="R188" s="45" t="str">
        <f aca="false">IF(Q188="","",Q188*L188)</f>
        <v/>
      </c>
      <c r="S188" s="45" t="n">
        <f aca="false">N188-K188</f>
        <v>-1848</v>
      </c>
      <c r="T188" s="46" t="s">
        <v>46</v>
      </c>
      <c r="U188" s="14"/>
      <c r="V188" s="23"/>
      <c r="W188" s="24" t="n">
        <f aca="false">L188</f>
        <v>2</v>
      </c>
      <c r="X188" s="25" t="n">
        <f aca="false">M188</f>
        <v>1020</v>
      </c>
      <c r="Y188" s="5" t="n">
        <f aca="false">IF(OR(W188="",X188=""),0,W188*X188)</f>
        <v>2040</v>
      </c>
    </row>
    <row r="189" customFormat="false" ht="26.85" hidden="false" customHeight="false" outlineLevel="0" collapsed="false">
      <c r="A189" s="23" t="s">
        <v>414</v>
      </c>
      <c r="B189" s="23" t="s">
        <v>576</v>
      </c>
      <c r="C189" s="14" t="s">
        <v>577</v>
      </c>
      <c r="D189" s="23" t="s">
        <v>141</v>
      </c>
      <c r="E189" s="24"/>
      <c r="F189" s="25"/>
      <c r="G189" s="25" t="str">
        <f aca="false">IF(E189="","",E189*F189)</f>
        <v/>
      </c>
      <c r="H189" s="25"/>
      <c r="I189" s="24" t="n">
        <v>1</v>
      </c>
      <c r="J189" s="25" t="n">
        <v>2592</v>
      </c>
      <c r="K189" s="25" t="n">
        <f aca="false">I189*J189</f>
        <v>2592</v>
      </c>
      <c r="L189" s="24" t="n">
        <v>1</v>
      </c>
      <c r="M189" s="25" t="n">
        <v>1020</v>
      </c>
      <c r="N189" s="25" t="n">
        <f aca="false">L189*M189</f>
        <v>1020</v>
      </c>
      <c r="O189" s="25"/>
      <c r="P189" s="14"/>
      <c r="Q189" s="44" t="str">
        <f aca="false">IF(OR(O189="",M189=""),"",M189-O189)</f>
        <v/>
      </c>
      <c r="R189" s="45" t="str">
        <f aca="false">IF(Q189="","",Q189*L189)</f>
        <v/>
      </c>
      <c r="S189" s="45" t="n">
        <f aca="false">N189-K189</f>
        <v>-1572</v>
      </c>
      <c r="T189" s="46" t="s">
        <v>46</v>
      </c>
      <c r="U189" s="14"/>
      <c r="V189" s="23"/>
      <c r="W189" s="24" t="n">
        <f aca="false">L189</f>
        <v>1</v>
      </c>
      <c r="X189" s="25" t="n">
        <f aca="false">M189</f>
        <v>1020</v>
      </c>
      <c r="Y189" s="5" t="n">
        <f aca="false">IF(OR(W189="",X189=""),0,W189*X189)</f>
        <v>1020</v>
      </c>
    </row>
    <row r="190" customFormat="false" ht="26.85" hidden="false" customHeight="false" outlineLevel="0" collapsed="false">
      <c r="A190" s="23" t="s">
        <v>414</v>
      </c>
      <c r="B190" s="23" t="s">
        <v>578</v>
      </c>
      <c r="C190" s="14" t="s">
        <v>579</v>
      </c>
      <c r="D190" s="23" t="s">
        <v>141</v>
      </c>
      <c r="E190" s="24"/>
      <c r="F190" s="25"/>
      <c r="G190" s="25" t="str">
        <f aca="false">IF(E190="","",E190*F190)</f>
        <v/>
      </c>
      <c r="H190" s="25"/>
      <c r="I190" s="24" t="n">
        <v>4</v>
      </c>
      <c r="J190" s="25" t="n">
        <v>1020</v>
      </c>
      <c r="K190" s="25" t="n">
        <f aca="false">I190*J190</f>
        <v>4080</v>
      </c>
      <c r="L190" s="24" t="n">
        <v>4</v>
      </c>
      <c r="M190" s="25" t="n">
        <v>370</v>
      </c>
      <c r="N190" s="25" t="n">
        <f aca="false">L190*M190</f>
        <v>1480</v>
      </c>
      <c r="O190" s="25"/>
      <c r="P190" s="14"/>
      <c r="Q190" s="44" t="str">
        <f aca="false">IF(OR(O190="",M190=""),"",M190-O190)</f>
        <v/>
      </c>
      <c r="R190" s="45" t="str">
        <f aca="false">IF(Q190="","",Q190*L190)</f>
        <v/>
      </c>
      <c r="S190" s="45" t="n">
        <f aca="false">N190-K190</f>
        <v>-2600</v>
      </c>
      <c r="T190" s="46" t="s">
        <v>46</v>
      </c>
      <c r="U190" s="14"/>
      <c r="V190" s="38" t="s">
        <v>580</v>
      </c>
      <c r="W190" s="39" t="n">
        <v>4</v>
      </c>
      <c r="X190" s="40" t="n">
        <v>630</v>
      </c>
      <c r="Y190" s="9" t="n">
        <f aca="false">IF(OR(W190="",X190=""),0,W190*X190)</f>
        <v>2520</v>
      </c>
    </row>
    <row r="191" customFormat="false" ht="26.85" hidden="false" customHeight="false" outlineLevel="0" collapsed="false">
      <c r="A191" s="23" t="s">
        <v>414</v>
      </c>
      <c r="B191" s="23" t="s">
        <v>581</v>
      </c>
      <c r="C191" s="14" t="s">
        <v>582</v>
      </c>
      <c r="D191" s="23" t="s">
        <v>141</v>
      </c>
      <c r="E191" s="24"/>
      <c r="F191" s="25"/>
      <c r="G191" s="25" t="str">
        <f aca="false">IF(E191="","",E191*F191)</f>
        <v/>
      </c>
      <c r="H191" s="25"/>
      <c r="I191" s="24" t="n">
        <v>3</v>
      </c>
      <c r="J191" s="25" t="n">
        <v>1020</v>
      </c>
      <c r="K191" s="25" t="n">
        <f aca="false">I191*J191</f>
        <v>3060</v>
      </c>
      <c r="L191" s="24" t="n">
        <v>3</v>
      </c>
      <c r="M191" s="25" t="n">
        <v>370</v>
      </c>
      <c r="N191" s="25" t="n">
        <f aca="false">L191*M191</f>
        <v>1110</v>
      </c>
      <c r="O191" s="25"/>
      <c r="P191" s="14"/>
      <c r="Q191" s="44" t="str">
        <f aca="false">IF(OR(O191="",M191=""),"",M191-O191)</f>
        <v/>
      </c>
      <c r="R191" s="45" t="str">
        <f aca="false">IF(Q191="","",Q191*L191)</f>
        <v/>
      </c>
      <c r="S191" s="45" t="n">
        <f aca="false">N191-K191</f>
        <v>-1950</v>
      </c>
      <c r="T191" s="46" t="s">
        <v>46</v>
      </c>
      <c r="U191" s="14"/>
      <c r="V191" s="38" t="s">
        <v>580</v>
      </c>
      <c r="W191" s="39" t="n">
        <v>3</v>
      </c>
      <c r="X191" s="40" t="n">
        <v>630</v>
      </c>
      <c r="Y191" s="9" t="n">
        <f aca="false">IF(OR(W191="",X191=""),0,W191*X191)</f>
        <v>1890</v>
      </c>
    </row>
    <row r="192" customFormat="false" ht="26.85" hidden="false" customHeight="false" outlineLevel="0" collapsed="false">
      <c r="A192" s="23" t="s">
        <v>414</v>
      </c>
      <c r="B192" s="23" t="s">
        <v>583</v>
      </c>
      <c r="C192" s="14" t="s">
        <v>584</v>
      </c>
      <c r="D192" s="23" t="s">
        <v>141</v>
      </c>
      <c r="E192" s="24"/>
      <c r="F192" s="25"/>
      <c r="G192" s="25" t="str">
        <f aca="false">IF(E192="","",E192*F192)</f>
        <v/>
      </c>
      <c r="H192" s="25"/>
      <c r="I192" s="24" t="n">
        <v>17</v>
      </c>
      <c r="J192" s="25" t="n">
        <v>1020</v>
      </c>
      <c r="K192" s="25" t="n">
        <f aca="false">I192*J192</f>
        <v>17340</v>
      </c>
      <c r="L192" s="24" t="n">
        <v>17</v>
      </c>
      <c r="M192" s="25" t="n">
        <v>370</v>
      </c>
      <c r="N192" s="25" t="n">
        <f aca="false">L192*M192</f>
        <v>6290</v>
      </c>
      <c r="O192" s="25"/>
      <c r="P192" s="14"/>
      <c r="Q192" s="44" t="str">
        <f aca="false">IF(OR(O192="",M192=""),"",M192-O192)</f>
        <v/>
      </c>
      <c r="R192" s="45" t="str">
        <f aca="false">IF(Q192="","",Q192*L192)</f>
        <v/>
      </c>
      <c r="S192" s="45" t="n">
        <f aca="false">N192-K192</f>
        <v>-11050</v>
      </c>
      <c r="T192" s="46" t="s">
        <v>46</v>
      </c>
      <c r="U192" s="14"/>
      <c r="V192" s="38" t="s">
        <v>580</v>
      </c>
      <c r="W192" s="39" t="n">
        <v>17</v>
      </c>
      <c r="X192" s="40" t="n">
        <v>630</v>
      </c>
      <c r="Y192" s="9" t="n">
        <f aca="false">IF(OR(W192="",X192=""),0,W192*X192)</f>
        <v>10710</v>
      </c>
    </row>
    <row r="193" customFormat="false" ht="26.85" hidden="false" customHeight="false" outlineLevel="0" collapsed="false">
      <c r="A193" s="23" t="s">
        <v>414</v>
      </c>
      <c r="B193" s="23" t="s">
        <v>585</v>
      </c>
      <c r="C193" s="14" t="s">
        <v>586</v>
      </c>
      <c r="D193" s="23" t="s">
        <v>141</v>
      </c>
      <c r="E193" s="24"/>
      <c r="F193" s="25"/>
      <c r="G193" s="25" t="str">
        <f aca="false">IF(E193="","",E193*F193)</f>
        <v/>
      </c>
      <c r="H193" s="25"/>
      <c r="I193" s="24" t="n">
        <v>12</v>
      </c>
      <c r="J193" s="25" t="n">
        <v>1020</v>
      </c>
      <c r="K193" s="25" t="n">
        <f aca="false">I193*J193</f>
        <v>12240</v>
      </c>
      <c r="L193" s="24" t="n">
        <v>12</v>
      </c>
      <c r="M193" s="25" t="n">
        <v>370</v>
      </c>
      <c r="N193" s="25" t="n">
        <f aca="false">L193*M193</f>
        <v>4440</v>
      </c>
      <c r="O193" s="25"/>
      <c r="P193" s="14"/>
      <c r="Q193" s="44" t="str">
        <f aca="false">IF(OR(O193="",M193=""),"",M193-O193)</f>
        <v/>
      </c>
      <c r="R193" s="45" t="str">
        <f aca="false">IF(Q193="","",Q193*L193)</f>
        <v/>
      </c>
      <c r="S193" s="45" t="n">
        <f aca="false">N193-K193</f>
        <v>-7800</v>
      </c>
      <c r="T193" s="46" t="s">
        <v>46</v>
      </c>
      <c r="U193" s="14"/>
      <c r="V193" s="38" t="s">
        <v>580</v>
      </c>
      <c r="W193" s="39" t="n">
        <v>12</v>
      </c>
      <c r="X193" s="40" t="n">
        <v>630</v>
      </c>
      <c r="Y193" s="9" t="n">
        <f aca="false">IF(OR(W193="",X193=""),0,W193*X193)</f>
        <v>7560</v>
      </c>
    </row>
    <row r="194" customFormat="false" ht="26.85" hidden="false" customHeight="false" outlineLevel="0" collapsed="false">
      <c r="A194" s="23" t="s">
        <v>414</v>
      </c>
      <c r="B194" s="23" t="s">
        <v>587</v>
      </c>
      <c r="C194" s="14" t="s">
        <v>588</v>
      </c>
      <c r="D194" s="23" t="s">
        <v>141</v>
      </c>
      <c r="E194" s="24"/>
      <c r="F194" s="25"/>
      <c r="G194" s="25" t="str">
        <f aca="false">IF(E194="","",E194*F194)</f>
        <v/>
      </c>
      <c r="H194" s="25"/>
      <c r="I194" s="24" t="n">
        <v>30</v>
      </c>
      <c r="J194" s="25" t="n">
        <v>1296</v>
      </c>
      <c r="K194" s="25" t="n">
        <f aca="false">I194*J194</f>
        <v>38880</v>
      </c>
      <c r="L194" s="24" t="n">
        <v>30</v>
      </c>
      <c r="M194" s="25" t="n">
        <v>450</v>
      </c>
      <c r="N194" s="25" t="n">
        <f aca="false">L194*M194</f>
        <v>13500</v>
      </c>
      <c r="O194" s="25"/>
      <c r="P194" s="14"/>
      <c r="Q194" s="44" t="str">
        <f aca="false">IF(OR(O194="",M194=""),"",M194-O194)</f>
        <v/>
      </c>
      <c r="R194" s="45" t="str">
        <f aca="false">IF(Q194="","",Q194*L194)</f>
        <v/>
      </c>
      <c r="S194" s="45" t="n">
        <f aca="false">N194-K194</f>
        <v>-25380</v>
      </c>
      <c r="T194" s="46" t="s">
        <v>46</v>
      </c>
      <c r="U194" s="14" t="s">
        <v>318</v>
      </c>
      <c r="V194" s="38" t="s">
        <v>351</v>
      </c>
      <c r="W194" s="39" t="n">
        <v>30</v>
      </c>
      <c r="X194" s="40" t="n">
        <v>1296</v>
      </c>
      <c r="Y194" s="9" t="n">
        <f aca="false">IF(OR(W194="",X194=""),0,W194*X194)</f>
        <v>38880</v>
      </c>
    </row>
    <row r="195" customFormat="false" ht="26.85" hidden="false" customHeight="false" outlineLevel="0" collapsed="false">
      <c r="A195" s="23" t="s">
        <v>414</v>
      </c>
      <c r="B195" s="23" t="s">
        <v>589</v>
      </c>
      <c r="C195" s="14" t="s">
        <v>590</v>
      </c>
      <c r="D195" s="23" t="s">
        <v>141</v>
      </c>
      <c r="E195" s="24"/>
      <c r="F195" s="25"/>
      <c r="G195" s="25" t="str">
        <f aca="false">IF(E195="","",E195*F195)</f>
        <v/>
      </c>
      <c r="H195" s="25"/>
      <c r="I195" s="24" t="n">
        <v>80</v>
      </c>
      <c r="J195" s="25" t="n">
        <v>3240</v>
      </c>
      <c r="K195" s="25" t="n">
        <f aca="false">I195*J195</f>
        <v>259200</v>
      </c>
      <c r="L195" s="24" t="n">
        <v>80</v>
      </c>
      <c r="M195" s="25" t="n">
        <v>665</v>
      </c>
      <c r="N195" s="25" t="n">
        <f aca="false">L195*M195</f>
        <v>53200</v>
      </c>
      <c r="O195" s="25"/>
      <c r="P195" s="14"/>
      <c r="Q195" s="44" t="str">
        <f aca="false">IF(OR(O195="",M195=""),"",M195-O195)</f>
        <v/>
      </c>
      <c r="R195" s="45" t="str">
        <f aca="false">IF(Q195="","",Q195*L195)</f>
        <v/>
      </c>
      <c r="S195" s="45" t="n">
        <f aca="false">N195-K195</f>
        <v>-206000</v>
      </c>
      <c r="T195" s="46" t="s">
        <v>46</v>
      </c>
      <c r="U195" s="14" t="s">
        <v>591</v>
      </c>
      <c r="V195" s="38" t="s">
        <v>351</v>
      </c>
      <c r="W195" s="39" t="n">
        <v>80</v>
      </c>
      <c r="X195" s="40" t="n">
        <v>3240</v>
      </c>
      <c r="Y195" s="9" t="n">
        <f aca="false">IF(OR(W195="",X195=""),0,W195*X195)</f>
        <v>259200</v>
      </c>
    </row>
    <row r="196" customFormat="false" ht="26.85" hidden="false" customHeight="false" outlineLevel="0" collapsed="false">
      <c r="A196" s="23" t="s">
        <v>414</v>
      </c>
      <c r="B196" s="23" t="s">
        <v>592</v>
      </c>
      <c r="C196" s="14" t="s">
        <v>593</v>
      </c>
      <c r="D196" s="23" t="s">
        <v>194</v>
      </c>
      <c r="E196" s="24"/>
      <c r="F196" s="25"/>
      <c r="G196" s="25" t="str">
        <f aca="false">IF(E196="","",E196*F196)</f>
        <v/>
      </c>
      <c r="H196" s="25"/>
      <c r="I196" s="24" t="n">
        <v>120</v>
      </c>
      <c r="J196" s="25" t="n">
        <v>1092</v>
      </c>
      <c r="K196" s="25" t="n">
        <f aca="false">I196*J196</f>
        <v>131040</v>
      </c>
      <c r="L196" s="24" t="n">
        <v>120</v>
      </c>
      <c r="M196" s="25" t="n">
        <v>665</v>
      </c>
      <c r="N196" s="25" t="n">
        <f aca="false">L196*M196</f>
        <v>79800</v>
      </c>
      <c r="O196" s="25" t="n">
        <v>665.89</v>
      </c>
      <c r="P196" s="14" t="s">
        <v>594</v>
      </c>
      <c r="Q196" s="22" t="n">
        <f aca="false">IF(OR(O196="",M196=""),"",M196-O196)</f>
        <v>-0.889999999999986</v>
      </c>
      <c r="R196" s="37" t="n">
        <f aca="false">IF(Q196="","",Q196*L196)</f>
        <v>-106.799999999998</v>
      </c>
      <c r="S196" s="37" t="n">
        <f aca="false">N196-K196</f>
        <v>-51240</v>
      </c>
      <c r="T196" s="13" t="s">
        <v>34</v>
      </c>
      <c r="U196" s="14"/>
      <c r="V196" s="38" t="s">
        <v>351</v>
      </c>
      <c r="W196" s="39" t="n">
        <v>120</v>
      </c>
      <c r="X196" s="40" t="n">
        <v>1092</v>
      </c>
      <c r="Y196" s="9" t="n">
        <f aca="false">IF(OR(W196="",X196=""),0,W196*X196)</f>
        <v>131040</v>
      </c>
    </row>
    <row r="197" customFormat="false" ht="26.85" hidden="false" customHeight="false" outlineLevel="0" collapsed="false">
      <c r="A197" s="23" t="s">
        <v>414</v>
      </c>
      <c r="B197" s="23" t="s">
        <v>595</v>
      </c>
      <c r="C197" s="14" t="s">
        <v>596</v>
      </c>
      <c r="D197" s="23" t="s">
        <v>363</v>
      </c>
      <c r="E197" s="24"/>
      <c r="F197" s="25"/>
      <c r="G197" s="25" t="str">
        <f aca="false">IF(E197="","",E197*F197)</f>
        <v/>
      </c>
      <c r="H197" s="25"/>
      <c r="I197" s="24" t="n">
        <v>81</v>
      </c>
      <c r="J197" s="25" t="n">
        <v>1020</v>
      </c>
      <c r="K197" s="25" t="n">
        <f aca="false">I197*J197</f>
        <v>82620</v>
      </c>
      <c r="L197" s="24" t="n">
        <v>81</v>
      </c>
      <c r="M197" s="25" t="n">
        <v>665</v>
      </c>
      <c r="N197" s="25" t="n">
        <f aca="false">L197*M197</f>
        <v>53865</v>
      </c>
      <c r="O197" s="25"/>
      <c r="P197" s="14"/>
      <c r="Q197" s="44" t="str">
        <f aca="false">IF(OR(O197="",M197=""),"",M197-O197)</f>
        <v/>
      </c>
      <c r="R197" s="45" t="str">
        <f aca="false">IF(Q197="","",Q197*L197)</f>
        <v/>
      </c>
      <c r="S197" s="45" t="n">
        <f aca="false">N197-K197</f>
        <v>-28755</v>
      </c>
      <c r="T197" s="46" t="s">
        <v>46</v>
      </c>
      <c r="U197" s="14" t="s">
        <v>597</v>
      </c>
      <c r="V197" s="38" t="s">
        <v>351</v>
      </c>
      <c r="W197" s="39" t="n">
        <v>81</v>
      </c>
      <c r="X197" s="40" t="n">
        <v>1020</v>
      </c>
      <c r="Y197" s="9" t="n">
        <f aca="false">IF(OR(W197="",X197=""),0,W197*X197)</f>
        <v>82620</v>
      </c>
    </row>
    <row r="198" customFormat="false" ht="26.85" hidden="false" customHeight="false" outlineLevel="0" collapsed="false">
      <c r="A198" s="23" t="s">
        <v>414</v>
      </c>
      <c r="B198" s="23" t="s">
        <v>598</v>
      </c>
      <c r="C198" s="14" t="s">
        <v>599</v>
      </c>
      <c r="D198" s="23" t="s">
        <v>356</v>
      </c>
      <c r="E198" s="24"/>
      <c r="F198" s="25"/>
      <c r="G198" s="25" t="str">
        <f aca="false">IF(E198="","",E198*F198)</f>
        <v/>
      </c>
      <c r="H198" s="25"/>
      <c r="I198" s="24" t="n">
        <v>1</v>
      </c>
      <c r="J198" s="25" t="n">
        <v>162000</v>
      </c>
      <c r="K198" s="25" t="n">
        <f aca="false">I198*J198</f>
        <v>162000</v>
      </c>
      <c r="L198" s="24" t="n">
        <v>1</v>
      </c>
      <c r="M198" s="25" t="n">
        <v>95000</v>
      </c>
      <c r="N198" s="25" t="n">
        <f aca="false">L198*M198</f>
        <v>95000</v>
      </c>
      <c r="O198" s="25"/>
      <c r="P198" s="14"/>
      <c r="Q198" s="44" t="str">
        <f aca="false">IF(OR(O198="",M198=""),"",M198-O198)</f>
        <v/>
      </c>
      <c r="R198" s="45" t="str">
        <f aca="false">IF(Q198="","",Q198*L198)</f>
        <v/>
      </c>
      <c r="S198" s="45" t="n">
        <f aca="false">N198-K198</f>
        <v>-67000</v>
      </c>
      <c r="T198" s="46" t="s">
        <v>46</v>
      </c>
      <c r="U198" s="14" t="s">
        <v>600</v>
      </c>
      <c r="V198" s="23"/>
      <c r="W198" s="24" t="n">
        <f aca="false">L198</f>
        <v>1</v>
      </c>
      <c r="X198" s="25" t="n">
        <f aca="false">M198</f>
        <v>95000</v>
      </c>
      <c r="Y198" s="5" t="n">
        <f aca="false">IF(OR(W198="",X198=""),0,W198*X198)</f>
        <v>95000</v>
      </c>
    </row>
    <row r="199" customFormat="false" ht="15" hidden="false" customHeight="false" outlineLevel="0" collapsed="false">
      <c r="A199" s="31"/>
      <c r="B199" s="32" t="s">
        <v>601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customFormat="false" ht="26.85" hidden="false" customHeight="false" outlineLevel="0" collapsed="false">
      <c r="A200" s="23" t="s">
        <v>602</v>
      </c>
      <c r="B200" s="23" t="s">
        <v>603</v>
      </c>
      <c r="C200" s="14" t="s">
        <v>604</v>
      </c>
      <c r="D200" s="23" t="s">
        <v>194</v>
      </c>
      <c r="E200" s="24"/>
      <c r="F200" s="25"/>
      <c r="G200" s="25" t="str">
        <f aca="false">IF(E200="","",E200*F200)</f>
        <v/>
      </c>
      <c r="H200" s="25"/>
      <c r="I200" s="24" t="n">
        <v>52</v>
      </c>
      <c r="J200" s="25" t="n">
        <v>2560</v>
      </c>
      <c r="K200" s="25" t="n">
        <f aca="false">I200*J200</f>
        <v>133120</v>
      </c>
      <c r="L200" s="24" t="n">
        <v>52</v>
      </c>
      <c r="M200" s="25"/>
      <c r="N200" s="25" t="n">
        <f aca="false">L200*M200</f>
        <v>0</v>
      </c>
      <c r="O200" s="25"/>
      <c r="P200" s="14"/>
      <c r="Q200" s="47" t="str">
        <f aca="false">IF(OR(O200="",M200=""),"",M200-O200)</f>
        <v/>
      </c>
      <c r="R200" s="48" t="str">
        <f aca="false">IF(Q200="","",Q200*L200)</f>
        <v/>
      </c>
      <c r="S200" s="48" t="n">
        <f aca="false">N200-K200</f>
        <v>-133120</v>
      </c>
      <c r="T200" s="49" t="s">
        <v>38</v>
      </c>
      <c r="U200" s="14" t="s">
        <v>605</v>
      </c>
      <c r="V200" s="38" t="s">
        <v>606</v>
      </c>
      <c r="W200" s="39" t="n">
        <v>52</v>
      </c>
      <c r="X200" s="40" t="n">
        <v>2560</v>
      </c>
      <c r="Y200" s="9" t="n">
        <f aca="false">IF(OR(W200="",X200=""),0,W200*X200)</f>
        <v>133120</v>
      </c>
    </row>
    <row r="201" customFormat="false" ht="26.85" hidden="false" customHeight="false" outlineLevel="0" collapsed="false">
      <c r="A201" s="23" t="s">
        <v>602</v>
      </c>
      <c r="B201" s="23" t="s">
        <v>607</v>
      </c>
      <c r="C201" s="14" t="s">
        <v>608</v>
      </c>
      <c r="D201" s="23" t="s">
        <v>194</v>
      </c>
      <c r="E201" s="24"/>
      <c r="F201" s="25"/>
      <c r="G201" s="25" t="str">
        <f aca="false">IF(E201="","",E201*F201)</f>
        <v/>
      </c>
      <c r="H201" s="25"/>
      <c r="I201" s="24" t="n">
        <v>66</v>
      </c>
      <c r="J201" s="25" t="n">
        <v>1440</v>
      </c>
      <c r="K201" s="25" t="n">
        <f aca="false">I201*J201</f>
        <v>95040</v>
      </c>
      <c r="L201" s="24" t="n">
        <v>66</v>
      </c>
      <c r="M201" s="25"/>
      <c r="N201" s="25" t="n">
        <f aca="false">L201*M201</f>
        <v>0</v>
      </c>
      <c r="O201" s="25"/>
      <c r="P201" s="14"/>
      <c r="Q201" s="47" t="str">
        <f aca="false">IF(OR(O201="",M201=""),"",M201-O201)</f>
        <v/>
      </c>
      <c r="R201" s="48" t="str">
        <f aca="false">IF(Q201="","",Q201*L201)</f>
        <v/>
      </c>
      <c r="S201" s="48" t="n">
        <f aca="false">N201-K201</f>
        <v>-95040</v>
      </c>
      <c r="T201" s="49" t="s">
        <v>38</v>
      </c>
      <c r="U201" s="14" t="s">
        <v>605</v>
      </c>
      <c r="V201" s="38" t="s">
        <v>606</v>
      </c>
      <c r="W201" s="39" t="n">
        <v>66</v>
      </c>
      <c r="X201" s="40" t="n">
        <v>1440</v>
      </c>
      <c r="Y201" s="9" t="n">
        <f aca="false">IF(OR(W201="",X201=""),0,W201*X201)</f>
        <v>95040</v>
      </c>
    </row>
    <row r="202" customFormat="false" ht="26.85" hidden="false" customHeight="false" outlineLevel="0" collapsed="false">
      <c r="A202" s="23" t="s">
        <v>602</v>
      </c>
      <c r="B202" s="23" t="s">
        <v>609</v>
      </c>
      <c r="C202" s="14" t="s">
        <v>610</v>
      </c>
      <c r="D202" s="23" t="s">
        <v>141</v>
      </c>
      <c r="E202" s="24"/>
      <c r="F202" s="25"/>
      <c r="G202" s="25" t="str">
        <f aca="false">IF(E202="","",E202*F202)</f>
        <v/>
      </c>
      <c r="H202" s="25"/>
      <c r="I202" s="24" t="n">
        <v>1</v>
      </c>
      <c r="J202" s="25" t="n">
        <v>9600</v>
      </c>
      <c r="K202" s="25" t="n">
        <f aca="false">I202*J202</f>
        <v>9600</v>
      </c>
      <c r="L202" s="24" t="n">
        <v>1</v>
      </c>
      <c r="M202" s="25"/>
      <c r="N202" s="25" t="n">
        <f aca="false">L202*M202</f>
        <v>0</v>
      </c>
      <c r="O202" s="25"/>
      <c r="P202" s="14"/>
      <c r="Q202" s="47" t="str">
        <f aca="false">IF(OR(O202="",M202=""),"",M202-O202)</f>
        <v/>
      </c>
      <c r="R202" s="48" t="str">
        <f aca="false">IF(Q202="","",Q202*L202)</f>
        <v/>
      </c>
      <c r="S202" s="48" t="n">
        <f aca="false">N202-K202</f>
        <v>-9600</v>
      </c>
      <c r="T202" s="49" t="s">
        <v>38</v>
      </c>
      <c r="U202" s="14" t="s">
        <v>605</v>
      </c>
      <c r="V202" s="38" t="s">
        <v>606</v>
      </c>
      <c r="W202" s="39" t="n">
        <v>1</v>
      </c>
      <c r="X202" s="40" t="n">
        <v>9600</v>
      </c>
      <c r="Y202" s="9" t="n">
        <f aca="false">IF(OR(W202="",X202=""),0,W202*X202)</f>
        <v>9600</v>
      </c>
    </row>
    <row r="203" customFormat="false" ht="26.85" hidden="false" customHeight="false" outlineLevel="0" collapsed="false">
      <c r="A203" s="23" t="s">
        <v>602</v>
      </c>
      <c r="B203" s="23" t="s">
        <v>611</v>
      </c>
      <c r="C203" s="14" t="s">
        <v>612</v>
      </c>
      <c r="D203" s="23" t="s">
        <v>141</v>
      </c>
      <c r="E203" s="24"/>
      <c r="F203" s="25"/>
      <c r="G203" s="25" t="str">
        <f aca="false">IF(E203="","",E203*F203)</f>
        <v/>
      </c>
      <c r="H203" s="25"/>
      <c r="I203" s="24" t="n">
        <v>2</v>
      </c>
      <c r="J203" s="25" t="n">
        <v>8000</v>
      </c>
      <c r="K203" s="25" t="n">
        <f aca="false">I203*J203</f>
        <v>16000</v>
      </c>
      <c r="L203" s="24" t="n">
        <v>2</v>
      </c>
      <c r="M203" s="25"/>
      <c r="N203" s="25" t="n">
        <f aca="false">L203*M203</f>
        <v>0</v>
      </c>
      <c r="O203" s="25"/>
      <c r="P203" s="14"/>
      <c r="Q203" s="47" t="str">
        <f aca="false">IF(OR(O203="",M203=""),"",M203-O203)</f>
        <v/>
      </c>
      <c r="R203" s="48" t="str">
        <f aca="false">IF(Q203="","",Q203*L203)</f>
        <v/>
      </c>
      <c r="S203" s="48" t="n">
        <f aca="false">N203-K203</f>
        <v>-16000</v>
      </c>
      <c r="T203" s="49" t="s">
        <v>38</v>
      </c>
      <c r="U203" s="14" t="s">
        <v>605</v>
      </c>
      <c r="V203" s="38" t="s">
        <v>606</v>
      </c>
      <c r="W203" s="39" t="n">
        <v>2</v>
      </c>
      <c r="X203" s="40" t="n">
        <v>8000</v>
      </c>
      <c r="Y203" s="9" t="n">
        <f aca="false">IF(OR(W203="",X203=""),0,W203*X203)</f>
        <v>16000</v>
      </c>
    </row>
    <row r="204" customFormat="false" ht="15" hidden="false" customHeight="false" outlineLevel="0" collapsed="false">
      <c r="A204" s="31"/>
      <c r="B204" s="32" t="s">
        <v>613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customFormat="false" ht="26.85" hidden="false" customHeight="false" outlineLevel="0" collapsed="false">
      <c r="A205" s="23" t="s">
        <v>614</v>
      </c>
      <c r="B205" s="23" t="s">
        <v>615</v>
      </c>
      <c r="C205" s="14" t="s">
        <v>616</v>
      </c>
      <c r="D205" s="23" t="s">
        <v>141</v>
      </c>
      <c r="E205" s="24"/>
      <c r="F205" s="25"/>
      <c r="G205" s="25" t="str">
        <f aca="false">IF(E205="","",E205*F205)</f>
        <v/>
      </c>
      <c r="H205" s="25"/>
      <c r="I205" s="24" t="n">
        <v>10</v>
      </c>
      <c r="J205" s="25" t="n">
        <v>25920</v>
      </c>
      <c r="K205" s="25" t="n">
        <f aca="false">I205*J205</f>
        <v>259200</v>
      </c>
      <c r="L205" s="24" t="n">
        <v>10</v>
      </c>
      <c r="M205" s="25" t="n">
        <v>14000</v>
      </c>
      <c r="N205" s="25" t="n">
        <f aca="false">L205*M205</f>
        <v>140000</v>
      </c>
      <c r="O205" s="25"/>
      <c r="P205" s="14"/>
      <c r="Q205" s="44" t="str">
        <f aca="false">IF(OR(O205="",M205=""),"",M205-O205)</f>
        <v/>
      </c>
      <c r="R205" s="45" t="str">
        <f aca="false">IF(Q205="","",Q205*L205)</f>
        <v/>
      </c>
      <c r="S205" s="45" t="n">
        <f aca="false">N205-K205</f>
        <v>-119200</v>
      </c>
      <c r="T205" s="46" t="s">
        <v>46</v>
      </c>
      <c r="U205" s="14" t="s">
        <v>617</v>
      </c>
      <c r="V205" s="38" t="s">
        <v>618</v>
      </c>
      <c r="W205" s="39" t="n">
        <v>10</v>
      </c>
      <c r="X205" s="40" t="n">
        <v>25920</v>
      </c>
      <c r="Y205" s="9" t="n">
        <f aca="false">IF(OR(W205="",X205=""),0,W205*X205)</f>
        <v>259200</v>
      </c>
    </row>
    <row r="206" customFormat="false" ht="26.85" hidden="false" customHeight="false" outlineLevel="0" collapsed="false">
      <c r="A206" s="23" t="s">
        <v>614</v>
      </c>
      <c r="B206" s="23" t="s">
        <v>619</v>
      </c>
      <c r="C206" s="14" t="s">
        <v>620</v>
      </c>
      <c r="D206" s="23" t="s">
        <v>141</v>
      </c>
      <c r="E206" s="24"/>
      <c r="F206" s="25"/>
      <c r="G206" s="25" t="str">
        <f aca="false">IF(E206="","",E206*F206)</f>
        <v/>
      </c>
      <c r="H206" s="25"/>
      <c r="I206" s="24" t="n">
        <v>3</v>
      </c>
      <c r="J206" s="25" t="n">
        <v>1296</v>
      </c>
      <c r="K206" s="25" t="n">
        <f aca="false">I206*J206</f>
        <v>3888</v>
      </c>
      <c r="L206" s="24" t="n">
        <v>3</v>
      </c>
      <c r="M206" s="25" t="n">
        <v>1296</v>
      </c>
      <c r="N206" s="25" t="n">
        <f aca="false">L206*M206</f>
        <v>3888</v>
      </c>
      <c r="O206" s="25" t="n">
        <v>1710</v>
      </c>
      <c r="P206" s="14" t="s">
        <v>621</v>
      </c>
      <c r="Q206" s="25" t="n">
        <f aca="false">IF(OR(O206="",M206=""),"",M206-O206)</f>
        <v>-414</v>
      </c>
      <c r="R206" s="33" t="n">
        <f aca="false">IF(Q206="","",Q206*L206)</f>
        <v>-1242</v>
      </c>
      <c r="S206" s="33" t="n">
        <f aca="false">N206-K206</f>
        <v>0</v>
      </c>
      <c r="T206" s="14" t="s">
        <v>418</v>
      </c>
      <c r="U206" s="14"/>
      <c r="V206" s="23"/>
      <c r="W206" s="24" t="n">
        <f aca="false">L206</f>
        <v>3</v>
      </c>
      <c r="X206" s="25" t="n">
        <f aca="false">M206</f>
        <v>1296</v>
      </c>
      <c r="Y206" s="5" t="n">
        <f aca="false">IF(OR(W206="",X206=""),0,W206*X206)</f>
        <v>3888</v>
      </c>
    </row>
    <row r="207" customFormat="false" ht="39.55" hidden="false" customHeight="false" outlineLevel="0" collapsed="false">
      <c r="A207" s="23" t="s">
        <v>614</v>
      </c>
      <c r="B207" s="23" t="s">
        <v>622</v>
      </c>
      <c r="C207" s="14" t="s">
        <v>623</v>
      </c>
      <c r="D207" s="23" t="s">
        <v>141</v>
      </c>
      <c r="E207" s="24"/>
      <c r="F207" s="25"/>
      <c r="G207" s="25" t="str">
        <f aca="false">IF(E207="","",E207*F207)</f>
        <v/>
      </c>
      <c r="H207" s="25"/>
      <c r="I207" s="24" t="n">
        <v>3</v>
      </c>
      <c r="J207" s="25" t="n">
        <v>1620</v>
      </c>
      <c r="K207" s="25" t="n">
        <f aca="false">I207*J207</f>
        <v>4860</v>
      </c>
      <c r="L207" s="24" t="n">
        <v>3</v>
      </c>
      <c r="M207" s="25" t="n">
        <v>500</v>
      </c>
      <c r="N207" s="25" t="n">
        <f aca="false">L207*M207</f>
        <v>1500</v>
      </c>
      <c r="O207" s="25" t="n">
        <v>500</v>
      </c>
      <c r="P207" s="14" t="s">
        <v>624</v>
      </c>
      <c r="Q207" s="25" t="n">
        <f aca="false">IF(OR(O207="",M207=""),"",M207-O207)</f>
        <v>0</v>
      </c>
      <c r="R207" s="33" t="n">
        <f aca="false">IF(Q207="","",Q207*L207)</f>
        <v>0</v>
      </c>
      <c r="S207" s="33" t="n">
        <f aca="false">N207-K207</f>
        <v>-3360</v>
      </c>
      <c r="T207" s="14" t="s">
        <v>42</v>
      </c>
      <c r="U207" s="14" t="s">
        <v>233</v>
      </c>
      <c r="V207" s="23"/>
      <c r="W207" s="24" t="n">
        <f aca="false">L207</f>
        <v>3</v>
      </c>
      <c r="X207" s="25" t="n">
        <f aca="false">M207</f>
        <v>500</v>
      </c>
      <c r="Y207" s="5" t="n">
        <f aca="false">IF(OR(W207="",X207=""),0,W207*X207)</f>
        <v>1500</v>
      </c>
    </row>
    <row r="208" customFormat="false" ht="26.85" hidden="false" customHeight="false" outlineLevel="0" collapsed="false">
      <c r="A208" s="23" t="s">
        <v>614</v>
      </c>
      <c r="B208" s="23" t="s">
        <v>625</v>
      </c>
      <c r="C208" s="14" t="s">
        <v>626</v>
      </c>
      <c r="D208" s="23" t="s">
        <v>141</v>
      </c>
      <c r="E208" s="24"/>
      <c r="F208" s="25"/>
      <c r="G208" s="25" t="str">
        <f aca="false">IF(E208="","",E208*F208)</f>
        <v/>
      </c>
      <c r="H208" s="25"/>
      <c r="I208" s="24" t="n">
        <v>31</v>
      </c>
      <c r="J208" s="25" t="n">
        <v>1944</v>
      </c>
      <c r="K208" s="25" t="n">
        <f aca="false">I208*J208</f>
        <v>60264</v>
      </c>
      <c r="L208" s="24" t="n">
        <v>31</v>
      </c>
      <c r="M208" s="25" t="n">
        <v>1944</v>
      </c>
      <c r="N208" s="25" t="n">
        <f aca="false">L208*M208</f>
        <v>60264</v>
      </c>
      <c r="O208" s="25"/>
      <c r="P208" s="14"/>
      <c r="Q208" s="25" t="str">
        <f aca="false">IF(OR(O208="",M208=""),"",M208-O208)</f>
        <v/>
      </c>
      <c r="R208" s="33" t="str">
        <f aca="false">IF(Q208="","",Q208*L208)</f>
        <v/>
      </c>
      <c r="S208" s="33" t="n">
        <f aca="false">N208-K208</f>
        <v>0</v>
      </c>
      <c r="T208" s="14" t="s">
        <v>338</v>
      </c>
      <c r="U208" s="14"/>
      <c r="V208" s="23"/>
      <c r="W208" s="24" t="n">
        <f aca="false">L208</f>
        <v>31</v>
      </c>
      <c r="X208" s="25" t="n">
        <f aca="false">M208</f>
        <v>1944</v>
      </c>
      <c r="Y208" s="5" t="n">
        <f aca="false">IF(OR(W208="",X208=""),0,W208*X208)</f>
        <v>60264</v>
      </c>
    </row>
    <row r="209" customFormat="false" ht="26.85" hidden="false" customHeight="false" outlineLevel="0" collapsed="false">
      <c r="A209" s="23" t="s">
        <v>614</v>
      </c>
      <c r="B209" s="23" t="s">
        <v>627</v>
      </c>
      <c r="C209" s="14" t="s">
        <v>628</v>
      </c>
      <c r="D209" s="23" t="s">
        <v>141</v>
      </c>
      <c r="E209" s="24"/>
      <c r="F209" s="25"/>
      <c r="G209" s="25" t="str">
        <f aca="false">IF(E209="","",E209*F209)</f>
        <v/>
      </c>
      <c r="H209" s="25"/>
      <c r="I209" s="24" t="n">
        <v>31</v>
      </c>
      <c r="J209" s="25" t="n">
        <v>1944</v>
      </c>
      <c r="K209" s="25" t="n">
        <f aca="false">I209*J209</f>
        <v>60264</v>
      </c>
      <c r="L209" s="24" t="n">
        <v>31</v>
      </c>
      <c r="M209" s="25" t="n">
        <v>1944</v>
      </c>
      <c r="N209" s="25" t="n">
        <f aca="false">L209*M209</f>
        <v>60264</v>
      </c>
      <c r="O209" s="25"/>
      <c r="P209" s="14"/>
      <c r="Q209" s="25" t="str">
        <f aca="false">IF(OR(O209="",M209=""),"",M209-O209)</f>
        <v/>
      </c>
      <c r="R209" s="33" t="str">
        <f aca="false">IF(Q209="","",Q209*L209)</f>
        <v/>
      </c>
      <c r="S209" s="33" t="n">
        <f aca="false">N209-K209</f>
        <v>0</v>
      </c>
      <c r="T209" s="14" t="s">
        <v>338</v>
      </c>
      <c r="U209" s="14"/>
      <c r="V209" s="23"/>
      <c r="W209" s="24" t="n">
        <f aca="false">L209</f>
        <v>31</v>
      </c>
      <c r="X209" s="25" t="n">
        <f aca="false">M209</f>
        <v>1944</v>
      </c>
      <c r="Y209" s="5" t="n">
        <f aca="false">IF(OR(W209="",X209=""),0,W209*X209)</f>
        <v>60264</v>
      </c>
    </row>
    <row r="210" customFormat="false" ht="26.85" hidden="false" customHeight="false" outlineLevel="0" collapsed="false">
      <c r="A210" s="23" t="s">
        <v>614</v>
      </c>
      <c r="B210" s="23" t="s">
        <v>629</v>
      </c>
      <c r="C210" s="14" t="s">
        <v>630</v>
      </c>
      <c r="D210" s="23" t="s">
        <v>141</v>
      </c>
      <c r="E210" s="24"/>
      <c r="F210" s="25"/>
      <c r="G210" s="25" t="str">
        <f aca="false">IF(E210="","",E210*F210)</f>
        <v/>
      </c>
      <c r="H210" s="25"/>
      <c r="I210" s="24" t="n">
        <v>62</v>
      </c>
      <c r="J210" s="25" t="n">
        <v>1296</v>
      </c>
      <c r="K210" s="25" t="n">
        <f aca="false">I210*J210</f>
        <v>80352</v>
      </c>
      <c r="L210" s="24" t="n">
        <v>62</v>
      </c>
      <c r="M210" s="25" t="n">
        <v>1296</v>
      </c>
      <c r="N210" s="25" t="n">
        <f aca="false">L210*M210</f>
        <v>80352</v>
      </c>
      <c r="O210" s="25"/>
      <c r="P210" s="14"/>
      <c r="Q210" s="25" t="str">
        <f aca="false">IF(OR(O210="",M210=""),"",M210-O210)</f>
        <v/>
      </c>
      <c r="R210" s="33" t="str">
        <f aca="false">IF(Q210="","",Q210*L210)</f>
        <v/>
      </c>
      <c r="S210" s="33" t="n">
        <f aca="false">N210-K210</f>
        <v>0</v>
      </c>
      <c r="T210" s="14" t="s">
        <v>338</v>
      </c>
      <c r="U210" s="14"/>
      <c r="V210" s="23"/>
      <c r="W210" s="24" t="n">
        <f aca="false">L210</f>
        <v>62</v>
      </c>
      <c r="X210" s="25" t="n">
        <f aca="false">M210</f>
        <v>1296</v>
      </c>
      <c r="Y210" s="5" t="n">
        <f aca="false">IF(OR(W210="",X210=""),0,W210*X210)</f>
        <v>80352</v>
      </c>
    </row>
    <row r="211" customFormat="false" ht="26.85" hidden="false" customHeight="false" outlineLevel="0" collapsed="false">
      <c r="A211" s="23" t="s">
        <v>614</v>
      </c>
      <c r="B211" s="23" t="s">
        <v>631</v>
      </c>
      <c r="C211" s="14" t="s">
        <v>632</v>
      </c>
      <c r="D211" s="23" t="s">
        <v>141</v>
      </c>
      <c r="E211" s="24"/>
      <c r="F211" s="25"/>
      <c r="G211" s="25" t="str">
        <f aca="false">IF(E211="","",E211*F211)</f>
        <v/>
      </c>
      <c r="H211" s="25"/>
      <c r="I211" s="24" t="n">
        <v>31</v>
      </c>
      <c r="J211" s="25" t="n">
        <v>1296</v>
      </c>
      <c r="K211" s="25" t="n">
        <f aca="false">I211*J211</f>
        <v>40176</v>
      </c>
      <c r="L211" s="24" t="n">
        <v>31</v>
      </c>
      <c r="M211" s="25" t="n">
        <v>1296</v>
      </c>
      <c r="N211" s="25" t="n">
        <f aca="false">L211*M211</f>
        <v>40176</v>
      </c>
      <c r="O211" s="25"/>
      <c r="P211" s="14"/>
      <c r="Q211" s="25" t="str">
        <f aca="false">IF(OR(O211="",M211=""),"",M211-O211)</f>
        <v/>
      </c>
      <c r="R211" s="33" t="str">
        <f aca="false">IF(Q211="","",Q211*L211)</f>
        <v/>
      </c>
      <c r="S211" s="33" t="n">
        <f aca="false">N211-K211</f>
        <v>0</v>
      </c>
      <c r="T211" s="14" t="s">
        <v>338</v>
      </c>
      <c r="U211" s="14"/>
      <c r="V211" s="23"/>
      <c r="W211" s="24" t="n">
        <f aca="false">L211</f>
        <v>31</v>
      </c>
      <c r="X211" s="25" t="n">
        <f aca="false">M211</f>
        <v>1296</v>
      </c>
      <c r="Y211" s="5" t="n">
        <f aca="false">IF(OR(W211="",X211=""),0,W211*X211)</f>
        <v>40176</v>
      </c>
    </row>
    <row r="212" customFormat="false" ht="26.85" hidden="false" customHeight="false" outlineLevel="0" collapsed="false">
      <c r="A212" s="23" t="s">
        <v>614</v>
      </c>
      <c r="B212" s="23" t="s">
        <v>633</v>
      </c>
      <c r="C212" s="14" t="s">
        <v>634</v>
      </c>
      <c r="D212" s="23" t="s">
        <v>141</v>
      </c>
      <c r="E212" s="24"/>
      <c r="F212" s="25"/>
      <c r="G212" s="25" t="str">
        <f aca="false">IF(E212="","",E212*F212)</f>
        <v/>
      </c>
      <c r="H212" s="25"/>
      <c r="I212" s="24" t="n">
        <v>62</v>
      </c>
      <c r="J212" s="25" t="n">
        <v>1296</v>
      </c>
      <c r="K212" s="25" t="n">
        <f aca="false">I212*J212</f>
        <v>80352</v>
      </c>
      <c r="L212" s="24" t="n">
        <v>62</v>
      </c>
      <c r="M212" s="25" t="n">
        <v>700</v>
      </c>
      <c r="N212" s="25" t="n">
        <f aca="false">L212*M212</f>
        <v>43400</v>
      </c>
      <c r="O212" s="25"/>
      <c r="P212" s="14"/>
      <c r="Q212" s="44" t="str">
        <f aca="false">IF(OR(O212="",M212=""),"",M212-O212)</f>
        <v/>
      </c>
      <c r="R212" s="45" t="str">
        <f aca="false">IF(Q212="","",Q212*L212)</f>
        <v/>
      </c>
      <c r="S212" s="45" t="n">
        <f aca="false">N212-K212</f>
        <v>-36952</v>
      </c>
      <c r="T212" s="46" t="s">
        <v>46</v>
      </c>
      <c r="U212" s="14"/>
      <c r="V212" s="23"/>
      <c r="W212" s="24" t="n">
        <f aca="false">L212</f>
        <v>62</v>
      </c>
      <c r="X212" s="25" t="n">
        <f aca="false">M212</f>
        <v>700</v>
      </c>
      <c r="Y212" s="5" t="n">
        <f aca="false">IF(OR(W212="",X212=""),0,W212*X212)</f>
        <v>43400</v>
      </c>
    </row>
    <row r="213" customFormat="false" ht="26.85" hidden="false" customHeight="false" outlineLevel="0" collapsed="false">
      <c r="A213" s="23" t="s">
        <v>614</v>
      </c>
      <c r="B213" s="23" t="s">
        <v>635</v>
      </c>
      <c r="C213" s="14" t="s">
        <v>636</v>
      </c>
      <c r="D213" s="23" t="s">
        <v>141</v>
      </c>
      <c r="E213" s="24"/>
      <c r="F213" s="25"/>
      <c r="G213" s="25" t="str">
        <f aca="false">IF(E213="","",E213*F213)</f>
        <v/>
      </c>
      <c r="H213" s="25"/>
      <c r="I213" s="24" t="n">
        <v>62</v>
      </c>
      <c r="J213" s="25" t="n">
        <v>1296</v>
      </c>
      <c r="K213" s="25" t="n">
        <f aca="false">I213*J213</f>
        <v>80352</v>
      </c>
      <c r="L213" s="24" t="n">
        <v>62</v>
      </c>
      <c r="M213" s="25" t="n">
        <v>700</v>
      </c>
      <c r="N213" s="25" t="n">
        <f aca="false">L213*M213</f>
        <v>43400</v>
      </c>
      <c r="O213" s="25"/>
      <c r="P213" s="14"/>
      <c r="Q213" s="44" t="str">
        <f aca="false">IF(OR(O213="",M213=""),"",M213-O213)</f>
        <v/>
      </c>
      <c r="R213" s="45" t="str">
        <f aca="false">IF(Q213="","",Q213*L213)</f>
        <v/>
      </c>
      <c r="S213" s="45" t="n">
        <f aca="false">N213-K213</f>
        <v>-36952</v>
      </c>
      <c r="T213" s="46" t="s">
        <v>46</v>
      </c>
      <c r="U213" s="14"/>
      <c r="V213" s="23"/>
      <c r="W213" s="24" t="n">
        <f aca="false">L213</f>
        <v>62</v>
      </c>
      <c r="X213" s="25" t="n">
        <f aca="false">M213</f>
        <v>700</v>
      </c>
      <c r="Y213" s="5" t="n">
        <f aca="false">IF(OR(W213="",X213=""),0,W213*X213)</f>
        <v>43400</v>
      </c>
    </row>
    <row r="214" customFormat="false" ht="26.85" hidden="false" customHeight="false" outlineLevel="0" collapsed="false">
      <c r="A214" s="23" t="s">
        <v>614</v>
      </c>
      <c r="B214" s="23" t="s">
        <v>637</v>
      </c>
      <c r="C214" s="14" t="s">
        <v>638</v>
      </c>
      <c r="D214" s="23" t="s">
        <v>141</v>
      </c>
      <c r="E214" s="24"/>
      <c r="F214" s="25"/>
      <c r="G214" s="25" t="str">
        <f aca="false">IF(E214="","",E214*F214)</f>
        <v/>
      </c>
      <c r="H214" s="25"/>
      <c r="I214" s="24" t="n">
        <v>62</v>
      </c>
      <c r="J214" s="25" t="n">
        <v>1296</v>
      </c>
      <c r="K214" s="25" t="n">
        <f aca="false">I214*J214</f>
        <v>80352</v>
      </c>
      <c r="L214" s="24" t="n">
        <v>62</v>
      </c>
      <c r="M214" s="25" t="n">
        <v>700</v>
      </c>
      <c r="N214" s="25" t="n">
        <f aca="false">L214*M214</f>
        <v>43400</v>
      </c>
      <c r="O214" s="25"/>
      <c r="P214" s="14"/>
      <c r="Q214" s="44" t="str">
        <f aca="false">IF(OR(O214="",M214=""),"",M214-O214)</f>
        <v/>
      </c>
      <c r="R214" s="45" t="str">
        <f aca="false">IF(Q214="","",Q214*L214)</f>
        <v/>
      </c>
      <c r="S214" s="45" t="n">
        <f aca="false">N214-K214</f>
        <v>-36952</v>
      </c>
      <c r="T214" s="46" t="s">
        <v>46</v>
      </c>
      <c r="U214" s="14"/>
      <c r="V214" s="23"/>
      <c r="W214" s="24" t="n">
        <f aca="false">L214</f>
        <v>62</v>
      </c>
      <c r="X214" s="25" t="n">
        <f aca="false">M214</f>
        <v>700</v>
      </c>
      <c r="Y214" s="5" t="n">
        <f aca="false">IF(OR(W214="",X214=""),0,W214*X214)</f>
        <v>43400</v>
      </c>
    </row>
    <row r="215" customFormat="false" ht="26.85" hidden="false" customHeight="false" outlineLevel="0" collapsed="false">
      <c r="A215" s="23" t="s">
        <v>614</v>
      </c>
      <c r="B215" s="23" t="s">
        <v>639</v>
      </c>
      <c r="C215" s="14" t="s">
        <v>640</v>
      </c>
      <c r="D215" s="23" t="s">
        <v>141</v>
      </c>
      <c r="E215" s="24"/>
      <c r="F215" s="25"/>
      <c r="G215" s="25" t="str">
        <f aca="false">IF(E215="","",E215*F215)</f>
        <v/>
      </c>
      <c r="H215" s="25"/>
      <c r="I215" s="24" t="n">
        <v>62</v>
      </c>
      <c r="J215" s="25" t="n">
        <v>1296</v>
      </c>
      <c r="K215" s="25" t="n">
        <f aca="false">I215*J215</f>
        <v>80352</v>
      </c>
      <c r="L215" s="24" t="n">
        <v>62</v>
      </c>
      <c r="M215" s="25" t="n">
        <v>700</v>
      </c>
      <c r="N215" s="25" t="n">
        <f aca="false">L215*M215</f>
        <v>43400</v>
      </c>
      <c r="O215" s="25"/>
      <c r="P215" s="14"/>
      <c r="Q215" s="44" t="str">
        <f aca="false">IF(OR(O215="",M215=""),"",M215-O215)</f>
        <v/>
      </c>
      <c r="R215" s="45" t="str">
        <f aca="false">IF(Q215="","",Q215*L215)</f>
        <v/>
      </c>
      <c r="S215" s="45" t="n">
        <f aca="false">N215-K215</f>
        <v>-36952</v>
      </c>
      <c r="T215" s="46" t="s">
        <v>46</v>
      </c>
      <c r="U215" s="14"/>
      <c r="V215" s="23"/>
      <c r="W215" s="24" t="n">
        <f aca="false">L215</f>
        <v>62</v>
      </c>
      <c r="X215" s="25" t="n">
        <f aca="false">M215</f>
        <v>700</v>
      </c>
      <c r="Y215" s="5" t="n">
        <f aca="false">IF(OR(W215="",X215=""),0,W215*X215)</f>
        <v>43400</v>
      </c>
    </row>
    <row r="216" customFormat="false" ht="26.85" hidden="false" customHeight="false" outlineLevel="0" collapsed="false">
      <c r="A216" s="23" t="s">
        <v>614</v>
      </c>
      <c r="B216" s="23" t="s">
        <v>641</v>
      </c>
      <c r="C216" s="14" t="s">
        <v>642</v>
      </c>
      <c r="D216" s="23" t="s">
        <v>141</v>
      </c>
      <c r="E216" s="24"/>
      <c r="F216" s="25"/>
      <c r="G216" s="25" t="str">
        <f aca="false">IF(E216="","",E216*F216)</f>
        <v/>
      </c>
      <c r="H216" s="25"/>
      <c r="I216" s="24" t="n">
        <v>62</v>
      </c>
      <c r="J216" s="25" t="n">
        <v>1296</v>
      </c>
      <c r="K216" s="25" t="n">
        <f aca="false">I216*J216</f>
        <v>80352</v>
      </c>
      <c r="L216" s="24" t="n">
        <v>62</v>
      </c>
      <c r="M216" s="25" t="n">
        <v>700</v>
      </c>
      <c r="N216" s="25" t="n">
        <f aca="false">L216*M216</f>
        <v>43400</v>
      </c>
      <c r="O216" s="25"/>
      <c r="P216" s="14"/>
      <c r="Q216" s="44" t="str">
        <f aca="false">IF(OR(O216="",M216=""),"",M216-O216)</f>
        <v/>
      </c>
      <c r="R216" s="45" t="str">
        <f aca="false">IF(Q216="","",Q216*L216)</f>
        <v/>
      </c>
      <c r="S216" s="45" t="n">
        <f aca="false">N216-K216</f>
        <v>-36952</v>
      </c>
      <c r="T216" s="46" t="s">
        <v>46</v>
      </c>
      <c r="U216" s="14"/>
      <c r="V216" s="23"/>
      <c r="W216" s="24" t="n">
        <f aca="false">L216</f>
        <v>62</v>
      </c>
      <c r="X216" s="25" t="n">
        <f aca="false">M216</f>
        <v>700</v>
      </c>
      <c r="Y216" s="5" t="n">
        <f aca="false">IF(OR(W216="",X216=""),0,W216*X216)</f>
        <v>43400</v>
      </c>
    </row>
    <row r="217" customFormat="false" ht="26.85" hidden="false" customHeight="false" outlineLevel="0" collapsed="false">
      <c r="A217" s="23" t="s">
        <v>614</v>
      </c>
      <c r="B217" s="23" t="s">
        <v>643</v>
      </c>
      <c r="C217" s="14" t="s">
        <v>644</v>
      </c>
      <c r="D217" s="23" t="s">
        <v>141</v>
      </c>
      <c r="E217" s="24"/>
      <c r="F217" s="25"/>
      <c r="G217" s="25" t="str">
        <f aca="false">IF(E217="","",E217*F217)</f>
        <v/>
      </c>
      <c r="H217" s="25"/>
      <c r="I217" s="24" t="n">
        <v>62</v>
      </c>
      <c r="J217" s="25" t="n">
        <v>1296</v>
      </c>
      <c r="K217" s="25" t="n">
        <f aca="false">I217*J217</f>
        <v>80352</v>
      </c>
      <c r="L217" s="24" t="n">
        <v>62</v>
      </c>
      <c r="M217" s="25" t="n">
        <v>700</v>
      </c>
      <c r="N217" s="25" t="n">
        <f aca="false">L217*M217</f>
        <v>43400</v>
      </c>
      <c r="O217" s="25"/>
      <c r="P217" s="14"/>
      <c r="Q217" s="44" t="str">
        <f aca="false">IF(OR(O217="",M217=""),"",M217-O217)</f>
        <v/>
      </c>
      <c r="R217" s="45" t="str">
        <f aca="false">IF(Q217="","",Q217*L217)</f>
        <v/>
      </c>
      <c r="S217" s="45" t="n">
        <f aca="false">N217-K217</f>
        <v>-36952</v>
      </c>
      <c r="T217" s="46" t="s">
        <v>46</v>
      </c>
      <c r="U217" s="14"/>
      <c r="V217" s="23"/>
      <c r="W217" s="24" t="n">
        <f aca="false">L217</f>
        <v>62</v>
      </c>
      <c r="X217" s="25" t="n">
        <f aca="false">M217</f>
        <v>700</v>
      </c>
      <c r="Y217" s="5" t="n">
        <f aca="false">IF(OR(W217="",X217=""),0,W217*X217)</f>
        <v>43400</v>
      </c>
    </row>
    <row r="218" customFormat="false" ht="26.85" hidden="false" customHeight="false" outlineLevel="0" collapsed="false">
      <c r="A218" s="23" t="s">
        <v>614</v>
      </c>
      <c r="B218" s="23" t="s">
        <v>645</v>
      </c>
      <c r="C218" s="14" t="s">
        <v>646</v>
      </c>
      <c r="D218" s="23" t="s">
        <v>141</v>
      </c>
      <c r="E218" s="24"/>
      <c r="F218" s="25"/>
      <c r="G218" s="25" t="str">
        <f aca="false">IF(E218="","",E218*F218)</f>
        <v/>
      </c>
      <c r="H218" s="25"/>
      <c r="I218" s="24" t="n">
        <v>10</v>
      </c>
      <c r="J218" s="25" t="n">
        <v>1296</v>
      </c>
      <c r="K218" s="25" t="n">
        <f aca="false">I218*J218</f>
        <v>12960</v>
      </c>
      <c r="L218" s="24" t="n">
        <v>10</v>
      </c>
      <c r="M218" s="25" t="n">
        <v>700</v>
      </c>
      <c r="N218" s="25" t="n">
        <f aca="false">L218*M218</f>
        <v>7000</v>
      </c>
      <c r="O218" s="25"/>
      <c r="P218" s="14"/>
      <c r="Q218" s="44" t="str">
        <f aca="false">IF(OR(O218="",M218=""),"",M218-O218)</f>
        <v/>
      </c>
      <c r="R218" s="45" t="str">
        <f aca="false">IF(Q218="","",Q218*L218)</f>
        <v/>
      </c>
      <c r="S218" s="45" t="n">
        <f aca="false">N218-K218</f>
        <v>-5960</v>
      </c>
      <c r="T218" s="46" t="s">
        <v>46</v>
      </c>
      <c r="U218" s="14"/>
      <c r="V218" s="23"/>
      <c r="W218" s="24" t="n">
        <f aca="false">L218</f>
        <v>10</v>
      </c>
      <c r="X218" s="25" t="n">
        <f aca="false">M218</f>
        <v>700</v>
      </c>
      <c r="Y218" s="5" t="n">
        <f aca="false">IF(OR(W218="",X218=""),0,W218*X218)</f>
        <v>7000</v>
      </c>
    </row>
    <row r="219" customFormat="false" ht="26.85" hidden="false" customHeight="false" outlineLevel="0" collapsed="false">
      <c r="A219" s="23" t="s">
        <v>614</v>
      </c>
      <c r="B219" s="23" t="s">
        <v>647</v>
      </c>
      <c r="C219" s="14" t="s">
        <v>648</v>
      </c>
      <c r="D219" s="23" t="s">
        <v>141</v>
      </c>
      <c r="E219" s="24"/>
      <c r="F219" s="25"/>
      <c r="G219" s="25" t="str">
        <f aca="false">IF(E219="","",E219*F219)</f>
        <v/>
      </c>
      <c r="H219" s="25"/>
      <c r="I219" s="24" t="n">
        <v>10</v>
      </c>
      <c r="J219" s="25" t="n">
        <v>1296</v>
      </c>
      <c r="K219" s="25" t="n">
        <f aca="false">I219*J219</f>
        <v>12960</v>
      </c>
      <c r="L219" s="24" t="n">
        <v>10</v>
      </c>
      <c r="M219" s="25" t="n">
        <v>700</v>
      </c>
      <c r="N219" s="25" t="n">
        <f aca="false">L219*M219</f>
        <v>7000</v>
      </c>
      <c r="O219" s="25"/>
      <c r="P219" s="14"/>
      <c r="Q219" s="44" t="str">
        <f aca="false">IF(OR(O219="",M219=""),"",M219-O219)</f>
        <v/>
      </c>
      <c r="R219" s="45" t="str">
        <f aca="false">IF(Q219="","",Q219*L219)</f>
        <v/>
      </c>
      <c r="S219" s="45" t="n">
        <f aca="false">N219-K219</f>
        <v>-5960</v>
      </c>
      <c r="T219" s="46" t="s">
        <v>46</v>
      </c>
      <c r="U219" s="14"/>
      <c r="V219" s="23"/>
      <c r="W219" s="24" t="n">
        <f aca="false">L219</f>
        <v>10</v>
      </c>
      <c r="X219" s="25" t="n">
        <f aca="false">M219</f>
        <v>700</v>
      </c>
      <c r="Y219" s="5" t="n">
        <f aca="false">IF(OR(W219="",X219=""),0,W219*X219)</f>
        <v>7000</v>
      </c>
    </row>
    <row r="220" customFormat="false" ht="26.85" hidden="false" customHeight="false" outlineLevel="0" collapsed="false">
      <c r="A220" s="23" t="s">
        <v>614</v>
      </c>
      <c r="B220" s="23" t="s">
        <v>649</v>
      </c>
      <c r="C220" s="14" t="s">
        <v>650</v>
      </c>
      <c r="D220" s="23" t="s">
        <v>363</v>
      </c>
      <c r="E220" s="24"/>
      <c r="F220" s="25"/>
      <c r="G220" s="25" t="str">
        <f aca="false">IF(E220="","",E220*F220)</f>
        <v/>
      </c>
      <c r="H220" s="25"/>
      <c r="I220" s="24" t="n">
        <v>90</v>
      </c>
      <c r="J220" s="25" t="n">
        <v>1020</v>
      </c>
      <c r="K220" s="25" t="n">
        <f aca="false">I220*J220</f>
        <v>91800</v>
      </c>
      <c r="L220" s="24" t="n">
        <v>90</v>
      </c>
      <c r="M220" s="25" t="n">
        <v>750</v>
      </c>
      <c r="N220" s="25" t="n">
        <f aca="false">L220*M220</f>
        <v>67500</v>
      </c>
      <c r="O220" s="25" t="n">
        <v>400</v>
      </c>
      <c r="P220" s="14" t="s">
        <v>651</v>
      </c>
      <c r="Q220" s="25" t="n">
        <f aca="false">IF(OR(O220="",M220=""),"",M220-O220)</f>
        <v>350</v>
      </c>
      <c r="R220" s="33" t="n">
        <f aca="false">IF(Q220="","",Q220*L220)</f>
        <v>31500</v>
      </c>
      <c r="S220" s="33" t="n">
        <f aca="false">N220-K220</f>
        <v>-24300</v>
      </c>
      <c r="T220" s="14" t="s">
        <v>44</v>
      </c>
      <c r="U220" s="14" t="s">
        <v>318</v>
      </c>
      <c r="V220" s="23"/>
      <c r="W220" s="24" t="n">
        <f aca="false">L220</f>
        <v>90</v>
      </c>
      <c r="X220" s="25" t="n">
        <f aca="false">M220</f>
        <v>750</v>
      </c>
      <c r="Y220" s="5" t="n">
        <f aca="false">IF(OR(W220="",X220=""),0,W220*X220)</f>
        <v>67500</v>
      </c>
    </row>
    <row r="221" customFormat="false" ht="26.85" hidden="false" customHeight="false" outlineLevel="0" collapsed="false">
      <c r="A221" s="23" t="s">
        <v>614</v>
      </c>
      <c r="B221" s="23" t="s">
        <v>652</v>
      </c>
      <c r="C221" s="14" t="s">
        <v>653</v>
      </c>
      <c r="D221" s="23" t="s">
        <v>363</v>
      </c>
      <c r="E221" s="24"/>
      <c r="F221" s="25"/>
      <c r="G221" s="25" t="str">
        <f aca="false">IF(E221="","",E221*F221)</f>
        <v/>
      </c>
      <c r="H221" s="25"/>
      <c r="I221" s="24" t="n">
        <v>35</v>
      </c>
      <c r="J221" s="25" t="n">
        <v>1296</v>
      </c>
      <c r="K221" s="25" t="n">
        <f aca="false">I221*J221</f>
        <v>45360</v>
      </c>
      <c r="L221" s="24" t="n">
        <v>35</v>
      </c>
      <c r="M221" s="25" t="n">
        <v>900</v>
      </c>
      <c r="N221" s="25" t="n">
        <f aca="false">L221*M221</f>
        <v>31500</v>
      </c>
      <c r="O221" s="25" t="n">
        <v>684</v>
      </c>
      <c r="P221" s="14" t="s">
        <v>654</v>
      </c>
      <c r="Q221" s="25" t="n">
        <f aca="false">IF(OR(O221="",M221=""),"",M221-O221)</f>
        <v>216</v>
      </c>
      <c r="R221" s="33" t="n">
        <f aca="false">IF(Q221="","",Q221*L221)</f>
        <v>7560</v>
      </c>
      <c r="S221" s="33" t="n">
        <f aca="false">N221-K221</f>
        <v>-13860</v>
      </c>
      <c r="T221" s="14" t="s">
        <v>44</v>
      </c>
      <c r="U221" s="14" t="s">
        <v>318</v>
      </c>
      <c r="V221" s="23"/>
      <c r="W221" s="24" t="n">
        <f aca="false">L221</f>
        <v>35</v>
      </c>
      <c r="X221" s="25" t="n">
        <f aca="false">M221</f>
        <v>900</v>
      </c>
      <c r="Y221" s="5" t="n">
        <f aca="false">IF(OR(W221="",X221=""),0,W221*X221)</f>
        <v>31500</v>
      </c>
    </row>
    <row r="222" customFormat="false" ht="26.85" hidden="false" customHeight="false" outlineLevel="0" collapsed="false">
      <c r="A222" s="23" t="s">
        <v>614</v>
      </c>
      <c r="B222" s="23" t="s">
        <v>655</v>
      </c>
      <c r="C222" s="14" t="s">
        <v>656</v>
      </c>
      <c r="D222" s="23" t="s">
        <v>363</v>
      </c>
      <c r="E222" s="24"/>
      <c r="F222" s="25"/>
      <c r="G222" s="25" t="str">
        <f aca="false">IF(E222="","",E222*F222)</f>
        <v/>
      </c>
      <c r="H222" s="25"/>
      <c r="I222" s="24" t="n">
        <v>40</v>
      </c>
      <c r="J222" s="25" t="n">
        <v>1296</v>
      </c>
      <c r="K222" s="25" t="n">
        <f aca="false">I222*J222</f>
        <v>51840</v>
      </c>
      <c r="L222" s="24" t="n">
        <v>40</v>
      </c>
      <c r="M222" s="25" t="n">
        <v>950</v>
      </c>
      <c r="N222" s="25" t="n">
        <f aca="false">L222*M222</f>
        <v>38000</v>
      </c>
      <c r="O222" s="25" t="n">
        <v>874</v>
      </c>
      <c r="P222" s="14" t="s">
        <v>657</v>
      </c>
      <c r="Q222" s="25" t="n">
        <f aca="false">IF(OR(O222="",M222=""),"",M222-O222)</f>
        <v>76</v>
      </c>
      <c r="R222" s="33" t="n">
        <f aca="false">IF(Q222="","",Q222*L222)</f>
        <v>3040</v>
      </c>
      <c r="S222" s="33" t="n">
        <f aca="false">N222-K222</f>
        <v>-13840</v>
      </c>
      <c r="T222" s="14" t="s">
        <v>44</v>
      </c>
      <c r="U222" s="14" t="s">
        <v>318</v>
      </c>
      <c r="V222" s="23"/>
      <c r="W222" s="24" t="n">
        <f aca="false">L222</f>
        <v>40</v>
      </c>
      <c r="X222" s="25" t="n">
        <f aca="false">M222</f>
        <v>950</v>
      </c>
      <c r="Y222" s="5" t="n">
        <f aca="false">IF(OR(W222="",X222=""),0,W222*X222)</f>
        <v>38000</v>
      </c>
    </row>
    <row r="223" customFormat="false" ht="26.85" hidden="false" customHeight="false" outlineLevel="0" collapsed="false">
      <c r="A223" s="23" t="s">
        <v>614</v>
      </c>
      <c r="B223" s="23" t="s">
        <v>658</v>
      </c>
      <c r="C223" s="14" t="s">
        <v>659</v>
      </c>
      <c r="D223" s="23" t="s">
        <v>363</v>
      </c>
      <c r="E223" s="24"/>
      <c r="F223" s="25"/>
      <c r="G223" s="25" t="str">
        <f aca="false">IF(E223="","",E223*F223)</f>
        <v/>
      </c>
      <c r="H223" s="25"/>
      <c r="I223" s="24" t="n">
        <v>90</v>
      </c>
      <c r="J223" s="25" t="n">
        <v>291.6</v>
      </c>
      <c r="K223" s="25" t="n">
        <f aca="false">I223*J223</f>
        <v>26244</v>
      </c>
      <c r="L223" s="24" t="n">
        <v>90</v>
      </c>
      <c r="M223" s="25" t="n">
        <v>200</v>
      </c>
      <c r="N223" s="25" t="n">
        <f aca="false">L223*M223</f>
        <v>18000</v>
      </c>
      <c r="O223" s="25" t="n">
        <v>150</v>
      </c>
      <c r="P223" s="14" t="s">
        <v>660</v>
      </c>
      <c r="Q223" s="25" t="n">
        <f aca="false">IF(OR(O223="",M223=""),"",M223-O223)</f>
        <v>50</v>
      </c>
      <c r="R223" s="33" t="n">
        <f aca="false">IF(Q223="","",Q223*L223)</f>
        <v>4500</v>
      </c>
      <c r="S223" s="33" t="n">
        <f aca="false">N223-K223</f>
        <v>-8244</v>
      </c>
      <c r="T223" s="14" t="s">
        <v>44</v>
      </c>
      <c r="U223" s="14" t="s">
        <v>318</v>
      </c>
      <c r="V223" s="38" t="s">
        <v>351</v>
      </c>
      <c r="W223" s="39" t="n">
        <v>90</v>
      </c>
      <c r="X223" s="40" t="n">
        <v>291.6</v>
      </c>
      <c r="Y223" s="9" t="n">
        <f aca="false">IF(OR(W223="",X223=""),0,W223*X223)</f>
        <v>26244</v>
      </c>
    </row>
    <row r="224" customFormat="false" ht="26.85" hidden="false" customHeight="false" outlineLevel="0" collapsed="false">
      <c r="A224" s="23" t="s">
        <v>614</v>
      </c>
      <c r="B224" s="23" t="s">
        <v>661</v>
      </c>
      <c r="C224" s="14" t="s">
        <v>662</v>
      </c>
      <c r="D224" s="23" t="s">
        <v>363</v>
      </c>
      <c r="E224" s="24"/>
      <c r="F224" s="25"/>
      <c r="G224" s="25" t="str">
        <f aca="false">IF(E224="","",E224*F224)</f>
        <v/>
      </c>
      <c r="H224" s="25"/>
      <c r="I224" s="24" t="n">
        <v>35</v>
      </c>
      <c r="J224" s="25" t="n">
        <v>291.6</v>
      </c>
      <c r="K224" s="25" t="n">
        <f aca="false">I224*J224</f>
        <v>10206</v>
      </c>
      <c r="L224" s="24" t="n">
        <v>35</v>
      </c>
      <c r="M224" s="25" t="n">
        <v>260</v>
      </c>
      <c r="N224" s="25" t="n">
        <f aca="false">L224*M224</f>
        <v>9100</v>
      </c>
      <c r="O224" s="25" t="n">
        <v>228</v>
      </c>
      <c r="P224" s="14" t="s">
        <v>663</v>
      </c>
      <c r="Q224" s="25" t="n">
        <f aca="false">IF(OR(O224="",M224=""),"",M224-O224)</f>
        <v>32</v>
      </c>
      <c r="R224" s="33" t="n">
        <f aca="false">IF(Q224="","",Q224*L224)</f>
        <v>1120</v>
      </c>
      <c r="S224" s="33" t="n">
        <f aca="false">N224-K224</f>
        <v>-1106</v>
      </c>
      <c r="T224" s="14" t="s">
        <v>44</v>
      </c>
      <c r="U224" s="14" t="s">
        <v>318</v>
      </c>
      <c r="V224" s="38" t="s">
        <v>351</v>
      </c>
      <c r="W224" s="39" t="n">
        <v>35</v>
      </c>
      <c r="X224" s="40" t="n">
        <v>291.6</v>
      </c>
      <c r="Y224" s="9" t="n">
        <f aca="false">IF(OR(W224="",X224=""),0,W224*X224)</f>
        <v>10206</v>
      </c>
    </row>
    <row r="225" customFormat="false" ht="26.85" hidden="false" customHeight="false" outlineLevel="0" collapsed="false">
      <c r="A225" s="23" t="s">
        <v>614</v>
      </c>
      <c r="B225" s="23" t="s">
        <v>664</v>
      </c>
      <c r="C225" s="14" t="s">
        <v>665</v>
      </c>
      <c r="D225" s="23" t="s">
        <v>363</v>
      </c>
      <c r="E225" s="24"/>
      <c r="F225" s="25"/>
      <c r="G225" s="25" t="str">
        <f aca="false">IF(E225="","",E225*F225)</f>
        <v/>
      </c>
      <c r="H225" s="25"/>
      <c r="I225" s="24" t="n">
        <v>40</v>
      </c>
      <c r="J225" s="25" t="n">
        <v>291.6</v>
      </c>
      <c r="K225" s="25" t="n">
        <f aca="false">I225*J225</f>
        <v>11664</v>
      </c>
      <c r="L225" s="24" t="n">
        <v>40</v>
      </c>
      <c r="M225" s="25" t="n">
        <v>260</v>
      </c>
      <c r="N225" s="25" t="n">
        <f aca="false">L225*M225</f>
        <v>10400</v>
      </c>
      <c r="O225" s="25" t="n">
        <v>228</v>
      </c>
      <c r="P225" s="14" t="s">
        <v>663</v>
      </c>
      <c r="Q225" s="25" t="n">
        <f aca="false">IF(OR(O225="",M225=""),"",M225-O225)</f>
        <v>32</v>
      </c>
      <c r="R225" s="33" t="n">
        <f aca="false">IF(Q225="","",Q225*L225)</f>
        <v>1280</v>
      </c>
      <c r="S225" s="33" t="n">
        <f aca="false">N225-K225</f>
        <v>-1264</v>
      </c>
      <c r="T225" s="14" t="s">
        <v>44</v>
      </c>
      <c r="U225" s="14" t="s">
        <v>318</v>
      </c>
      <c r="V225" s="38" t="s">
        <v>351</v>
      </c>
      <c r="W225" s="39" t="n">
        <v>40</v>
      </c>
      <c r="X225" s="40" t="n">
        <v>291.6</v>
      </c>
      <c r="Y225" s="9" t="n">
        <f aca="false">IF(OR(W225="",X225=""),0,W225*X225)</f>
        <v>11664</v>
      </c>
    </row>
    <row r="226" customFormat="false" ht="26.85" hidden="false" customHeight="false" outlineLevel="0" collapsed="false">
      <c r="A226" s="23" t="s">
        <v>614</v>
      </c>
      <c r="B226" s="23" t="s">
        <v>666</v>
      </c>
      <c r="C226" s="14" t="s">
        <v>667</v>
      </c>
      <c r="D226" s="23" t="s">
        <v>141</v>
      </c>
      <c r="E226" s="24"/>
      <c r="F226" s="25"/>
      <c r="G226" s="25" t="str">
        <f aca="false">IF(E226="","",E226*F226)</f>
        <v/>
      </c>
      <c r="H226" s="25"/>
      <c r="I226" s="24" t="n">
        <v>20</v>
      </c>
      <c r="J226" s="25" t="n">
        <v>1020</v>
      </c>
      <c r="K226" s="25" t="n">
        <f aca="false">I226*J226</f>
        <v>20400</v>
      </c>
      <c r="L226" s="24" t="n">
        <v>20</v>
      </c>
      <c r="M226" s="25" t="n">
        <v>520</v>
      </c>
      <c r="N226" s="25" t="n">
        <f aca="false">L226*M226</f>
        <v>10400</v>
      </c>
      <c r="O226" s="25"/>
      <c r="P226" s="14"/>
      <c r="Q226" s="44" t="str">
        <f aca="false">IF(OR(O226="",M226=""),"",M226-O226)</f>
        <v/>
      </c>
      <c r="R226" s="45" t="str">
        <f aca="false">IF(Q226="","",Q226*L226)</f>
        <v/>
      </c>
      <c r="S226" s="45" t="n">
        <f aca="false">N226-K226</f>
        <v>-10000</v>
      </c>
      <c r="T226" s="46" t="s">
        <v>46</v>
      </c>
      <c r="U226" s="14"/>
      <c r="V226" s="23"/>
      <c r="W226" s="24" t="n">
        <f aca="false">L226</f>
        <v>20</v>
      </c>
      <c r="X226" s="25" t="n">
        <f aca="false">M226</f>
        <v>520</v>
      </c>
      <c r="Y226" s="5" t="n">
        <f aca="false">IF(OR(W226="",X226=""),0,W226*X226)</f>
        <v>10400</v>
      </c>
    </row>
    <row r="227" customFormat="false" ht="26.85" hidden="false" customHeight="false" outlineLevel="0" collapsed="false">
      <c r="A227" s="23" t="s">
        <v>614</v>
      </c>
      <c r="B227" s="23" t="s">
        <v>668</v>
      </c>
      <c r="C227" s="14" t="s">
        <v>669</v>
      </c>
      <c r="D227" s="23" t="s">
        <v>141</v>
      </c>
      <c r="E227" s="24"/>
      <c r="F227" s="25"/>
      <c r="G227" s="25" t="str">
        <f aca="false">IF(E227="","",E227*F227)</f>
        <v/>
      </c>
      <c r="H227" s="25"/>
      <c r="I227" s="24" t="n">
        <v>2</v>
      </c>
      <c r="J227" s="25" t="n">
        <v>1020</v>
      </c>
      <c r="K227" s="25" t="n">
        <f aca="false">I227*J227</f>
        <v>2040</v>
      </c>
      <c r="L227" s="24" t="n">
        <v>2</v>
      </c>
      <c r="M227" s="25" t="n">
        <v>520</v>
      </c>
      <c r="N227" s="25" t="n">
        <f aca="false">L227*M227</f>
        <v>1040</v>
      </c>
      <c r="O227" s="25"/>
      <c r="P227" s="14"/>
      <c r="Q227" s="44" t="str">
        <f aca="false">IF(OR(O227="",M227=""),"",M227-O227)</f>
        <v/>
      </c>
      <c r="R227" s="45" t="str">
        <f aca="false">IF(Q227="","",Q227*L227)</f>
        <v/>
      </c>
      <c r="S227" s="45" t="n">
        <f aca="false">N227-K227</f>
        <v>-1000</v>
      </c>
      <c r="T227" s="46" t="s">
        <v>46</v>
      </c>
      <c r="U227" s="14"/>
      <c r="V227" s="23"/>
      <c r="W227" s="24" t="n">
        <f aca="false">L227</f>
        <v>2</v>
      </c>
      <c r="X227" s="25" t="n">
        <f aca="false">M227</f>
        <v>520</v>
      </c>
      <c r="Y227" s="5" t="n">
        <f aca="false">IF(OR(W227="",X227=""),0,W227*X227)</f>
        <v>1040</v>
      </c>
    </row>
    <row r="228" customFormat="false" ht="26.85" hidden="false" customHeight="false" outlineLevel="0" collapsed="false">
      <c r="A228" s="23" t="s">
        <v>614</v>
      </c>
      <c r="B228" s="23" t="s">
        <v>670</v>
      </c>
      <c r="C228" s="14" t="s">
        <v>671</v>
      </c>
      <c r="D228" s="23" t="s">
        <v>141</v>
      </c>
      <c r="E228" s="24"/>
      <c r="F228" s="25"/>
      <c r="G228" s="25" t="str">
        <f aca="false">IF(E228="","",E228*F228)</f>
        <v/>
      </c>
      <c r="H228" s="25"/>
      <c r="I228" s="24" t="n">
        <v>3</v>
      </c>
      <c r="J228" s="25" t="n">
        <v>1020</v>
      </c>
      <c r="K228" s="25" t="n">
        <f aca="false">I228*J228</f>
        <v>3060</v>
      </c>
      <c r="L228" s="24" t="n">
        <v>3</v>
      </c>
      <c r="M228" s="25" t="n">
        <v>520</v>
      </c>
      <c r="N228" s="25" t="n">
        <f aca="false">L228*M228</f>
        <v>1560</v>
      </c>
      <c r="O228" s="25"/>
      <c r="P228" s="14"/>
      <c r="Q228" s="44" t="str">
        <f aca="false">IF(OR(O228="",M228=""),"",M228-O228)</f>
        <v/>
      </c>
      <c r="R228" s="45" t="str">
        <f aca="false">IF(Q228="","",Q228*L228)</f>
        <v/>
      </c>
      <c r="S228" s="45" t="n">
        <f aca="false">N228-K228</f>
        <v>-1500</v>
      </c>
      <c r="T228" s="46" t="s">
        <v>46</v>
      </c>
      <c r="U228" s="14"/>
      <c r="V228" s="23"/>
      <c r="W228" s="24" t="n">
        <f aca="false">L228</f>
        <v>3</v>
      </c>
      <c r="X228" s="25" t="n">
        <f aca="false">M228</f>
        <v>520</v>
      </c>
      <c r="Y228" s="5" t="n">
        <f aca="false">IF(OR(W228="",X228=""),0,W228*X228)</f>
        <v>1560</v>
      </c>
    </row>
    <row r="229" customFormat="false" ht="26.85" hidden="false" customHeight="false" outlineLevel="0" collapsed="false">
      <c r="A229" s="23" t="s">
        <v>614</v>
      </c>
      <c r="B229" s="23" t="s">
        <v>672</v>
      </c>
      <c r="C229" s="14" t="s">
        <v>673</v>
      </c>
      <c r="D229" s="23" t="s">
        <v>141</v>
      </c>
      <c r="E229" s="24"/>
      <c r="F229" s="25"/>
      <c r="G229" s="25" t="str">
        <f aca="false">IF(E229="","",E229*F229)</f>
        <v/>
      </c>
      <c r="H229" s="25"/>
      <c r="I229" s="24" t="n">
        <v>15</v>
      </c>
      <c r="J229" s="25" t="n">
        <v>1020</v>
      </c>
      <c r="K229" s="25" t="n">
        <f aca="false">I229*J229</f>
        <v>15300</v>
      </c>
      <c r="L229" s="24" t="n">
        <v>15</v>
      </c>
      <c r="M229" s="25" t="n">
        <v>520</v>
      </c>
      <c r="N229" s="25" t="n">
        <f aca="false">L229*M229</f>
        <v>7800</v>
      </c>
      <c r="O229" s="25"/>
      <c r="P229" s="14"/>
      <c r="Q229" s="44" t="str">
        <f aca="false">IF(OR(O229="",M229=""),"",M229-O229)</f>
        <v/>
      </c>
      <c r="R229" s="45" t="str">
        <f aca="false">IF(Q229="","",Q229*L229)</f>
        <v/>
      </c>
      <c r="S229" s="45" t="n">
        <f aca="false">N229-K229</f>
        <v>-7500</v>
      </c>
      <c r="T229" s="46" t="s">
        <v>46</v>
      </c>
      <c r="U229" s="14"/>
      <c r="V229" s="23"/>
      <c r="W229" s="24" t="n">
        <f aca="false">L229</f>
        <v>15</v>
      </c>
      <c r="X229" s="25" t="n">
        <f aca="false">M229</f>
        <v>520</v>
      </c>
      <c r="Y229" s="5" t="n">
        <f aca="false">IF(OR(W229="",X229=""),0,W229*X229)</f>
        <v>7800</v>
      </c>
    </row>
    <row r="230" customFormat="false" ht="26.85" hidden="false" customHeight="false" outlineLevel="0" collapsed="false">
      <c r="A230" s="23" t="s">
        <v>614</v>
      </c>
      <c r="B230" s="23" t="s">
        <v>674</v>
      </c>
      <c r="C230" s="14" t="s">
        <v>675</v>
      </c>
      <c r="D230" s="23" t="s">
        <v>141</v>
      </c>
      <c r="E230" s="24"/>
      <c r="F230" s="25"/>
      <c r="G230" s="25" t="str">
        <f aca="false">IF(E230="","",E230*F230)</f>
        <v/>
      </c>
      <c r="H230" s="25"/>
      <c r="I230" s="24" t="n">
        <v>2</v>
      </c>
      <c r="J230" s="25" t="n">
        <v>1020</v>
      </c>
      <c r="K230" s="25" t="n">
        <f aca="false">I230*J230</f>
        <v>2040</v>
      </c>
      <c r="L230" s="24" t="n">
        <v>2</v>
      </c>
      <c r="M230" s="25" t="n">
        <v>520</v>
      </c>
      <c r="N230" s="25" t="n">
        <f aca="false">L230*M230</f>
        <v>1040</v>
      </c>
      <c r="O230" s="25"/>
      <c r="P230" s="14"/>
      <c r="Q230" s="44" t="str">
        <f aca="false">IF(OR(O230="",M230=""),"",M230-O230)</f>
        <v/>
      </c>
      <c r="R230" s="45" t="str">
        <f aca="false">IF(Q230="","",Q230*L230)</f>
        <v/>
      </c>
      <c r="S230" s="45" t="n">
        <f aca="false">N230-K230</f>
        <v>-1000</v>
      </c>
      <c r="T230" s="46" t="s">
        <v>46</v>
      </c>
      <c r="U230" s="14"/>
      <c r="V230" s="23"/>
      <c r="W230" s="24" t="n">
        <f aca="false">L230</f>
        <v>2</v>
      </c>
      <c r="X230" s="25" t="n">
        <f aca="false">M230</f>
        <v>520</v>
      </c>
      <c r="Y230" s="5" t="n">
        <f aca="false">IF(OR(W230="",X230=""),0,W230*X230)</f>
        <v>1040</v>
      </c>
    </row>
    <row r="231" customFormat="false" ht="26.85" hidden="false" customHeight="false" outlineLevel="0" collapsed="false">
      <c r="A231" s="23" t="s">
        <v>614</v>
      </c>
      <c r="B231" s="23" t="s">
        <v>676</v>
      </c>
      <c r="C231" s="14" t="s">
        <v>677</v>
      </c>
      <c r="D231" s="23" t="s">
        <v>141</v>
      </c>
      <c r="E231" s="24"/>
      <c r="F231" s="25"/>
      <c r="G231" s="25" t="str">
        <f aca="false">IF(E231="","",E231*F231)</f>
        <v/>
      </c>
      <c r="H231" s="25"/>
      <c r="I231" s="24" t="n">
        <v>30</v>
      </c>
      <c r="J231" s="25" t="n">
        <v>1020</v>
      </c>
      <c r="K231" s="25" t="n">
        <f aca="false">I231*J231</f>
        <v>30600</v>
      </c>
      <c r="L231" s="24" t="n">
        <v>30</v>
      </c>
      <c r="M231" s="25" t="n">
        <v>520</v>
      </c>
      <c r="N231" s="25" t="n">
        <f aca="false">L231*M231</f>
        <v>15600</v>
      </c>
      <c r="O231" s="25"/>
      <c r="P231" s="14"/>
      <c r="Q231" s="44" t="str">
        <f aca="false">IF(OR(O231="",M231=""),"",M231-O231)</f>
        <v/>
      </c>
      <c r="R231" s="45" t="str">
        <f aca="false">IF(Q231="","",Q231*L231)</f>
        <v/>
      </c>
      <c r="S231" s="45" t="n">
        <f aca="false">N231-K231</f>
        <v>-15000</v>
      </c>
      <c r="T231" s="46" t="s">
        <v>46</v>
      </c>
      <c r="U231" s="14"/>
      <c r="V231" s="23"/>
      <c r="W231" s="24" t="n">
        <f aca="false">L231</f>
        <v>30</v>
      </c>
      <c r="X231" s="25" t="n">
        <f aca="false">M231</f>
        <v>520</v>
      </c>
      <c r="Y231" s="5" t="n">
        <f aca="false">IF(OR(W231="",X231=""),0,W231*X231)</f>
        <v>15600</v>
      </c>
    </row>
    <row r="232" customFormat="false" ht="26.85" hidden="false" customHeight="false" outlineLevel="0" collapsed="false">
      <c r="A232" s="23" t="s">
        <v>614</v>
      </c>
      <c r="B232" s="23" t="s">
        <v>678</v>
      </c>
      <c r="C232" s="14" t="s">
        <v>679</v>
      </c>
      <c r="D232" s="23" t="s">
        <v>141</v>
      </c>
      <c r="E232" s="24"/>
      <c r="F232" s="25"/>
      <c r="G232" s="25" t="str">
        <f aca="false">IF(E232="","",E232*F232)</f>
        <v/>
      </c>
      <c r="H232" s="25"/>
      <c r="I232" s="24" t="n">
        <v>1</v>
      </c>
      <c r="J232" s="25" t="n">
        <v>1020</v>
      </c>
      <c r="K232" s="25" t="n">
        <f aca="false">I232*J232</f>
        <v>1020</v>
      </c>
      <c r="L232" s="24" t="n">
        <v>1</v>
      </c>
      <c r="M232" s="25" t="n">
        <v>520</v>
      </c>
      <c r="N232" s="25" t="n">
        <f aca="false">L232*M232</f>
        <v>520</v>
      </c>
      <c r="O232" s="25"/>
      <c r="P232" s="14"/>
      <c r="Q232" s="44" t="str">
        <f aca="false">IF(OR(O232="",M232=""),"",M232-O232)</f>
        <v/>
      </c>
      <c r="R232" s="45" t="str">
        <f aca="false">IF(Q232="","",Q232*L232)</f>
        <v/>
      </c>
      <c r="S232" s="45" t="n">
        <f aca="false">N232-K232</f>
        <v>-500</v>
      </c>
      <c r="T232" s="46" t="s">
        <v>46</v>
      </c>
      <c r="U232" s="14"/>
      <c r="V232" s="23"/>
      <c r="W232" s="24" t="n">
        <f aca="false">L232</f>
        <v>1</v>
      </c>
      <c r="X232" s="25" t="n">
        <f aca="false">M232</f>
        <v>520</v>
      </c>
      <c r="Y232" s="5" t="n">
        <f aca="false">IF(OR(W232="",X232=""),0,W232*X232)</f>
        <v>520</v>
      </c>
    </row>
    <row r="233" customFormat="false" ht="26.85" hidden="false" customHeight="false" outlineLevel="0" collapsed="false">
      <c r="A233" s="23" t="s">
        <v>614</v>
      </c>
      <c r="B233" s="23" t="s">
        <v>680</v>
      </c>
      <c r="C233" s="14" t="s">
        <v>681</v>
      </c>
      <c r="D233" s="23" t="s">
        <v>141</v>
      </c>
      <c r="E233" s="24"/>
      <c r="F233" s="25"/>
      <c r="G233" s="25" t="str">
        <f aca="false">IF(E233="","",E233*F233)</f>
        <v/>
      </c>
      <c r="H233" s="25"/>
      <c r="I233" s="24" t="n">
        <v>6</v>
      </c>
      <c r="J233" s="25" t="n">
        <v>1020</v>
      </c>
      <c r="K233" s="25" t="n">
        <f aca="false">I233*J233</f>
        <v>6120</v>
      </c>
      <c r="L233" s="24" t="n">
        <v>6</v>
      </c>
      <c r="M233" s="25" t="n">
        <v>520</v>
      </c>
      <c r="N233" s="25" t="n">
        <f aca="false">L233*M233</f>
        <v>3120</v>
      </c>
      <c r="O233" s="25"/>
      <c r="P233" s="14"/>
      <c r="Q233" s="44" t="str">
        <f aca="false">IF(OR(O233="",M233=""),"",M233-O233)</f>
        <v/>
      </c>
      <c r="R233" s="45" t="str">
        <f aca="false">IF(Q233="","",Q233*L233)</f>
        <v/>
      </c>
      <c r="S233" s="45" t="n">
        <f aca="false">N233-K233</f>
        <v>-3000</v>
      </c>
      <c r="T233" s="46" t="s">
        <v>46</v>
      </c>
      <c r="U233" s="14"/>
      <c r="V233" s="23"/>
      <c r="W233" s="24" t="n">
        <f aca="false">L233</f>
        <v>6</v>
      </c>
      <c r="X233" s="25" t="n">
        <f aca="false">M233</f>
        <v>520</v>
      </c>
      <c r="Y233" s="5" t="n">
        <f aca="false">IF(OR(W233="",X233=""),0,W233*X233)</f>
        <v>3120</v>
      </c>
    </row>
    <row r="234" customFormat="false" ht="26.85" hidden="false" customHeight="false" outlineLevel="0" collapsed="false">
      <c r="A234" s="23" t="s">
        <v>614</v>
      </c>
      <c r="B234" s="23" t="s">
        <v>682</v>
      </c>
      <c r="C234" s="14" t="s">
        <v>683</v>
      </c>
      <c r="D234" s="23" t="s">
        <v>141</v>
      </c>
      <c r="E234" s="24"/>
      <c r="F234" s="25"/>
      <c r="G234" s="25" t="str">
        <f aca="false">IF(E234="","",E234*F234)</f>
        <v/>
      </c>
      <c r="H234" s="25"/>
      <c r="I234" s="24" t="n">
        <v>2</v>
      </c>
      <c r="J234" s="25" t="n">
        <v>1020</v>
      </c>
      <c r="K234" s="25" t="n">
        <f aca="false">I234*J234</f>
        <v>2040</v>
      </c>
      <c r="L234" s="24" t="n">
        <v>2</v>
      </c>
      <c r="M234" s="25" t="n">
        <v>520</v>
      </c>
      <c r="N234" s="25" t="n">
        <f aca="false">L234*M234</f>
        <v>1040</v>
      </c>
      <c r="O234" s="25"/>
      <c r="P234" s="14"/>
      <c r="Q234" s="44" t="str">
        <f aca="false">IF(OR(O234="",M234=""),"",M234-O234)</f>
        <v/>
      </c>
      <c r="R234" s="45" t="str">
        <f aca="false">IF(Q234="","",Q234*L234)</f>
        <v/>
      </c>
      <c r="S234" s="45" t="n">
        <f aca="false">N234-K234</f>
        <v>-1000</v>
      </c>
      <c r="T234" s="46" t="s">
        <v>46</v>
      </c>
      <c r="U234" s="14"/>
      <c r="V234" s="23"/>
      <c r="W234" s="24" t="n">
        <f aca="false">L234</f>
        <v>2</v>
      </c>
      <c r="X234" s="25" t="n">
        <f aca="false">M234</f>
        <v>520</v>
      </c>
      <c r="Y234" s="5" t="n">
        <f aca="false">IF(OR(W234="",X234=""),0,W234*X234)</f>
        <v>1040</v>
      </c>
    </row>
    <row r="235" customFormat="false" ht="26.85" hidden="false" customHeight="false" outlineLevel="0" collapsed="false">
      <c r="A235" s="23" t="s">
        <v>614</v>
      </c>
      <c r="B235" s="23" t="s">
        <v>684</v>
      </c>
      <c r="C235" s="14" t="s">
        <v>685</v>
      </c>
      <c r="D235" s="23" t="s">
        <v>141</v>
      </c>
      <c r="E235" s="24"/>
      <c r="F235" s="25"/>
      <c r="G235" s="25" t="str">
        <f aca="false">IF(E235="","",E235*F235)</f>
        <v/>
      </c>
      <c r="H235" s="25"/>
      <c r="I235" s="24" t="n">
        <v>75</v>
      </c>
      <c r="J235" s="25" t="n">
        <v>1020</v>
      </c>
      <c r="K235" s="25" t="n">
        <f aca="false">I235*J235</f>
        <v>76500</v>
      </c>
      <c r="L235" s="24" t="n">
        <v>75</v>
      </c>
      <c r="M235" s="25" t="n">
        <v>740</v>
      </c>
      <c r="N235" s="25" t="n">
        <f aca="false">L235*M235</f>
        <v>55500</v>
      </c>
      <c r="O235" s="25"/>
      <c r="P235" s="14"/>
      <c r="Q235" s="44" t="str">
        <f aca="false">IF(OR(O235="",M235=""),"",M235-O235)</f>
        <v/>
      </c>
      <c r="R235" s="45" t="str">
        <f aca="false">IF(Q235="","",Q235*L235)</f>
        <v/>
      </c>
      <c r="S235" s="45" t="n">
        <f aca="false">N235-K235</f>
        <v>-21000</v>
      </c>
      <c r="T235" s="46" t="s">
        <v>46</v>
      </c>
      <c r="U235" s="14"/>
      <c r="V235" s="23"/>
      <c r="W235" s="24" t="n">
        <f aca="false">L235</f>
        <v>75</v>
      </c>
      <c r="X235" s="25" t="n">
        <f aca="false">M235</f>
        <v>740</v>
      </c>
      <c r="Y235" s="5" t="n">
        <f aca="false">IF(OR(W235="",X235=""),0,W235*X235)</f>
        <v>55500</v>
      </c>
    </row>
    <row r="236" customFormat="false" ht="26.85" hidden="false" customHeight="false" outlineLevel="0" collapsed="false">
      <c r="A236" s="23" t="s">
        <v>614</v>
      </c>
      <c r="B236" s="23" t="s">
        <v>686</v>
      </c>
      <c r="C236" s="14" t="s">
        <v>687</v>
      </c>
      <c r="D236" s="23" t="s">
        <v>141</v>
      </c>
      <c r="E236" s="24"/>
      <c r="F236" s="25"/>
      <c r="G236" s="25" t="str">
        <f aca="false">IF(E236="","",E236*F236)</f>
        <v/>
      </c>
      <c r="H236" s="25"/>
      <c r="I236" s="24" t="n">
        <v>8</v>
      </c>
      <c r="J236" s="25" t="n">
        <v>1020</v>
      </c>
      <c r="K236" s="25" t="n">
        <f aca="false">I236*J236</f>
        <v>8160</v>
      </c>
      <c r="L236" s="24" t="n">
        <v>8</v>
      </c>
      <c r="M236" s="25" t="n">
        <v>740</v>
      </c>
      <c r="N236" s="25" t="n">
        <f aca="false">L236*M236</f>
        <v>5920</v>
      </c>
      <c r="O236" s="25"/>
      <c r="P236" s="14"/>
      <c r="Q236" s="44" t="str">
        <f aca="false">IF(OR(O236="",M236=""),"",M236-O236)</f>
        <v/>
      </c>
      <c r="R236" s="45" t="str">
        <f aca="false">IF(Q236="","",Q236*L236)</f>
        <v/>
      </c>
      <c r="S236" s="45" t="n">
        <f aca="false">N236-K236</f>
        <v>-2240</v>
      </c>
      <c r="T236" s="46" t="s">
        <v>46</v>
      </c>
      <c r="U236" s="14"/>
      <c r="V236" s="23"/>
      <c r="W236" s="24" t="n">
        <f aca="false">L236</f>
        <v>8</v>
      </c>
      <c r="X236" s="25" t="n">
        <f aca="false">M236</f>
        <v>740</v>
      </c>
      <c r="Y236" s="5" t="n">
        <f aca="false">IF(OR(W236="",X236=""),0,W236*X236)</f>
        <v>5920</v>
      </c>
    </row>
    <row r="237" customFormat="false" ht="26.85" hidden="false" customHeight="false" outlineLevel="0" collapsed="false">
      <c r="A237" s="23" t="s">
        <v>614</v>
      </c>
      <c r="B237" s="23" t="s">
        <v>688</v>
      </c>
      <c r="C237" s="14" t="s">
        <v>689</v>
      </c>
      <c r="D237" s="23" t="s">
        <v>141</v>
      </c>
      <c r="E237" s="24"/>
      <c r="F237" s="25"/>
      <c r="G237" s="25" t="str">
        <f aca="false">IF(E237="","",E237*F237)</f>
        <v/>
      </c>
      <c r="H237" s="25"/>
      <c r="I237" s="24" t="n">
        <v>75</v>
      </c>
      <c r="J237" s="25" t="n">
        <v>1020</v>
      </c>
      <c r="K237" s="25" t="n">
        <f aca="false">I237*J237</f>
        <v>76500</v>
      </c>
      <c r="L237" s="24" t="n">
        <v>75</v>
      </c>
      <c r="M237" s="25" t="n">
        <v>200</v>
      </c>
      <c r="N237" s="25" t="n">
        <f aca="false">L237*M237</f>
        <v>15000</v>
      </c>
      <c r="O237" s="25" t="n">
        <v>150</v>
      </c>
      <c r="P237" s="14" t="s">
        <v>660</v>
      </c>
      <c r="Q237" s="25" t="n">
        <f aca="false">IF(OR(O237="",M237=""),"",M237-O237)</f>
        <v>50</v>
      </c>
      <c r="R237" s="33" t="n">
        <f aca="false">IF(Q237="","",Q237*L237)</f>
        <v>3750</v>
      </c>
      <c r="S237" s="33" t="n">
        <f aca="false">N237-K237</f>
        <v>-61500</v>
      </c>
      <c r="T237" s="14" t="s">
        <v>44</v>
      </c>
      <c r="U237" s="14" t="s">
        <v>318</v>
      </c>
      <c r="V237" s="38" t="s">
        <v>351</v>
      </c>
      <c r="W237" s="39" t="n">
        <v>75</v>
      </c>
      <c r="X237" s="40" t="n">
        <v>1020</v>
      </c>
      <c r="Y237" s="9" t="n">
        <f aca="false">IF(OR(W237="",X237=""),0,W237*X237)</f>
        <v>76500</v>
      </c>
    </row>
    <row r="238" customFormat="false" ht="26.85" hidden="false" customHeight="false" outlineLevel="0" collapsed="false">
      <c r="A238" s="23" t="s">
        <v>614</v>
      </c>
      <c r="B238" s="23" t="s">
        <v>690</v>
      </c>
      <c r="C238" s="14" t="s">
        <v>691</v>
      </c>
      <c r="D238" s="23" t="s">
        <v>141</v>
      </c>
      <c r="E238" s="24"/>
      <c r="F238" s="25"/>
      <c r="G238" s="25" t="str">
        <f aca="false">IF(E238="","",E238*F238)</f>
        <v/>
      </c>
      <c r="H238" s="25"/>
      <c r="I238" s="24" t="n">
        <v>8</v>
      </c>
      <c r="J238" s="25" t="n">
        <v>1020</v>
      </c>
      <c r="K238" s="25" t="n">
        <f aca="false">I238*J238</f>
        <v>8160</v>
      </c>
      <c r="L238" s="24" t="n">
        <v>8</v>
      </c>
      <c r="M238" s="25" t="n">
        <v>260</v>
      </c>
      <c r="N238" s="25" t="n">
        <f aca="false">L238*M238</f>
        <v>2080</v>
      </c>
      <c r="O238" s="25" t="n">
        <v>228</v>
      </c>
      <c r="P238" s="14" t="s">
        <v>663</v>
      </c>
      <c r="Q238" s="25" t="n">
        <f aca="false">IF(OR(O238="",M238=""),"",M238-O238)</f>
        <v>32</v>
      </c>
      <c r="R238" s="33" t="n">
        <f aca="false">IF(Q238="","",Q238*L238)</f>
        <v>256</v>
      </c>
      <c r="S238" s="33" t="n">
        <f aca="false">N238-K238</f>
        <v>-6080</v>
      </c>
      <c r="T238" s="14" t="s">
        <v>44</v>
      </c>
      <c r="U238" s="14" t="s">
        <v>318</v>
      </c>
      <c r="V238" s="38" t="s">
        <v>351</v>
      </c>
      <c r="W238" s="39" t="n">
        <v>8</v>
      </c>
      <c r="X238" s="40" t="n">
        <v>1020</v>
      </c>
      <c r="Y238" s="9" t="n">
        <f aca="false">IF(OR(W238="",X238=""),0,W238*X238)</f>
        <v>8160</v>
      </c>
    </row>
    <row r="239" customFormat="false" ht="26.85" hidden="false" customHeight="false" outlineLevel="0" collapsed="false">
      <c r="A239" s="23" t="s">
        <v>614</v>
      </c>
      <c r="B239" s="23" t="s">
        <v>692</v>
      </c>
      <c r="C239" s="14" t="s">
        <v>693</v>
      </c>
      <c r="D239" s="23" t="s">
        <v>363</v>
      </c>
      <c r="E239" s="24"/>
      <c r="F239" s="25"/>
      <c r="G239" s="25" t="str">
        <f aca="false">IF(E239="","",E239*F239)</f>
        <v/>
      </c>
      <c r="H239" s="25"/>
      <c r="I239" s="24" t="n">
        <v>100</v>
      </c>
      <c r="J239" s="25" t="n">
        <v>1092</v>
      </c>
      <c r="K239" s="25" t="n">
        <f aca="false">I239*J239</f>
        <v>109200</v>
      </c>
      <c r="L239" s="24" t="n">
        <v>0</v>
      </c>
      <c r="M239" s="25"/>
      <c r="N239" s="25" t="n">
        <f aca="false">L239*M239</f>
        <v>0</v>
      </c>
      <c r="O239" s="25"/>
      <c r="P239" s="14"/>
      <c r="Q239" s="22" t="str">
        <f aca="false">IF(OR(O239="",M239=""),"",M239-O239)</f>
        <v/>
      </c>
      <c r="R239" s="37" t="str">
        <f aca="false">IF(Q239="","",Q239*L239)</f>
        <v/>
      </c>
      <c r="S239" s="37" t="n">
        <f aca="false">N239-K239</f>
        <v>-109200</v>
      </c>
      <c r="T239" s="13" t="s">
        <v>36</v>
      </c>
      <c r="U239" s="14"/>
      <c r="V239" s="38" t="s">
        <v>694</v>
      </c>
      <c r="W239" s="39" t="n">
        <v>100</v>
      </c>
      <c r="X239" s="40" t="n">
        <v>1092</v>
      </c>
      <c r="Y239" s="9" t="n">
        <f aca="false">IF(OR(W239="",X239=""),0,W239*X239)</f>
        <v>109200</v>
      </c>
    </row>
    <row r="240" customFormat="false" ht="26.85" hidden="false" customHeight="false" outlineLevel="0" collapsed="false">
      <c r="A240" s="23" t="s">
        <v>614</v>
      </c>
      <c r="B240" s="23" t="s">
        <v>695</v>
      </c>
      <c r="C240" s="14" t="s">
        <v>696</v>
      </c>
      <c r="D240" s="23" t="s">
        <v>356</v>
      </c>
      <c r="E240" s="24"/>
      <c r="F240" s="25"/>
      <c r="G240" s="25" t="str">
        <f aca="false">IF(E240="","",E240*F240)</f>
        <v/>
      </c>
      <c r="H240" s="25"/>
      <c r="I240" s="24" t="n">
        <v>1</v>
      </c>
      <c r="J240" s="25" t="n">
        <v>162000</v>
      </c>
      <c r="K240" s="25" t="n">
        <f aca="false">I240*J240</f>
        <v>162000</v>
      </c>
      <c r="L240" s="24" t="n">
        <v>1</v>
      </c>
      <c r="M240" s="25" t="n">
        <v>120000</v>
      </c>
      <c r="N240" s="25" t="n">
        <f aca="false">L240*M240</f>
        <v>120000</v>
      </c>
      <c r="O240" s="25"/>
      <c r="P240" s="14"/>
      <c r="Q240" s="44" t="str">
        <f aca="false">IF(OR(O240="",M240=""),"",M240-O240)</f>
        <v/>
      </c>
      <c r="R240" s="45" t="str">
        <f aca="false">IF(Q240="","",Q240*L240)</f>
        <v/>
      </c>
      <c r="S240" s="45" t="n">
        <f aca="false">N240-K240</f>
        <v>-42000</v>
      </c>
      <c r="T240" s="46" t="s">
        <v>46</v>
      </c>
      <c r="U240" s="14" t="s">
        <v>600</v>
      </c>
      <c r="V240" s="23"/>
      <c r="W240" s="24" t="n">
        <f aca="false">L240</f>
        <v>1</v>
      </c>
      <c r="X240" s="25" t="n">
        <f aca="false">M240</f>
        <v>120000</v>
      </c>
      <c r="Y240" s="5" t="n">
        <f aca="false">IF(OR(W240="",X240=""),0,W240*X240)</f>
        <v>120000</v>
      </c>
    </row>
    <row r="241" customFormat="false" ht="15" hidden="false" customHeight="false" outlineLevel="0" collapsed="false">
      <c r="A241" s="31"/>
      <c r="B241" s="32" t="s">
        <v>697</v>
      </c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 customFormat="false" ht="39.55" hidden="false" customHeight="false" outlineLevel="0" collapsed="false">
      <c r="A242" s="23" t="s">
        <v>698</v>
      </c>
      <c r="B242" s="23" t="s">
        <v>699</v>
      </c>
      <c r="C242" s="14" t="s">
        <v>416</v>
      </c>
      <c r="D242" s="23" t="s">
        <v>141</v>
      </c>
      <c r="E242" s="24"/>
      <c r="F242" s="25"/>
      <c r="G242" s="25" t="str">
        <f aca="false">IF(E242="","",E242*F242)</f>
        <v/>
      </c>
      <c r="H242" s="25"/>
      <c r="I242" s="24" t="n">
        <v>3</v>
      </c>
      <c r="J242" s="25" t="n">
        <v>1296</v>
      </c>
      <c r="K242" s="25" t="n">
        <f aca="false">I242*J242</f>
        <v>3888</v>
      </c>
      <c r="L242" s="24" t="n">
        <v>3</v>
      </c>
      <c r="M242" s="25" t="n">
        <v>185</v>
      </c>
      <c r="N242" s="25" t="n">
        <f aca="false">L242*M242</f>
        <v>555</v>
      </c>
      <c r="O242" s="25" t="n">
        <v>1425</v>
      </c>
      <c r="P242" s="14" t="s">
        <v>417</v>
      </c>
      <c r="Q242" s="22" t="n">
        <f aca="false">IF(OR(O242="",M242=""),"",M242-O242)</f>
        <v>-1240</v>
      </c>
      <c r="R242" s="37" t="n">
        <f aca="false">IF(Q242="","",Q242*L242)</f>
        <v>-3720</v>
      </c>
      <c r="S242" s="37" t="n">
        <f aca="false">N242-K242</f>
        <v>-3333</v>
      </c>
      <c r="T242" s="13" t="s">
        <v>34</v>
      </c>
      <c r="U242" s="14" t="s">
        <v>318</v>
      </c>
      <c r="V242" s="38" t="s">
        <v>700</v>
      </c>
      <c r="W242" s="39" t="n">
        <v>3</v>
      </c>
      <c r="X242" s="40" t="n">
        <v>1296</v>
      </c>
      <c r="Y242" s="9" t="n">
        <f aca="false">IF(OR(W242="",X242=""),0,W242*X242)</f>
        <v>3888</v>
      </c>
    </row>
    <row r="243" customFormat="false" ht="39.55" hidden="false" customHeight="false" outlineLevel="0" collapsed="false">
      <c r="A243" s="23" t="s">
        <v>698</v>
      </c>
      <c r="B243" s="23" t="s">
        <v>701</v>
      </c>
      <c r="C243" s="14" t="s">
        <v>702</v>
      </c>
      <c r="D243" s="23" t="s">
        <v>141</v>
      </c>
      <c r="E243" s="24"/>
      <c r="F243" s="25"/>
      <c r="G243" s="25" t="str">
        <f aca="false">IF(E243="","",E243*F243)</f>
        <v/>
      </c>
      <c r="H243" s="25"/>
      <c r="I243" s="24" t="n">
        <v>1</v>
      </c>
      <c r="J243" s="25" t="n">
        <v>1296</v>
      </c>
      <c r="K243" s="25" t="n">
        <f aca="false">I243*J243</f>
        <v>1296</v>
      </c>
      <c r="L243" s="24" t="n">
        <v>1</v>
      </c>
      <c r="M243" s="25" t="n">
        <v>205.66</v>
      </c>
      <c r="N243" s="25" t="n">
        <f aca="false">L243*M243</f>
        <v>205.66</v>
      </c>
      <c r="O243" s="25" t="n">
        <v>1425</v>
      </c>
      <c r="P243" s="14" t="s">
        <v>417</v>
      </c>
      <c r="Q243" s="22" t="n">
        <f aca="false">IF(OR(O243="",M243=""),"",M243-O243)</f>
        <v>-1219.34</v>
      </c>
      <c r="R243" s="37" t="n">
        <f aca="false">IF(Q243="","",Q243*L243)</f>
        <v>-1219.34</v>
      </c>
      <c r="S243" s="37" t="n">
        <f aca="false">N243-K243</f>
        <v>-1090.34</v>
      </c>
      <c r="T243" s="13" t="s">
        <v>34</v>
      </c>
      <c r="U243" s="14" t="s">
        <v>318</v>
      </c>
      <c r="V243" s="38" t="s">
        <v>700</v>
      </c>
      <c r="W243" s="39" t="n">
        <v>1</v>
      </c>
      <c r="X243" s="40" t="n">
        <v>1296</v>
      </c>
      <c r="Y243" s="9" t="n">
        <f aca="false">IF(OR(W243="",X243=""),0,W243*X243)</f>
        <v>1296</v>
      </c>
    </row>
    <row r="244" customFormat="false" ht="39.55" hidden="false" customHeight="false" outlineLevel="0" collapsed="false">
      <c r="A244" s="23" t="s">
        <v>698</v>
      </c>
      <c r="B244" s="23" t="s">
        <v>703</v>
      </c>
      <c r="C244" s="14" t="s">
        <v>704</v>
      </c>
      <c r="D244" s="23" t="s">
        <v>141</v>
      </c>
      <c r="E244" s="24"/>
      <c r="F244" s="25"/>
      <c r="G244" s="25" t="str">
        <f aca="false">IF(E244="","",E244*F244)</f>
        <v/>
      </c>
      <c r="H244" s="25"/>
      <c r="I244" s="24" t="n">
        <v>44</v>
      </c>
      <c r="J244" s="25" t="n">
        <v>1296</v>
      </c>
      <c r="K244" s="25" t="n">
        <f aca="false">I244*J244</f>
        <v>57024</v>
      </c>
      <c r="L244" s="24" t="n">
        <v>44</v>
      </c>
      <c r="M244" s="25" t="n">
        <v>298.89</v>
      </c>
      <c r="N244" s="25" t="n">
        <f aca="false">L244*M244</f>
        <v>13151.16</v>
      </c>
      <c r="O244" s="25" t="n">
        <v>1425</v>
      </c>
      <c r="P244" s="14" t="s">
        <v>417</v>
      </c>
      <c r="Q244" s="22" t="n">
        <f aca="false">IF(OR(O244="",M244=""),"",M244-O244)</f>
        <v>-1126.11</v>
      </c>
      <c r="R244" s="37" t="n">
        <f aca="false">IF(Q244="","",Q244*L244)</f>
        <v>-49548.84</v>
      </c>
      <c r="S244" s="37" t="n">
        <f aca="false">N244-K244</f>
        <v>-43872.84</v>
      </c>
      <c r="T244" s="13" t="s">
        <v>34</v>
      </c>
      <c r="U244" s="14" t="s">
        <v>318</v>
      </c>
      <c r="V244" s="38" t="s">
        <v>700</v>
      </c>
      <c r="W244" s="39" t="n">
        <v>44</v>
      </c>
      <c r="X244" s="40" t="n">
        <v>1296</v>
      </c>
      <c r="Y244" s="9" t="n">
        <f aca="false">IF(OR(W244="",X244=""),0,W244*X244)</f>
        <v>57024</v>
      </c>
    </row>
    <row r="245" customFormat="false" ht="39.55" hidden="false" customHeight="false" outlineLevel="0" collapsed="false">
      <c r="A245" s="23" t="s">
        <v>698</v>
      </c>
      <c r="B245" s="23" t="s">
        <v>705</v>
      </c>
      <c r="C245" s="14" t="s">
        <v>706</v>
      </c>
      <c r="D245" s="23" t="s">
        <v>141</v>
      </c>
      <c r="E245" s="24"/>
      <c r="F245" s="25"/>
      <c r="G245" s="25" t="str">
        <f aca="false">IF(E245="","",E245*F245)</f>
        <v/>
      </c>
      <c r="H245" s="25"/>
      <c r="I245" s="24" t="n">
        <v>8</v>
      </c>
      <c r="J245" s="25" t="n">
        <v>1296</v>
      </c>
      <c r="K245" s="25" t="n">
        <f aca="false">I245*J245</f>
        <v>10368</v>
      </c>
      <c r="L245" s="24" t="n">
        <v>8</v>
      </c>
      <c r="M245" s="25" t="n">
        <v>600</v>
      </c>
      <c r="N245" s="25" t="n">
        <f aca="false">L245*M245</f>
        <v>4800</v>
      </c>
      <c r="O245" s="25" t="n">
        <v>600</v>
      </c>
      <c r="P245" s="14" t="s">
        <v>707</v>
      </c>
      <c r="Q245" s="25" t="n">
        <f aca="false">IF(OR(O245="",M245=""),"",M245-O245)</f>
        <v>0</v>
      </c>
      <c r="R245" s="33" t="n">
        <f aca="false">IF(Q245="","",Q245*L245)</f>
        <v>0</v>
      </c>
      <c r="S245" s="33" t="n">
        <f aca="false">N245-K245</f>
        <v>-5568</v>
      </c>
      <c r="T245" s="14" t="s">
        <v>42</v>
      </c>
      <c r="U245" s="14" t="s">
        <v>318</v>
      </c>
      <c r="V245" s="23"/>
      <c r="W245" s="24" t="n">
        <f aca="false">L245</f>
        <v>8</v>
      </c>
      <c r="X245" s="25" t="n">
        <f aca="false">M245</f>
        <v>600</v>
      </c>
      <c r="Y245" s="5" t="n">
        <f aca="false">IF(OR(W245="",X245=""),0,W245*X245)</f>
        <v>4800</v>
      </c>
    </row>
    <row r="246" customFormat="false" ht="39.55" hidden="false" customHeight="false" outlineLevel="0" collapsed="false">
      <c r="A246" s="23" t="s">
        <v>698</v>
      </c>
      <c r="B246" s="23" t="s">
        <v>708</v>
      </c>
      <c r="C246" s="14" t="s">
        <v>709</v>
      </c>
      <c r="D246" s="23" t="s">
        <v>141</v>
      </c>
      <c r="E246" s="24"/>
      <c r="F246" s="25"/>
      <c r="G246" s="25" t="str">
        <f aca="false">IF(E246="","",E246*F246)</f>
        <v/>
      </c>
      <c r="H246" s="25"/>
      <c r="I246" s="24" t="n">
        <v>9</v>
      </c>
      <c r="J246" s="25" t="n">
        <v>1296</v>
      </c>
      <c r="K246" s="25" t="n">
        <f aca="false">I246*J246</f>
        <v>11664</v>
      </c>
      <c r="L246" s="24" t="n">
        <v>9</v>
      </c>
      <c r="M246" s="25" t="n">
        <v>600</v>
      </c>
      <c r="N246" s="25" t="n">
        <f aca="false">L246*M246</f>
        <v>5400</v>
      </c>
      <c r="O246" s="25" t="n">
        <v>600</v>
      </c>
      <c r="P246" s="14" t="s">
        <v>707</v>
      </c>
      <c r="Q246" s="25" t="n">
        <f aca="false">IF(OR(O246="",M246=""),"",M246-O246)</f>
        <v>0</v>
      </c>
      <c r="R246" s="33" t="n">
        <f aca="false">IF(Q246="","",Q246*L246)</f>
        <v>0</v>
      </c>
      <c r="S246" s="33" t="n">
        <f aca="false">N246-K246</f>
        <v>-6264</v>
      </c>
      <c r="T246" s="14" t="s">
        <v>42</v>
      </c>
      <c r="U246" s="14" t="s">
        <v>318</v>
      </c>
      <c r="V246" s="23"/>
      <c r="W246" s="24" t="n">
        <f aca="false">L246</f>
        <v>9</v>
      </c>
      <c r="X246" s="25" t="n">
        <f aca="false">M246</f>
        <v>600</v>
      </c>
      <c r="Y246" s="5" t="n">
        <f aca="false">IF(OR(W246="",X246=""),0,W246*X246)</f>
        <v>5400</v>
      </c>
    </row>
    <row r="247" customFormat="false" ht="39.55" hidden="false" customHeight="false" outlineLevel="0" collapsed="false">
      <c r="A247" s="23" t="s">
        <v>698</v>
      </c>
      <c r="B247" s="23" t="s">
        <v>710</v>
      </c>
      <c r="C247" s="14" t="s">
        <v>711</v>
      </c>
      <c r="D247" s="23" t="s">
        <v>141</v>
      </c>
      <c r="E247" s="24"/>
      <c r="F247" s="25"/>
      <c r="G247" s="25" t="str">
        <f aca="false">IF(E247="","",E247*F247)</f>
        <v/>
      </c>
      <c r="H247" s="25"/>
      <c r="I247" s="24" t="n">
        <v>2</v>
      </c>
      <c r="J247" s="25" t="n">
        <v>1296</v>
      </c>
      <c r="K247" s="25" t="n">
        <f aca="false">I247*J247</f>
        <v>2592</v>
      </c>
      <c r="L247" s="24" t="n">
        <v>2</v>
      </c>
      <c r="M247" s="25" t="n">
        <v>600</v>
      </c>
      <c r="N247" s="25" t="n">
        <f aca="false">L247*M247</f>
        <v>1200</v>
      </c>
      <c r="O247" s="25" t="n">
        <v>600</v>
      </c>
      <c r="P247" s="14" t="s">
        <v>707</v>
      </c>
      <c r="Q247" s="25" t="n">
        <f aca="false">IF(OR(O247="",M247=""),"",M247-O247)</f>
        <v>0</v>
      </c>
      <c r="R247" s="33" t="n">
        <f aca="false">IF(Q247="","",Q247*L247)</f>
        <v>0</v>
      </c>
      <c r="S247" s="33" t="n">
        <f aca="false">N247-K247</f>
        <v>-1392</v>
      </c>
      <c r="T247" s="14" t="s">
        <v>42</v>
      </c>
      <c r="U247" s="14" t="s">
        <v>318</v>
      </c>
      <c r="V247" s="23"/>
      <c r="W247" s="24" t="n">
        <f aca="false">L247</f>
        <v>2</v>
      </c>
      <c r="X247" s="25" t="n">
        <f aca="false">M247</f>
        <v>600</v>
      </c>
      <c r="Y247" s="5" t="n">
        <f aca="false">IF(OR(W247="",X247=""),0,W247*X247)</f>
        <v>1200</v>
      </c>
    </row>
    <row r="248" customFormat="false" ht="39.55" hidden="false" customHeight="false" outlineLevel="0" collapsed="false">
      <c r="A248" s="23" t="s">
        <v>698</v>
      </c>
      <c r="B248" s="23" t="s">
        <v>712</v>
      </c>
      <c r="C248" s="14" t="s">
        <v>713</v>
      </c>
      <c r="D248" s="23" t="s">
        <v>141</v>
      </c>
      <c r="E248" s="24"/>
      <c r="F248" s="25"/>
      <c r="G248" s="25" t="str">
        <f aca="false">IF(E248="","",E248*F248)</f>
        <v/>
      </c>
      <c r="H248" s="25"/>
      <c r="I248" s="24" t="n">
        <v>4</v>
      </c>
      <c r="J248" s="25" t="n">
        <v>1296</v>
      </c>
      <c r="K248" s="25" t="n">
        <f aca="false">I248*J248</f>
        <v>5184</v>
      </c>
      <c r="L248" s="24" t="n">
        <v>4</v>
      </c>
      <c r="M248" s="25" t="n">
        <v>600</v>
      </c>
      <c r="N248" s="25" t="n">
        <f aca="false">L248*M248</f>
        <v>2400</v>
      </c>
      <c r="O248" s="25" t="n">
        <v>600</v>
      </c>
      <c r="P248" s="14" t="s">
        <v>707</v>
      </c>
      <c r="Q248" s="25" t="n">
        <f aca="false">IF(OR(O248="",M248=""),"",M248-O248)</f>
        <v>0</v>
      </c>
      <c r="R248" s="33" t="n">
        <f aca="false">IF(Q248="","",Q248*L248)</f>
        <v>0</v>
      </c>
      <c r="S248" s="33" t="n">
        <f aca="false">N248-K248</f>
        <v>-2784</v>
      </c>
      <c r="T248" s="14" t="s">
        <v>42</v>
      </c>
      <c r="U248" s="14" t="s">
        <v>318</v>
      </c>
      <c r="V248" s="23"/>
      <c r="W248" s="24" t="n">
        <f aca="false">L248</f>
        <v>4</v>
      </c>
      <c r="X248" s="25" t="n">
        <f aca="false">M248</f>
        <v>600</v>
      </c>
      <c r="Y248" s="5" t="n">
        <f aca="false">IF(OR(W248="",X248=""),0,W248*X248)</f>
        <v>2400</v>
      </c>
    </row>
    <row r="249" customFormat="false" ht="39.55" hidden="false" customHeight="false" outlineLevel="0" collapsed="false">
      <c r="A249" s="23" t="s">
        <v>698</v>
      </c>
      <c r="B249" s="23" t="s">
        <v>714</v>
      </c>
      <c r="C249" s="14" t="s">
        <v>715</v>
      </c>
      <c r="D249" s="23" t="s">
        <v>141</v>
      </c>
      <c r="E249" s="24"/>
      <c r="F249" s="25"/>
      <c r="G249" s="25" t="str">
        <f aca="false">IF(E249="","",E249*F249)</f>
        <v/>
      </c>
      <c r="H249" s="25"/>
      <c r="I249" s="24" t="n">
        <v>11</v>
      </c>
      <c r="J249" s="25" t="n">
        <v>1377</v>
      </c>
      <c r="K249" s="25" t="n">
        <f aca="false">I249*J249</f>
        <v>15147</v>
      </c>
      <c r="L249" s="24" t="n">
        <v>11</v>
      </c>
      <c r="M249" s="25" t="n">
        <v>950</v>
      </c>
      <c r="N249" s="25" t="n">
        <f aca="false">L249*M249</f>
        <v>10450</v>
      </c>
      <c r="O249" s="25" t="n">
        <v>950</v>
      </c>
      <c r="P249" s="14" t="s">
        <v>447</v>
      </c>
      <c r="Q249" s="25" t="n">
        <f aca="false">IF(OR(O249="",M249=""),"",M249-O249)</f>
        <v>0</v>
      </c>
      <c r="R249" s="33" t="n">
        <f aca="false">IF(Q249="","",Q249*L249)</f>
        <v>0</v>
      </c>
      <c r="S249" s="33" t="n">
        <f aca="false">N249-K249</f>
        <v>-4697</v>
      </c>
      <c r="T249" s="14" t="s">
        <v>42</v>
      </c>
      <c r="U249" s="14" t="s">
        <v>318</v>
      </c>
      <c r="V249" s="23"/>
      <c r="W249" s="24" t="n">
        <f aca="false">L249</f>
        <v>11</v>
      </c>
      <c r="X249" s="25" t="n">
        <f aca="false">M249</f>
        <v>950</v>
      </c>
      <c r="Y249" s="5" t="n">
        <f aca="false">IF(OR(W249="",X249=""),0,W249*X249)</f>
        <v>10450</v>
      </c>
    </row>
    <row r="250" customFormat="false" ht="39.55" hidden="false" customHeight="false" outlineLevel="0" collapsed="false">
      <c r="A250" s="23" t="s">
        <v>698</v>
      </c>
      <c r="B250" s="23" t="s">
        <v>716</v>
      </c>
      <c r="C250" s="14" t="s">
        <v>717</v>
      </c>
      <c r="D250" s="23" t="s">
        <v>141</v>
      </c>
      <c r="E250" s="24"/>
      <c r="F250" s="25"/>
      <c r="G250" s="25" t="str">
        <f aca="false">IF(E250="","",E250*F250)</f>
        <v/>
      </c>
      <c r="H250" s="25"/>
      <c r="I250" s="24" t="n">
        <v>3</v>
      </c>
      <c r="J250" s="25" t="n">
        <v>1377</v>
      </c>
      <c r="K250" s="25" t="n">
        <f aca="false">I250*J250</f>
        <v>4131</v>
      </c>
      <c r="L250" s="24" t="n">
        <v>3</v>
      </c>
      <c r="M250" s="25" t="n">
        <v>950</v>
      </c>
      <c r="N250" s="25" t="n">
        <f aca="false">L250*M250</f>
        <v>2850</v>
      </c>
      <c r="O250" s="25" t="n">
        <v>950</v>
      </c>
      <c r="P250" s="14" t="s">
        <v>447</v>
      </c>
      <c r="Q250" s="25" t="n">
        <f aca="false">IF(OR(O250="",M250=""),"",M250-O250)</f>
        <v>0</v>
      </c>
      <c r="R250" s="33" t="n">
        <f aca="false">IF(Q250="","",Q250*L250)</f>
        <v>0</v>
      </c>
      <c r="S250" s="33" t="n">
        <f aca="false">N250-K250</f>
        <v>-1281</v>
      </c>
      <c r="T250" s="14" t="s">
        <v>42</v>
      </c>
      <c r="U250" s="14" t="s">
        <v>318</v>
      </c>
      <c r="V250" s="23"/>
      <c r="W250" s="24" t="n">
        <f aca="false">L250</f>
        <v>3</v>
      </c>
      <c r="X250" s="25" t="n">
        <f aca="false">M250</f>
        <v>950</v>
      </c>
      <c r="Y250" s="5" t="n">
        <f aca="false">IF(OR(W250="",X250=""),0,W250*X250)</f>
        <v>2850</v>
      </c>
    </row>
    <row r="251" customFormat="false" ht="39.55" hidden="false" customHeight="false" outlineLevel="0" collapsed="false">
      <c r="A251" s="23" t="s">
        <v>698</v>
      </c>
      <c r="B251" s="23" t="s">
        <v>718</v>
      </c>
      <c r="C251" s="14" t="s">
        <v>719</v>
      </c>
      <c r="D251" s="23" t="s">
        <v>141</v>
      </c>
      <c r="E251" s="24"/>
      <c r="F251" s="25"/>
      <c r="G251" s="25" t="str">
        <f aca="false">IF(E251="","",E251*F251)</f>
        <v/>
      </c>
      <c r="H251" s="25"/>
      <c r="I251" s="24" t="n">
        <v>2</v>
      </c>
      <c r="J251" s="25" t="n">
        <v>1377</v>
      </c>
      <c r="K251" s="25" t="n">
        <f aca="false">I251*J251</f>
        <v>2754</v>
      </c>
      <c r="L251" s="24" t="n">
        <v>2</v>
      </c>
      <c r="M251" s="25" t="n">
        <v>950</v>
      </c>
      <c r="N251" s="25" t="n">
        <f aca="false">L251*M251</f>
        <v>1900</v>
      </c>
      <c r="O251" s="25" t="n">
        <v>950</v>
      </c>
      <c r="P251" s="14" t="s">
        <v>447</v>
      </c>
      <c r="Q251" s="25" t="n">
        <f aca="false">IF(OR(O251="",M251=""),"",M251-O251)</f>
        <v>0</v>
      </c>
      <c r="R251" s="33" t="n">
        <f aca="false">IF(Q251="","",Q251*L251)</f>
        <v>0</v>
      </c>
      <c r="S251" s="33" t="n">
        <f aca="false">N251-K251</f>
        <v>-854</v>
      </c>
      <c r="T251" s="14" t="s">
        <v>42</v>
      </c>
      <c r="U251" s="14" t="s">
        <v>318</v>
      </c>
      <c r="V251" s="23"/>
      <c r="W251" s="24" t="n">
        <f aca="false">L251</f>
        <v>2</v>
      </c>
      <c r="X251" s="25" t="n">
        <f aca="false">M251</f>
        <v>950</v>
      </c>
      <c r="Y251" s="5" t="n">
        <f aca="false">IF(OR(W251="",X251=""),0,W251*X251)</f>
        <v>1900</v>
      </c>
    </row>
    <row r="252" customFormat="false" ht="39.55" hidden="false" customHeight="false" outlineLevel="0" collapsed="false">
      <c r="A252" s="23" t="s">
        <v>698</v>
      </c>
      <c r="B252" s="23" t="s">
        <v>720</v>
      </c>
      <c r="C252" s="14" t="s">
        <v>449</v>
      </c>
      <c r="D252" s="23" t="s">
        <v>363</v>
      </c>
      <c r="E252" s="24"/>
      <c r="F252" s="25"/>
      <c r="G252" s="25" t="str">
        <f aca="false">IF(E252="","",E252*F252)</f>
        <v/>
      </c>
      <c r="H252" s="25"/>
      <c r="I252" s="24" t="n">
        <v>8</v>
      </c>
      <c r="J252" s="25" t="n">
        <v>1134</v>
      </c>
      <c r="K252" s="25" t="n">
        <f aca="false">I252*J252</f>
        <v>9072</v>
      </c>
      <c r="L252" s="24" t="n">
        <v>8</v>
      </c>
      <c r="M252" s="25" t="n">
        <v>760</v>
      </c>
      <c r="N252" s="25" t="n">
        <f aca="false">L252*M252</f>
        <v>6080</v>
      </c>
      <c r="O252" s="25" t="n">
        <v>760</v>
      </c>
      <c r="P252" s="14" t="s">
        <v>450</v>
      </c>
      <c r="Q252" s="25" t="n">
        <f aca="false">IF(OR(O252="",M252=""),"",M252-O252)</f>
        <v>0</v>
      </c>
      <c r="R252" s="33" t="n">
        <f aca="false">IF(Q252="","",Q252*L252)</f>
        <v>0</v>
      </c>
      <c r="S252" s="33" t="n">
        <f aca="false">N252-K252</f>
        <v>-2992</v>
      </c>
      <c r="T252" s="14" t="s">
        <v>42</v>
      </c>
      <c r="U252" s="14" t="s">
        <v>318</v>
      </c>
      <c r="V252" s="23"/>
      <c r="W252" s="24" t="n">
        <f aca="false">L252</f>
        <v>8</v>
      </c>
      <c r="X252" s="25" t="n">
        <f aca="false">M252</f>
        <v>760</v>
      </c>
      <c r="Y252" s="5" t="n">
        <f aca="false">IF(OR(W252="",X252=""),0,W252*X252)</f>
        <v>6080</v>
      </c>
    </row>
    <row r="253" customFormat="false" ht="39.55" hidden="false" customHeight="false" outlineLevel="0" collapsed="false">
      <c r="A253" s="23" t="s">
        <v>698</v>
      </c>
      <c r="B253" s="23" t="s">
        <v>721</v>
      </c>
      <c r="C253" s="14" t="s">
        <v>452</v>
      </c>
      <c r="D253" s="23" t="s">
        <v>363</v>
      </c>
      <c r="E253" s="24"/>
      <c r="F253" s="25"/>
      <c r="G253" s="25" t="str">
        <f aca="false">IF(E253="","",E253*F253)</f>
        <v/>
      </c>
      <c r="H253" s="25"/>
      <c r="I253" s="24" t="n">
        <v>3</v>
      </c>
      <c r="J253" s="25" t="n">
        <v>1134</v>
      </c>
      <c r="K253" s="25" t="n">
        <f aca="false">I253*J253</f>
        <v>3402</v>
      </c>
      <c r="L253" s="24" t="n">
        <v>3</v>
      </c>
      <c r="M253" s="25" t="n">
        <v>760</v>
      </c>
      <c r="N253" s="25" t="n">
        <f aca="false">L253*M253</f>
        <v>2280</v>
      </c>
      <c r="O253" s="25" t="n">
        <v>760</v>
      </c>
      <c r="P253" s="14" t="s">
        <v>450</v>
      </c>
      <c r="Q253" s="25" t="n">
        <f aca="false">IF(OR(O253="",M253=""),"",M253-O253)</f>
        <v>0</v>
      </c>
      <c r="R253" s="33" t="n">
        <f aca="false">IF(Q253="","",Q253*L253)</f>
        <v>0</v>
      </c>
      <c r="S253" s="33" t="n">
        <f aca="false">N253-K253</f>
        <v>-1122</v>
      </c>
      <c r="T253" s="14" t="s">
        <v>42</v>
      </c>
      <c r="U253" s="14" t="s">
        <v>318</v>
      </c>
      <c r="V253" s="23"/>
      <c r="W253" s="24" t="n">
        <f aca="false">L253</f>
        <v>3</v>
      </c>
      <c r="X253" s="25" t="n">
        <f aca="false">M253</f>
        <v>760</v>
      </c>
      <c r="Y253" s="5" t="n">
        <f aca="false">IF(OR(W253="",X253=""),0,W253*X253)</f>
        <v>2280</v>
      </c>
    </row>
    <row r="254" customFormat="false" ht="39.55" hidden="false" customHeight="false" outlineLevel="0" collapsed="false">
      <c r="A254" s="23" t="s">
        <v>698</v>
      </c>
      <c r="B254" s="23" t="s">
        <v>722</v>
      </c>
      <c r="C254" s="14" t="s">
        <v>458</v>
      </c>
      <c r="D254" s="23" t="s">
        <v>363</v>
      </c>
      <c r="E254" s="24"/>
      <c r="F254" s="25"/>
      <c r="G254" s="25" t="str">
        <f aca="false">IF(E254="","",E254*F254)</f>
        <v/>
      </c>
      <c r="H254" s="25"/>
      <c r="I254" s="24" t="n">
        <v>4</v>
      </c>
      <c r="J254" s="25" t="n">
        <v>1134</v>
      </c>
      <c r="K254" s="25" t="n">
        <f aca="false">I254*J254</f>
        <v>4536</v>
      </c>
      <c r="L254" s="24" t="n">
        <v>4</v>
      </c>
      <c r="M254" s="25" t="n">
        <v>760</v>
      </c>
      <c r="N254" s="25" t="n">
        <f aca="false">L254*M254</f>
        <v>3040</v>
      </c>
      <c r="O254" s="25" t="n">
        <v>760</v>
      </c>
      <c r="P254" s="14" t="s">
        <v>450</v>
      </c>
      <c r="Q254" s="25" t="n">
        <f aca="false">IF(OR(O254="",M254=""),"",M254-O254)</f>
        <v>0</v>
      </c>
      <c r="R254" s="33" t="n">
        <f aca="false">IF(Q254="","",Q254*L254)</f>
        <v>0</v>
      </c>
      <c r="S254" s="33" t="n">
        <f aca="false">N254-K254</f>
        <v>-1496</v>
      </c>
      <c r="T254" s="14" t="s">
        <v>42</v>
      </c>
      <c r="U254" s="14" t="s">
        <v>318</v>
      </c>
      <c r="V254" s="23"/>
      <c r="W254" s="24" t="n">
        <f aca="false">L254</f>
        <v>4</v>
      </c>
      <c r="X254" s="25" t="n">
        <f aca="false">M254</f>
        <v>760</v>
      </c>
      <c r="Y254" s="5" t="n">
        <f aca="false">IF(OR(W254="",X254=""),0,W254*X254)</f>
        <v>3040</v>
      </c>
    </row>
    <row r="255" customFormat="false" ht="39.55" hidden="false" customHeight="false" outlineLevel="0" collapsed="false">
      <c r="A255" s="23" t="s">
        <v>698</v>
      </c>
      <c r="B255" s="23" t="s">
        <v>723</v>
      </c>
      <c r="C255" s="14" t="s">
        <v>460</v>
      </c>
      <c r="D255" s="23" t="s">
        <v>363</v>
      </c>
      <c r="E255" s="24"/>
      <c r="F255" s="25"/>
      <c r="G255" s="25" t="str">
        <f aca="false">IF(E255="","",E255*F255)</f>
        <v/>
      </c>
      <c r="H255" s="25"/>
      <c r="I255" s="24" t="n">
        <v>7</v>
      </c>
      <c r="J255" s="25" t="n">
        <v>1134</v>
      </c>
      <c r="K255" s="25" t="n">
        <f aca="false">I255*J255</f>
        <v>7938</v>
      </c>
      <c r="L255" s="24" t="n">
        <v>7</v>
      </c>
      <c r="M255" s="25" t="n">
        <v>760</v>
      </c>
      <c r="N255" s="25" t="n">
        <f aca="false">L255*M255</f>
        <v>5320</v>
      </c>
      <c r="O255" s="25" t="n">
        <v>760</v>
      </c>
      <c r="P255" s="14" t="s">
        <v>450</v>
      </c>
      <c r="Q255" s="25" t="n">
        <f aca="false">IF(OR(O255="",M255=""),"",M255-O255)</f>
        <v>0</v>
      </c>
      <c r="R255" s="33" t="n">
        <f aca="false">IF(Q255="","",Q255*L255)</f>
        <v>0</v>
      </c>
      <c r="S255" s="33" t="n">
        <f aca="false">N255-K255</f>
        <v>-2618</v>
      </c>
      <c r="T255" s="14" t="s">
        <v>42</v>
      </c>
      <c r="U255" s="14" t="s">
        <v>318</v>
      </c>
      <c r="V255" s="23"/>
      <c r="W255" s="24" t="n">
        <f aca="false">L255</f>
        <v>7</v>
      </c>
      <c r="X255" s="25" t="n">
        <f aca="false">M255</f>
        <v>760</v>
      </c>
      <c r="Y255" s="5" t="n">
        <f aca="false">IF(OR(W255="",X255=""),0,W255*X255)</f>
        <v>5320</v>
      </c>
    </row>
    <row r="256" customFormat="false" ht="39.55" hidden="false" customHeight="false" outlineLevel="0" collapsed="false">
      <c r="A256" s="23" t="s">
        <v>698</v>
      </c>
      <c r="B256" s="23" t="s">
        <v>724</v>
      </c>
      <c r="C256" s="14" t="s">
        <v>466</v>
      </c>
      <c r="D256" s="23" t="s">
        <v>363</v>
      </c>
      <c r="E256" s="24"/>
      <c r="F256" s="25"/>
      <c r="G256" s="25" t="str">
        <f aca="false">IF(E256="","",E256*F256)</f>
        <v/>
      </c>
      <c r="H256" s="25"/>
      <c r="I256" s="24" t="n">
        <v>36</v>
      </c>
      <c r="J256" s="25" t="n">
        <v>1360.8</v>
      </c>
      <c r="K256" s="25" t="n">
        <f aca="false">I256*J256</f>
        <v>48988.8</v>
      </c>
      <c r="L256" s="24" t="n">
        <v>36</v>
      </c>
      <c r="M256" s="25" t="n">
        <v>950</v>
      </c>
      <c r="N256" s="25" t="n">
        <f aca="false">L256*M256</f>
        <v>34200</v>
      </c>
      <c r="O256" s="25" t="n">
        <v>950</v>
      </c>
      <c r="P256" s="14" t="s">
        <v>467</v>
      </c>
      <c r="Q256" s="25" t="n">
        <f aca="false">IF(OR(O256="",M256=""),"",M256-O256)</f>
        <v>0</v>
      </c>
      <c r="R256" s="33" t="n">
        <f aca="false">IF(Q256="","",Q256*L256)</f>
        <v>0</v>
      </c>
      <c r="S256" s="33" t="n">
        <f aca="false">N256-K256</f>
        <v>-14788.8</v>
      </c>
      <c r="T256" s="14" t="s">
        <v>42</v>
      </c>
      <c r="U256" s="14" t="s">
        <v>318</v>
      </c>
      <c r="V256" s="23"/>
      <c r="W256" s="24" t="n">
        <f aca="false">L256</f>
        <v>36</v>
      </c>
      <c r="X256" s="25" t="n">
        <f aca="false">M256</f>
        <v>950</v>
      </c>
      <c r="Y256" s="5" t="n">
        <f aca="false">IF(OR(W256="",X256=""),0,W256*X256)</f>
        <v>34200</v>
      </c>
    </row>
    <row r="257" customFormat="false" ht="26.85" hidden="false" customHeight="false" outlineLevel="0" collapsed="false">
      <c r="A257" s="23" t="s">
        <v>698</v>
      </c>
      <c r="B257" s="23" t="s">
        <v>725</v>
      </c>
      <c r="C257" s="14" t="s">
        <v>469</v>
      </c>
      <c r="D257" s="23" t="s">
        <v>363</v>
      </c>
      <c r="E257" s="24"/>
      <c r="F257" s="25"/>
      <c r="G257" s="25" t="str">
        <f aca="false">IF(E257="","",E257*F257)</f>
        <v/>
      </c>
      <c r="H257" s="25"/>
      <c r="I257" s="24" t="n">
        <v>30</v>
      </c>
      <c r="J257" s="25" t="n">
        <v>1360.8</v>
      </c>
      <c r="K257" s="25" t="n">
        <f aca="false">I257*J257</f>
        <v>40824</v>
      </c>
      <c r="L257" s="24" t="n">
        <v>30</v>
      </c>
      <c r="M257" s="25" t="n">
        <v>689.79</v>
      </c>
      <c r="N257" s="25" t="n">
        <f aca="false">L257*M257</f>
        <v>20693.7</v>
      </c>
      <c r="O257" s="25"/>
      <c r="P257" s="14"/>
      <c r="Q257" s="44" t="str">
        <f aca="false">IF(OR(O257="",M257=""),"",M257-O257)</f>
        <v/>
      </c>
      <c r="R257" s="45" t="str">
        <f aca="false">IF(Q257="","",Q257*L257)</f>
        <v/>
      </c>
      <c r="S257" s="45" t="n">
        <f aca="false">N257-K257</f>
        <v>-20130.3</v>
      </c>
      <c r="T257" s="46" t="s">
        <v>46</v>
      </c>
      <c r="U257" s="14" t="s">
        <v>318</v>
      </c>
      <c r="V257" s="23"/>
      <c r="W257" s="24" t="n">
        <f aca="false">L257</f>
        <v>30</v>
      </c>
      <c r="X257" s="25" t="n">
        <f aca="false">M257</f>
        <v>689.79</v>
      </c>
      <c r="Y257" s="5" t="n">
        <f aca="false">IF(OR(W257="",X257=""),0,W257*X257)</f>
        <v>20693.7</v>
      </c>
    </row>
    <row r="258" customFormat="false" ht="26.85" hidden="false" customHeight="false" outlineLevel="0" collapsed="false">
      <c r="A258" s="23" t="s">
        <v>698</v>
      </c>
      <c r="B258" s="23" t="s">
        <v>726</v>
      </c>
      <c r="C258" s="14" t="s">
        <v>471</v>
      </c>
      <c r="D258" s="23" t="s">
        <v>363</v>
      </c>
      <c r="E258" s="24"/>
      <c r="F258" s="25"/>
      <c r="G258" s="25" t="str">
        <f aca="false">IF(E258="","",E258*F258)</f>
        <v/>
      </c>
      <c r="H258" s="25"/>
      <c r="I258" s="24" t="n">
        <v>3</v>
      </c>
      <c r="J258" s="25" t="n">
        <v>1360.8</v>
      </c>
      <c r="K258" s="25" t="n">
        <f aca="false">I258*J258</f>
        <v>4082.4</v>
      </c>
      <c r="L258" s="24" t="n">
        <v>3</v>
      </c>
      <c r="M258" s="25" t="n">
        <v>862.23</v>
      </c>
      <c r="N258" s="25" t="n">
        <f aca="false">L258*M258</f>
        <v>2586.69</v>
      </c>
      <c r="O258" s="25" t="n">
        <v>689.79</v>
      </c>
      <c r="P258" s="14" t="s">
        <v>472</v>
      </c>
      <c r="Q258" s="25" t="n">
        <f aca="false">IF(OR(O258="",M258=""),"",M258-O258)</f>
        <v>172.44</v>
      </c>
      <c r="R258" s="33" t="n">
        <f aca="false">IF(Q258="","",Q258*L258)</f>
        <v>517.32</v>
      </c>
      <c r="S258" s="33" t="n">
        <f aca="false">N258-K258</f>
        <v>-1495.71</v>
      </c>
      <c r="T258" s="14" t="s">
        <v>44</v>
      </c>
      <c r="U258" s="14" t="s">
        <v>318</v>
      </c>
      <c r="V258" s="23"/>
      <c r="W258" s="24" t="n">
        <f aca="false">L258</f>
        <v>3</v>
      </c>
      <c r="X258" s="25" t="n">
        <f aca="false">M258</f>
        <v>862.23</v>
      </c>
      <c r="Y258" s="5" t="n">
        <f aca="false">IF(OR(W258="",X258=""),0,W258*X258)</f>
        <v>2586.69</v>
      </c>
    </row>
    <row r="259" customFormat="false" ht="39.55" hidden="false" customHeight="false" outlineLevel="0" collapsed="false">
      <c r="A259" s="23" t="s">
        <v>698</v>
      </c>
      <c r="B259" s="23" t="s">
        <v>727</v>
      </c>
      <c r="C259" s="14" t="s">
        <v>474</v>
      </c>
      <c r="D259" s="23" t="s">
        <v>363</v>
      </c>
      <c r="E259" s="24"/>
      <c r="F259" s="25"/>
      <c r="G259" s="25" t="str">
        <f aca="false">IF(E259="","",E259*F259)</f>
        <v/>
      </c>
      <c r="H259" s="25"/>
      <c r="I259" s="24" t="n">
        <v>55</v>
      </c>
      <c r="J259" s="25" t="n">
        <v>1393.2</v>
      </c>
      <c r="K259" s="25" t="n">
        <f aca="false">I259*J259</f>
        <v>76626</v>
      </c>
      <c r="L259" s="24" t="n">
        <v>55</v>
      </c>
      <c r="M259" s="25" t="n">
        <v>862.23</v>
      </c>
      <c r="N259" s="25" t="n">
        <f aca="false">L259*M259</f>
        <v>47422.65</v>
      </c>
      <c r="O259" s="25" t="n">
        <v>862.23</v>
      </c>
      <c r="P259" s="14" t="s">
        <v>475</v>
      </c>
      <c r="Q259" s="25" t="n">
        <f aca="false">IF(OR(O259="",M259=""),"",M259-O259)</f>
        <v>0</v>
      </c>
      <c r="R259" s="33" t="n">
        <f aca="false">IF(Q259="","",Q259*L259)</f>
        <v>0</v>
      </c>
      <c r="S259" s="33" t="n">
        <f aca="false">N259-K259</f>
        <v>-29203.35</v>
      </c>
      <c r="T259" s="14" t="s">
        <v>42</v>
      </c>
      <c r="U259" s="14" t="s">
        <v>318</v>
      </c>
      <c r="V259" s="23"/>
      <c r="W259" s="24" t="n">
        <f aca="false">L259</f>
        <v>55</v>
      </c>
      <c r="X259" s="25" t="n">
        <f aca="false">M259</f>
        <v>862.23</v>
      </c>
      <c r="Y259" s="5" t="n">
        <f aca="false">IF(OR(W259="",X259=""),0,W259*X259)</f>
        <v>47422.65</v>
      </c>
    </row>
    <row r="260" customFormat="false" ht="39.55" hidden="false" customHeight="false" outlineLevel="0" collapsed="false">
      <c r="A260" s="23" t="s">
        <v>698</v>
      </c>
      <c r="B260" s="23" t="s">
        <v>728</v>
      </c>
      <c r="C260" s="14" t="s">
        <v>729</v>
      </c>
      <c r="D260" s="23" t="s">
        <v>363</v>
      </c>
      <c r="E260" s="24"/>
      <c r="F260" s="25"/>
      <c r="G260" s="25" t="str">
        <f aca="false">IF(E260="","",E260*F260)</f>
        <v/>
      </c>
      <c r="H260" s="25"/>
      <c r="I260" s="24" t="n">
        <v>6</v>
      </c>
      <c r="J260" s="25" t="n">
        <v>1393.2</v>
      </c>
      <c r="K260" s="25" t="n">
        <f aca="false">I260*J260</f>
        <v>8359.2</v>
      </c>
      <c r="L260" s="24" t="n">
        <v>6</v>
      </c>
      <c r="M260" s="25" t="n">
        <v>1077.79</v>
      </c>
      <c r="N260" s="25" t="n">
        <f aca="false">L260*M260</f>
        <v>6466.74</v>
      </c>
      <c r="O260" s="25" t="n">
        <v>1077.79</v>
      </c>
      <c r="P260" s="14" t="s">
        <v>730</v>
      </c>
      <c r="Q260" s="25" t="n">
        <f aca="false">IF(OR(O260="",M260=""),"",M260-O260)</f>
        <v>0</v>
      </c>
      <c r="R260" s="33" t="n">
        <f aca="false">IF(Q260="","",Q260*L260)</f>
        <v>0</v>
      </c>
      <c r="S260" s="33" t="n">
        <f aca="false">N260-K260</f>
        <v>-1892.46</v>
      </c>
      <c r="T260" s="14" t="s">
        <v>42</v>
      </c>
      <c r="U260" s="14" t="s">
        <v>318</v>
      </c>
      <c r="V260" s="23"/>
      <c r="W260" s="24" t="n">
        <f aca="false">L260</f>
        <v>6</v>
      </c>
      <c r="X260" s="25" t="n">
        <f aca="false">M260</f>
        <v>1077.79</v>
      </c>
      <c r="Y260" s="5" t="n">
        <f aca="false">IF(OR(W260="",X260=""),0,W260*X260)</f>
        <v>6466.74</v>
      </c>
    </row>
    <row r="261" customFormat="false" ht="26.85" hidden="false" customHeight="false" outlineLevel="0" collapsed="false">
      <c r="A261" s="23" t="s">
        <v>698</v>
      </c>
      <c r="B261" s="23" t="s">
        <v>731</v>
      </c>
      <c r="C261" s="14" t="s">
        <v>477</v>
      </c>
      <c r="D261" s="23" t="s">
        <v>363</v>
      </c>
      <c r="E261" s="24"/>
      <c r="F261" s="25"/>
      <c r="G261" s="25" t="str">
        <f aca="false">IF(E261="","",E261*F261)</f>
        <v/>
      </c>
      <c r="H261" s="25"/>
      <c r="I261" s="24" t="n">
        <v>45</v>
      </c>
      <c r="J261" s="25" t="n">
        <v>1620</v>
      </c>
      <c r="K261" s="25" t="n">
        <f aca="false">I261*J261</f>
        <v>72900</v>
      </c>
      <c r="L261" s="24" t="n">
        <v>45</v>
      </c>
      <c r="M261" s="25" t="n">
        <v>1620</v>
      </c>
      <c r="N261" s="25" t="n">
        <f aca="false">L261*M261</f>
        <v>72900</v>
      </c>
      <c r="O261" s="25" t="n">
        <v>1700</v>
      </c>
      <c r="P261" s="14" t="s">
        <v>478</v>
      </c>
      <c r="Q261" s="25" t="n">
        <f aca="false">IF(OR(O261="",M261=""),"",M261-O261)</f>
        <v>-80</v>
      </c>
      <c r="R261" s="33" t="n">
        <f aca="false">IF(Q261="","",Q261*L261)</f>
        <v>-3600</v>
      </c>
      <c r="S261" s="33" t="n">
        <f aca="false">N261-K261</f>
        <v>0</v>
      </c>
      <c r="T261" s="14" t="s">
        <v>418</v>
      </c>
      <c r="U261" s="14"/>
      <c r="V261" s="23"/>
      <c r="W261" s="24" t="n">
        <f aca="false">L261</f>
        <v>45</v>
      </c>
      <c r="X261" s="25" t="n">
        <f aca="false">M261</f>
        <v>1620</v>
      </c>
      <c r="Y261" s="5" t="n">
        <f aca="false">IF(OR(W261="",X261=""),0,W261*X261)</f>
        <v>72900</v>
      </c>
    </row>
    <row r="262" customFormat="false" ht="26.85" hidden="false" customHeight="false" outlineLevel="0" collapsed="false">
      <c r="A262" s="23" t="s">
        <v>698</v>
      </c>
      <c r="B262" s="23" t="s">
        <v>732</v>
      </c>
      <c r="C262" s="14" t="s">
        <v>733</v>
      </c>
      <c r="D262" s="23" t="s">
        <v>363</v>
      </c>
      <c r="E262" s="24"/>
      <c r="F262" s="25"/>
      <c r="G262" s="25" t="str">
        <f aca="false">IF(E262="","",E262*F262)</f>
        <v/>
      </c>
      <c r="H262" s="25"/>
      <c r="I262" s="24" t="n">
        <v>11</v>
      </c>
      <c r="J262" s="25" t="n">
        <v>1944</v>
      </c>
      <c r="K262" s="25" t="n">
        <f aca="false">I262*J262</f>
        <v>21384</v>
      </c>
      <c r="L262" s="24" t="n">
        <v>11</v>
      </c>
      <c r="M262" s="25" t="n">
        <v>1944</v>
      </c>
      <c r="N262" s="25" t="n">
        <f aca="false">L262*M262</f>
        <v>21384</v>
      </c>
      <c r="O262" s="25"/>
      <c r="P262" s="14"/>
      <c r="Q262" s="25" t="str">
        <f aca="false">IF(OR(O262="",M262=""),"",M262-O262)</f>
        <v/>
      </c>
      <c r="R262" s="33" t="str">
        <f aca="false">IF(Q262="","",Q262*L262)</f>
        <v/>
      </c>
      <c r="S262" s="33" t="n">
        <f aca="false">N262-K262</f>
        <v>0</v>
      </c>
      <c r="T262" s="14" t="s">
        <v>338</v>
      </c>
      <c r="U262" s="14"/>
      <c r="V262" s="23"/>
      <c r="W262" s="24" t="n">
        <f aca="false">L262</f>
        <v>11</v>
      </c>
      <c r="X262" s="25" t="n">
        <f aca="false">M262</f>
        <v>1944</v>
      </c>
      <c r="Y262" s="5" t="n">
        <f aca="false">IF(OR(W262="",X262=""),0,W262*X262)</f>
        <v>21384</v>
      </c>
    </row>
    <row r="263" customFormat="false" ht="26.85" hidden="false" customHeight="false" outlineLevel="0" collapsed="false">
      <c r="A263" s="23" t="s">
        <v>698</v>
      </c>
      <c r="B263" s="23" t="s">
        <v>734</v>
      </c>
      <c r="C263" s="14" t="s">
        <v>480</v>
      </c>
      <c r="D263" s="23" t="s">
        <v>363</v>
      </c>
      <c r="E263" s="24"/>
      <c r="F263" s="25"/>
      <c r="G263" s="25" t="str">
        <f aca="false">IF(E263="","",E263*F263)</f>
        <v/>
      </c>
      <c r="H263" s="25"/>
      <c r="I263" s="24" t="n">
        <v>22</v>
      </c>
      <c r="J263" s="25" t="n">
        <v>1944</v>
      </c>
      <c r="K263" s="25" t="n">
        <f aca="false">I263*J263</f>
        <v>42768</v>
      </c>
      <c r="L263" s="24" t="n">
        <v>22</v>
      </c>
      <c r="M263" s="25" t="n">
        <v>1944</v>
      </c>
      <c r="N263" s="25" t="n">
        <f aca="false">L263*M263</f>
        <v>42768</v>
      </c>
      <c r="O263" s="25"/>
      <c r="P263" s="14"/>
      <c r="Q263" s="25" t="str">
        <f aca="false">IF(OR(O263="",M263=""),"",M263-O263)</f>
        <v/>
      </c>
      <c r="R263" s="33" t="str">
        <f aca="false">IF(Q263="","",Q263*L263)</f>
        <v/>
      </c>
      <c r="S263" s="33" t="n">
        <f aca="false">N263-K263</f>
        <v>0</v>
      </c>
      <c r="T263" s="14" t="s">
        <v>338</v>
      </c>
      <c r="U263" s="14"/>
      <c r="V263" s="23"/>
      <c r="W263" s="24" t="n">
        <f aca="false">L263</f>
        <v>22</v>
      </c>
      <c r="X263" s="25" t="n">
        <f aca="false">M263</f>
        <v>1944</v>
      </c>
      <c r="Y263" s="5" t="n">
        <f aca="false">IF(OR(W263="",X263=""),0,W263*X263)</f>
        <v>42768</v>
      </c>
    </row>
    <row r="264" customFormat="false" ht="26.85" hidden="false" customHeight="false" outlineLevel="0" collapsed="false">
      <c r="A264" s="23" t="s">
        <v>698</v>
      </c>
      <c r="B264" s="23" t="s">
        <v>735</v>
      </c>
      <c r="C264" s="14" t="s">
        <v>490</v>
      </c>
      <c r="D264" s="23" t="s">
        <v>363</v>
      </c>
      <c r="E264" s="24"/>
      <c r="F264" s="25"/>
      <c r="G264" s="25" t="str">
        <f aca="false">IF(E264="","",E264*F264)</f>
        <v/>
      </c>
      <c r="H264" s="25"/>
      <c r="I264" s="24" t="n">
        <v>28</v>
      </c>
      <c r="J264" s="25" t="n">
        <v>2592</v>
      </c>
      <c r="K264" s="25" t="n">
        <f aca="false">I264*J264</f>
        <v>72576</v>
      </c>
      <c r="L264" s="24" t="n">
        <v>28</v>
      </c>
      <c r="M264" s="25" t="n">
        <v>2592</v>
      </c>
      <c r="N264" s="25" t="n">
        <f aca="false">L264*M264</f>
        <v>72576</v>
      </c>
      <c r="O264" s="25"/>
      <c r="P264" s="14"/>
      <c r="Q264" s="25" t="str">
        <f aca="false">IF(OR(O264="",M264=""),"",M264-O264)</f>
        <v/>
      </c>
      <c r="R264" s="33" t="str">
        <f aca="false">IF(Q264="","",Q264*L264)</f>
        <v/>
      </c>
      <c r="S264" s="33" t="n">
        <f aca="false">N264-K264</f>
        <v>0</v>
      </c>
      <c r="T264" s="14" t="s">
        <v>338</v>
      </c>
      <c r="U264" s="14"/>
      <c r="V264" s="23"/>
      <c r="W264" s="24" t="n">
        <f aca="false">L264</f>
        <v>28</v>
      </c>
      <c r="X264" s="25" t="n">
        <f aca="false">M264</f>
        <v>2592</v>
      </c>
      <c r="Y264" s="5" t="n">
        <f aca="false">IF(OR(W264="",X264=""),0,W264*X264)</f>
        <v>72576</v>
      </c>
    </row>
    <row r="265" customFormat="false" ht="26.85" hidden="false" customHeight="false" outlineLevel="0" collapsed="false">
      <c r="A265" s="23" t="s">
        <v>698</v>
      </c>
      <c r="B265" s="23" t="s">
        <v>736</v>
      </c>
      <c r="C265" s="14" t="s">
        <v>737</v>
      </c>
      <c r="D265" s="23" t="s">
        <v>363</v>
      </c>
      <c r="E265" s="24"/>
      <c r="F265" s="25"/>
      <c r="G265" s="25" t="str">
        <f aca="false">IF(E265="","",E265*F265)</f>
        <v/>
      </c>
      <c r="H265" s="25"/>
      <c r="I265" s="24" t="n">
        <v>1</v>
      </c>
      <c r="J265" s="25" t="n">
        <v>3000</v>
      </c>
      <c r="K265" s="25" t="n">
        <f aca="false">I265*J265</f>
        <v>3000</v>
      </c>
      <c r="L265" s="24" t="n">
        <v>1</v>
      </c>
      <c r="M265" s="25" t="n">
        <v>2720</v>
      </c>
      <c r="N265" s="25" t="n">
        <f aca="false">L265*M265</f>
        <v>2720</v>
      </c>
      <c r="O265" s="25"/>
      <c r="P265" s="14"/>
      <c r="Q265" s="44" t="str">
        <f aca="false">IF(OR(O265="",M265=""),"",M265-O265)</f>
        <v/>
      </c>
      <c r="R265" s="45" t="str">
        <f aca="false">IF(Q265="","",Q265*L265)</f>
        <v/>
      </c>
      <c r="S265" s="45" t="n">
        <f aca="false">N265-K265</f>
        <v>-280</v>
      </c>
      <c r="T265" s="46" t="s">
        <v>46</v>
      </c>
      <c r="U265" s="14"/>
      <c r="V265" s="23"/>
      <c r="W265" s="24" t="n">
        <f aca="false">L265</f>
        <v>1</v>
      </c>
      <c r="X265" s="25" t="n">
        <f aca="false">M265</f>
        <v>2720</v>
      </c>
      <c r="Y265" s="5" t="n">
        <f aca="false">IF(OR(W265="",X265=""),0,W265*X265)</f>
        <v>2720</v>
      </c>
    </row>
    <row r="266" customFormat="false" ht="39.55" hidden="false" customHeight="false" outlineLevel="0" collapsed="false">
      <c r="A266" s="23" t="s">
        <v>698</v>
      </c>
      <c r="B266" s="23" t="s">
        <v>738</v>
      </c>
      <c r="C266" s="14" t="s">
        <v>739</v>
      </c>
      <c r="D266" s="23" t="s">
        <v>141</v>
      </c>
      <c r="E266" s="24"/>
      <c r="F266" s="25"/>
      <c r="G266" s="25" t="str">
        <f aca="false">IF(E266="","",E266*F266)</f>
        <v/>
      </c>
      <c r="H266" s="25"/>
      <c r="I266" s="24" t="n">
        <v>2</v>
      </c>
      <c r="J266" s="25" t="n">
        <v>1020</v>
      </c>
      <c r="K266" s="25" t="n">
        <f aca="false">I266*J266</f>
        <v>2040</v>
      </c>
      <c r="L266" s="24" t="n">
        <v>2</v>
      </c>
      <c r="M266" s="25" t="n">
        <v>340</v>
      </c>
      <c r="N266" s="25" t="n">
        <f aca="false">L266*M266</f>
        <v>680</v>
      </c>
      <c r="O266" s="25" t="n">
        <v>855</v>
      </c>
      <c r="P266" s="14" t="s">
        <v>495</v>
      </c>
      <c r="Q266" s="22" t="n">
        <f aca="false">IF(OR(O266="",M266=""),"",M266-O266)</f>
        <v>-515</v>
      </c>
      <c r="R266" s="37" t="n">
        <f aca="false">IF(Q266="","",Q266*L266)</f>
        <v>-1030</v>
      </c>
      <c r="S266" s="37" t="n">
        <f aca="false">N266-K266</f>
        <v>-1360</v>
      </c>
      <c r="T266" s="13" t="s">
        <v>34</v>
      </c>
      <c r="U266" s="14"/>
      <c r="V266" s="38" t="s">
        <v>740</v>
      </c>
      <c r="W266" s="39" t="n">
        <v>2</v>
      </c>
      <c r="X266" s="40" t="n">
        <v>855</v>
      </c>
      <c r="Y266" s="9" t="n">
        <f aca="false">IF(OR(W266="",X266=""),0,W266*X266)</f>
        <v>1710</v>
      </c>
    </row>
    <row r="267" customFormat="false" ht="26.85" hidden="false" customHeight="false" outlineLevel="0" collapsed="false">
      <c r="A267" s="23" t="s">
        <v>698</v>
      </c>
      <c r="B267" s="23" t="s">
        <v>741</v>
      </c>
      <c r="C267" s="14" t="s">
        <v>742</v>
      </c>
      <c r="D267" s="23" t="s">
        <v>141</v>
      </c>
      <c r="E267" s="24"/>
      <c r="F267" s="25"/>
      <c r="G267" s="25" t="str">
        <f aca="false">IF(E267="","",E267*F267)</f>
        <v/>
      </c>
      <c r="H267" s="25"/>
      <c r="I267" s="24" t="n">
        <v>2</v>
      </c>
      <c r="J267" s="25" t="n">
        <v>2106</v>
      </c>
      <c r="K267" s="25" t="n">
        <f aca="false">I267*J267</f>
        <v>4212</v>
      </c>
      <c r="L267" s="24" t="n">
        <v>2</v>
      </c>
      <c r="M267" s="25" t="n">
        <v>855</v>
      </c>
      <c r="N267" s="25" t="n">
        <f aca="false">L267*M267</f>
        <v>1710</v>
      </c>
      <c r="O267" s="25"/>
      <c r="P267" s="14"/>
      <c r="Q267" s="44" t="str">
        <f aca="false">IF(OR(O267="",M267=""),"",M267-O267)</f>
        <v/>
      </c>
      <c r="R267" s="45" t="str">
        <f aca="false">IF(Q267="","",Q267*L267)</f>
        <v/>
      </c>
      <c r="S267" s="45" t="n">
        <f aca="false">N267-K267</f>
        <v>-2502</v>
      </c>
      <c r="T267" s="46" t="s">
        <v>46</v>
      </c>
      <c r="U267" s="14" t="s">
        <v>233</v>
      </c>
      <c r="V267" s="23"/>
      <c r="W267" s="24" t="n">
        <f aca="false">L267</f>
        <v>2</v>
      </c>
      <c r="X267" s="25" t="n">
        <f aca="false">M267</f>
        <v>855</v>
      </c>
      <c r="Y267" s="5" t="n">
        <f aca="false">IF(OR(W267="",X267=""),0,W267*X267)</f>
        <v>1710</v>
      </c>
    </row>
    <row r="268" customFormat="false" ht="39.55" hidden="false" customHeight="false" outlineLevel="0" collapsed="false">
      <c r="A268" s="23" t="s">
        <v>698</v>
      </c>
      <c r="B268" s="23" t="s">
        <v>743</v>
      </c>
      <c r="C268" s="14" t="s">
        <v>744</v>
      </c>
      <c r="D268" s="23" t="s">
        <v>141</v>
      </c>
      <c r="E268" s="24"/>
      <c r="F268" s="25"/>
      <c r="G268" s="25" t="str">
        <f aca="false">IF(E268="","",E268*F268)</f>
        <v/>
      </c>
      <c r="H268" s="25"/>
      <c r="I268" s="24" t="n">
        <v>2</v>
      </c>
      <c r="J268" s="25" t="n">
        <v>1020</v>
      </c>
      <c r="K268" s="25" t="n">
        <f aca="false">I268*J268</f>
        <v>2040</v>
      </c>
      <c r="L268" s="24" t="n">
        <v>2</v>
      </c>
      <c r="M268" s="25" t="n">
        <v>855</v>
      </c>
      <c r="N268" s="25" t="n">
        <f aca="false">L268*M268</f>
        <v>1710</v>
      </c>
      <c r="O268" s="25" t="n">
        <v>855</v>
      </c>
      <c r="P268" s="14" t="s">
        <v>495</v>
      </c>
      <c r="Q268" s="25" t="n">
        <f aca="false">IF(OR(O268="",M268=""),"",M268-O268)</f>
        <v>0</v>
      </c>
      <c r="R268" s="33" t="n">
        <f aca="false">IF(Q268="","",Q268*L268)</f>
        <v>0</v>
      </c>
      <c r="S268" s="33" t="n">
        <f aca="false">N268-K268</f>
        <v>-330</v>
      </c>
      <c r="T268" s="14" t="s">
        <v>42</v>
      </c>
      <c r="U268" s="14" t="s">
        <v>233</v>
      </c>
      <c r="V268" s="23"/>
      <c r="W268" s="24" t="n">
        <f aca="false">L268</f>
        <v>2</v>
      </c>
      <c r="X268" s="25" t="n">
        <f aca="false">M268</f>
        <v>855</v>
      </c>
      <c r="Y268" s="5" t="n">
        <f aca="false">IF(OR(W268="",X268=""),0,W268*X268)</f>
        <v>1710</v>
      </c>
    </row>
    <row r="269" customFormat="false" ht="39.55" hidden="false" customHeight="false" outlineLevel="0" collapsed="false">
      <c r="A269" s="23" t="s">
        <v>698</v>
      </c>
      <c r="B269" s="23" t="s">
        <v>745</v>
      </c>
      <c r="C269" s="14" t="s">
        <v>746</v>
      </c>
      <c r="D269" s="23" t="s">
        <v>141</v>
      </c>
      <c r="E269" s="24"/>
      <c r="F269" s="25"/>
      <c r="G269" s="25" t="str">
        <f aca="false">IF(E269="","",E269*F269)</f>
        <v/>
      </c>
      <c r="H269" s="25"/>
      <c r="I269" s="24" t="n">
        <v>1</v>
      </c>
      <c r="J269" s="25" t="n">
        <v>1020</v>
      </c>
      <c r="K269" s="25" t="n">
        <f aca="false">I269*J269</f>
        <v>1020</v>
      </c>
      <c r="L269" s="24" t="n">
        <v>1</v>
      </c>
      <c r="M269" s="25" t="n">
        <v>855</v>
      </c>
      <c r="N269" s="25" t="n">
        <f aca="false">L269*M269</f>
        <v>855</v>
      </c>
      <c r="O269" s="25" t="n">
        <v>855</v>
      </c>
      <c r="P269" s="14" t="s">
        <v>495</v>
      </c>
      <c r="Q269" s="25" t="n">
        <f aca="false">IF(OR(O269="",M269=""),"",M269-O269)</f>
        <v>0</v>
      </c>
      <c r="R269" s="33" t="n">
        <f aca="false">IF(Q269="","",Q269*L269)</f>
        <v>0</v>
      </c>
      <c r="S269" s="33" t="n">
        <f aca="false">N269-K269</f>
        <v>-165</v>
      </c>
      <c r="T269" s="14" t="s">
        <v>42</v>
      </c>
      <c r="U269" s="14" t="s">
        <v>233</v>
      </c>
      <c r="V269" s="23"/>
      <c r="W269" s="24" t="n">
        <f aca="false">L269</f>
        <v>1</v>
      </c>
      <c r="X269" s="25" t="n">
        <f aca="false">M269</f>
        <v>855</v>
      </c>
      <c r="Y269" s="5" t="n">
        <f aca="false">IF(OR(W269="",X269=""),0,W269*X269)</f>
        <v>855</v>
      </c>
    </row>
    <row r="270" customFormat="false" ht="39.55" hidden="false" customHeight="false" outlineLevel="0" collapsed="false">
      <c r="A270" s="23" t="s">
        <v>698</v>
      </c>
      <c r="B270" s="23" t="s">
        <v>747</v>
      </c>
      <c r="C270" s="14" t="s">
        <v>497</v>
      </c>
      <c r="D270" s="23" t="s">
        <v>141</v>
      </c>
      <c r="E270" s="24"/>
      <c r="F270" s="25"/>
      <c r="G270" s="25" t="str">
        <f aca="false">IF(E270="","",E270*F270)</f>
        <v/>
      </c>
      <c r="H270" s="25"/>
      <c r="I270" s="24" t="n">
        <v>5</v>
      </c>
      <c r="J270" s="25" t="n">
        <v>1020</v>
      </c>
      <c r="K270" s="25" t="n">
        <f aca="false">I270*J270</f>
        <v>5100</v>
      </c>
      <c r="L270" s="24" t="n">
        <v>5</v>
      </c>
      <c r="M270" s="25" t="n">
        <v>855</v>
      </c>
      <c r="N270" s="25" t="n">
        <f aca="false">L270*M270</f>
        <v>4275</v>
      </c>
      <c r="O270" s="25" t="n">
        <v>855</v>
      </c>
      <c r="P270" s="14" t="s">
        <v>495</v>
      </c>
      <c r="Q270" s="25" t="n">
        <f aca="false">IF(OR(O270="",M270=""),"",M270-O270)</f>
        <v>0</v>
      </c>
      <c r="R270" s="33" t="n">
        <f aca="false">IF(Q270="","",Q270*L270)</f>
        <v>0</v>
      </c>
      <c r="S270" s="33" t="n">
        <f aca="false">N270-K270</f>
        <v>-825</v>
      </c>
      <c r="T270" s="14" t="s">
        <v>42</v>
      </c>
      <c r="U270" s="14" t="s">
        <v>233</v>
      </c>
      <c r="V270" s="23"/>
      <c r="W270" s="24" t="n">
        <f aca="false">L270</f>
        <v>5</v>
      </c>
      <c r="X270" s="25" t="n">
        <f aca="false">M270</f>
        <v>855</v>
      </c>
      <c r="Y270" s="5" t="n">
        <f aca="false">IF(OR(W270="",X270=""),0,W270*X270)</f>
        <v>4275</v>
      </c>
    </row>
    <row r="271" customFormat="false" ht="39.55" hidden="false" customHeight="false" outlineLevel="0" collapsed="false">
      <c r="A271" s="23" t="s">
        <v>698</v>
      </c>
      <c r="B271" s="23" t="s">
        <v>748</v>
      </c>
      <c r="C271" s="14" t="s">
        <v>749</v>
      </c>
      <c r="D271" s="23" t="s">
        <v>141</v>
      </c>
      <c r="E271" s="24"/>
      <c r="F271" s="25"/>
      <c r="G271" s="25" t="str">
        <f aca="false">IF(E271="","",E271*F271)</f>
        <v/>
      </c>
      <c r="H271" s="25"/>
      <c r="I271" s="24" t="n">
        <v>1</v>
      </c>
      <c r="J271" s="25" t="n">
        <v>1020</v>
      </c>
      <c r="K271" s="25" t="n">
        <f aca="false">I271*J271</f>
        <v>1020</v>
      </c>
      <c r="L271" s="24" t="n">
        <v>1</v>
      </c>
      <c r="M271" s="25" t="n">
        <v>855</v>
      </c>
      <c r="N271" s="25" t="n">
        <f aca="false">L271*M271</f>
        <v>855</v>
      </c>
      <c r="O271" s="25" t="n">
        <v>855</v>
      </c>
      <c r="P271" s="14" t="s">
        <v>495</v>
      </c>
      <c r="Q271" s="25" t="n">
        <f aca="false">IF(OR(O271="",M271=""),"",M271-O271)</f>
        <v>0</v>
      </c>
      <c r="R271" s="33" t="n">
        <f aca="false">IF(Q271="","",Q271*L271)</f>
        <v>0</v>
      </c>
      <c r="S271" s="33" t="n">
        <f aca="false">N271-K271</f>
        <v>-165</v>
      </c>
      <c r="T271" s="14" t="s">
        <v>42</v>
      </c>
      <c r="U271" s="14" t="s">
        <v>233</v>
      </c>
      <c r="V271" s="23"/>
      <c r="W271" s="24" t="n">
        <f aca="false">L271</f>
        <v>1</v>
      </c>
      <c r="X271" s="25" t="n">
        <f aca="false">M271</f>
        <v>855</v>
      </c>
      <c r="Y271" s="5" t="n">
        <f aca="false">IF(OR(W271="",X271=""),0,W271*X271)</f>
        <v>855</v>
      </c>
    </row>
    <row r="272" customFormat="false" ht="26.85" hidden="false" customHeight="false" outlineLevel="0" collapsed="false">
      <c r="A272" s="23" t="s">
        <v>698</v>
      </c>
      <c r="B272" s="23" t="s">
        <v>750</v>
      </c>
      <c r="C272" s="14" t="s">
        <v>751</v>
      </c>
      <c r="D272" s="23" t="s">
        <v>141</v>
      </c>
      <c r="E272" s="24"/>
      <c r="F272" s="25"/>
      <c r="G272" s="25" t="str">
        <f aca="false">IF(E272="","",E272*F272)</f>
        <v/>
      </c>
      <c r="H272" s="25"/>
      <c r="I272" s="24" t="n">
        <v>4</v>
      </c>
      <c r="J272" s="25" t="n">
        <v>1620</v>
      </c>
      <c r="K272" s="25" t="n">
        <f aca="false">I272*J272</f>
        <v>6480</v>
      </c>
      <c r="L272" s="24" t="n">
        <v>4</v>
      </c>
      <c r="M272" s="25" t="n">
        <v>850</v>
      </c>
      <c r="N272" s="25" t="n">
        <f aca="false">L272*M272</f>
        <v>3400</v>
      </c>
      <c r="O272" s="25"/>
      <c r="P272" s="14"/>
      <c r="Q272" s="44" t="str">
        <f aca="false">IF(OR(O272="",M272=""),"",M272-O272)</f>
        <v/>
      </c>
      <c r="R272" s="45" t="str">
        <f aca="false">IF(Q272="","",Q272*L272)</f>
        <v/>
      </c>
      <c r="S272" s="45" t="n">
        <f aca="false">N272-K272</f>
        <v>-3080</v>
      </c>
      <c r="T272" s="46" t="s">
        <v>46</v>
      </c>
      <c r="U272" s="14"/>
      <c r="V272" s="23"/>
      <c r="W272" s="24" t="n">
        <f aca="false">L272</f>
        <v>4</v>
      </c>
      <c r="X272" s="25" t="n">
        <f aca="false">M272</f>
        <v>850</v>
      </c>
      <c r="Y272" s="5" t="n">
        <f aca="false">IF(OR(W272="",X272=""),0,W272*X272)</f>
        <v>3400</v>
      </c>
    </row>
    <row r="273" customFormat="false" ht="26.85" hidden="false" customHeight="false" outlineLevel="0" collapsed="false">
      <c r="A273" s="23" t="s">
        <v>698</v>
      </c>
      <c r="B273" s="23" t="s">
        <v>752</v>
      </c>
      <c r="C273" s="14" t="s">
        <v>753</v>
      </c>
      <c r="D273" s="23" t="s">
        <v>141</v>
      </c>
      <c r="E273" s="24"/>
      <c r="F273" s="25"/>
      <c r="G273" s="25" t="str">
        <f aca="false">IF(E273="","",E273*F273)</f>
        <v/>
      </c>
      <c r="H273" s="25"/>
      <c r="I273" s="24" t="n">
        <v>1</v>
      </c>
      <c r="J273" s="25" t="n">
        <v>1782</v>
      </c>
      <c r="K273" s="25" t="n">
        <f aca="false">I273*J273</f>
        <v>1782</v>
      </c>
      <c r="L273" s="24" t="n">
        <v>1</v>
      </c>
      <c r="M273" s="25" t="n">
        <v>900</v>
      </c>
      <c r="N273" s="25" t="n">
        <f aca="false">L273*M273</f>
        <v>900</v>
      </c>
      <c r="O273" s="25"/>
      <c r="P273" s="14"/>
      <c r="Q273" s="44" t="str">
        <f aca="false">IF(OR(O273="",M273=""),"",M273-O273)</f>
        <v/>
      </c>
      <c r="R273" s="45" t="str">
        <f aca="false">IF(Q273="","",Q273*L273)</f>
        <v/>
      </c>
      <c r="S273" s="45" t="n">
        <f aca="false">N273-K273</f>
        <v>-882</v>
      </c>
      <c r="T273" s="46" t="s">
        <v>46</v>
      </c>
      <c r="U273" s="14"/>
      <c r="V273" s="23"/>
      <c r="W273" s="24" t="n">
        <f aca="false">L273</f>
        <v>1</v>
      </c>
      <c r="X273" s="25" t="n">
        <f aca="false">M273</f>
        <v>900</v>
      </c>
      <c r="Y273" s="5" t="n">
        <f aca="false">IF(OR(W273="",X273=""),0,W273*X273)</f>
        <v>900</v>
      </c>
    </row>
    <row r="274" customFormat="false" ht="39.55" hidden="false" customHeight="false" outlineLevel="0" collapsed="false">
      <c r="A274" s="23" t="s">
        <v>698</v>
      </c>
      <c r="B274" s="23" t="s">
        <v>754</v>
      </c>
      <c r="C274" s="14" t="s">
        <v>755</v>
      </c>
      <c r="D274" s="23" t="s">
        <v>141</v>
      </c>
      <c r="E274" s="24"/>
      <c r="F274" s="25"/>
      <c r="G274" s="25" t="str">
        <f aca="false">IF(E274="","",E274*F274)</f>
        <v/>
      </c>
      <c r="H274" s="25"/>
      <c r="I274" s="24" t="n">
        <v>11</v>
      </c>
      <c r="J274" s="25" t="n">
        <v>1020</v>
      </c>
      <c r="K274" s="25" t="n">
        <f aca="false">I274*J274</f>
        <v>11220</v>
      </c>
      <c r="L274" s="24" t="n">
        <v>11</v>
      </c>
      <c r="M274" s="25" t="n">
        <v>855</v>
      </c>
      <c r="N274" s="25" t="n">
        <f aca="false">L274*M274</f>
        <v>9405</v>
      </c>
      <c r="O274" s="25" t="n">
        <v>855</v>
      </c>
      <c r="P274" s="14" t="s">
        <v>495</v>
      </c>
      <c r="Q274" s="25" t="n">
        <f aca="false">IF(OR(O274="",M274=""),"",M274-O274)</f>
        <v>0</v>
      </c>
      <c r="R274" s="33" t="n">
        <f aca="false">IF(Q274="","",Q274*L274)</f>
        <v>0</v>
      </c>
      <c r="S274" s="33" t="n">
        <f aca="false">N274-K274</f>
        <v>-1815</v>
      </c>
      <c r="T274" s="14" t="s">
        <v>42</v>
      </c>
      <c r="U274" s="14" t="s">
        <v>233</v>
      </c>
      <c r="V274" s="23"/>
      <c r="W274" s="24" t="n">
        <f aca="false">L274</f>
        <v>11</v>
      </c>
      <c r="X274" s="25" t="n">
        <f aca="false">M274</f>
        <v>855</v>
      </c>
      <c r="Y274" s="5" t="n">
        <f aca="false">IF(OR(W274="",X274=""),0,W274*X274)</f>
        <v>9405</v>
      </c>
    </row>
    <row r="275" customFormat="false" ht="39.55" hidden="false" customHeight="false" outlineLevel="0" collapsed="false">
      <c r="A275" s="23" t="s">
        <v>698</v>
      </c>
      <c r="B275" s="23" t="s">
        <v>756</v>
      </c>
      <c r="C275" s="14" t="s">
        <v>757</v>
      </c>
      <c r="D275" s="23" t="s">
        <v>141</v>
      </c>
      <c r="E275" s="24"/>
      <c r="F275" s="25"/>
      <c r="G275" s="25" t="str">
        <f aca="false">IF(E275="","",E275*F275)</f>
        <v/>
      </c>
      <c r="H275" s="25"/>
      <c r="I275" s="24" t="n">
        <v>3</v>
      </c>
      <c r="J275" s="25" t="n">
        <v>1020</v>
      </c>
      <c r="K275" s="25" t="n">
        <f aca="false">I275*J275</f>
        <v>3060</v>
      </c>
      <c r="L275" s="24" t="n">
        <v>3</v>
      </c>
      <c r="M275" s="25" t="n">
        <v>855</v>
      </c>
      <c r="N275" s="25" t="n">
        <f aca="false">L275*M275</f>
        <v>2565</v>
      </c>
      <c r="O275" s="25" t="n">
        <v>855</v>
      </c>
      <c r="P275" s="14" t="s">
        <v>495</v>
      </c>
      <c r="Q275" s="25" t="n">
        <f aca="false">IF(OR(O275="",M275=""),"",M275-O275)</f>
        <v>0</v>
      </c>
      <c r="R275" s="33" t="n">
        <f aca="false">IF(Q275="","",Q275*L275)</f>
        <v>0</v>
      </c>
      <c r="S275" s="33" t="n">
        <f aca="false">N275-K275</f>
        <v>-495</v>
      </c>
      <c r="T275" s="14" t="s">
        <v>42</v>
      </c>
      <c r="U275" s="14" t="s">
        <v>233</v>
      </c>
      <c r="V275" s="23"/>
      <c r="W275" s="24" t="n">
        <f aca="false">L275</f>
        <v>3</v>
      </c>
      <c r="X275" s="25" t="n">
        <f aca="false">M275</f>
        <v>855</v>
      </c>
      <c r="Y275" s="5" t="n">
        <f aca="false">IF(OR(W275="",X275=""),0,W275*X275)</f>
        <v>2565</v>
      </c>
    </row>
    <row r="276" customFormat="false" ht="39.55" hidden="false" customHeight="false" outlineLevel="0" collapsed="false">
      <c r="A276" s="23" t="s">
        <v>698</v>
      </c>
      <c r="B276" s="23" t="s">
        <v>758</v>
      </c>
      <c r="C276" s="14" t="s">
        <v>759</v>
      </c>
      <c r="D276" s="23" t="s">
        <v>141</v>
      </c>
      <c r="E276" s="24"/>
      <c r="F276" s="25"/>
      <c r="G276" s="25" t="str">
        <f aca="false">IF(E276="","",E276*F276)</f>
        <v/>
      </c>
      <c r="H276" s="25"/>
      <c r="I276" s="24" t="n">
        <v>2</v>
      </c>
      <c r="J276" s="25" t="n">
        <v>1020</v>
      </c>
      <c r="K276" s="25" t="n">
        <f aca="false">I276*J276</f>
        <v>2040</v>
      </c>
      <c r="L276" s="24" t="n">
        <v>2</v>
      </c>
      <c r="M276" s="25" t="n">
        <v>855</v>
      </c>
      <c r="N276" s="25" t="n">
        <f aca="false">L276*M276</f>
        <v>1710</v>
      </c>
      <c r="O276" s="25" t="n">
        <v>855</v>
      </c>
      <c r="P276" s="14" t="s">
        <v>495</v>
      </c>
      <c r="Q276" s="25" t="n">
        <f aca="false">IF(OR(O276="",M276=""),"",M276-O276)</f>
        <v>0</v>
      </c>
      <c r="R276" s="33" t="n">
        <f aca="false">IF(Q276="","",Q276*L276)</f>
        <v>0</v>
      </c>
      <c r="S276" s="33" t="n">
        <f aca="false">N276-K276</f>
        <v>-330</v>
      </c>
      <c r="T276" s="14" t="s">
        <v>42</v>
      </c>
      <c r="U276" s="14" t="s">
        <v>233</v>
      </c>
      <c r="V276" s="23"/>
      <c r="W276" s="24" t="n">
        <f aca="false">L276</f>
        <v>2</v>
      </c>
      <c r="X276" s="25" t="n">
        <f aca="false">M276</f>
        <v>855</v>
      </c>
      <c r="Y276" s="5" t="n">
        <f aca="false">IF(OR(W276="",X276=""),0,W276*X276)</f>
        <v>1710</v>
      </c>
    </row>
    <row r="277" customFormat="false" ht="26.85" hidden="false" customHeight="false" outlineLevel="0" collapsed="false">
      <c r="A277" s="23" t="s">
        <v>698</v>
      </c>
      <c r="B277" s="23" t="s">
        <v>760</v>
      </c>
      <c r="C277" s="14" t="s">
        <v>761</v>
      </c>
      <c r="D277" s="23" t="s">
        <v>141</v>
      </c>
      <c r="E277" s="24"/>
      <c r="F277" s="25"/>
      <c r="G277" s="25" t="str">
        <f aca="false">IF(E277="","",E277*F277)</f>
        <v/>
      </c>
      <c r="H277" s="25"/>
      <c r="I277" s="24" t="n">
        <v>2</v>
      </c>
      <c r="J277" s="25" t="n">
        <v>1620</v>
      </c>
      <c r="K277" s="25" t="n">
        <f aca="false">I277*J277</f>
        <v>3240</v>
      </c>
      <c r="L277" s="24" t="n">
        <v>2</v>
      </c>
      <c r="M277" s="25" t="n">
        <v>850</v>
      </c>
      <c r="N277" s="25" t="n">
        <f aca="false">L277*M277</f>
        <v>1700</v>
      </c>
      <c r="O277" s="25"/>
      <c r="P277" s="14"/>
      <c r="Q277" s="44" t="str">
        <f aca="false">IF(OR(O277="",M277=""),"",M277-O277)</f>
        <v/>
      </c>
      <c r="R277" s="45" t="str">
        <f aca="false">IF(Q277="","",Q277*L277)</f>
        <v/>
      </c>
      <c r="S277" s="45" t="n">
        <f aca="false">N277-K277</f>
        <v>-1540</v>
      </c>
      <c r="T277" s="46" t="s">
        <v>46</v>
      </c>
      <c r="U277" s="14"/>
      <c r="V277" s="23"/>
      <c r="W277" s="24" t="n">
        <f aca="false">L277</f>
        <v>2</v>
      </c>
      <c r="X277" s="25" t="n">
        <f aca="false">M277</f>
        <v>850</v>
      </c>
      <c r="Y277" s="5" t="n">
        <f aca="false">IF(OR(W277="",X277=""),0,W277*X277)</f>
        <v>1700</v>
      </c>
    </row>
    <row r="278" customFormat="false" ht="26.85" hidden="false" customHeight="false" outlineLevel="0" collapsed="false">
      <c r="A278" s="23" t="s">
        <v>698</v>
      </c>
      <c r="B278" s="23" t="s">
        <v>762</v>
      </c>
      <c r="C278" s="14" t="s">
        <v>763</v>
      </c>
      <c r="D278" s="23" t="s">
        <v>141</v>
      </c>
      <c r="E278" s="24"/>
      <c r="F278" s="25"/>
      <c r="G278" s="25" t="str">
        <f aca="false">IF(E278="","",E278*F278)</f>
        <v/>
      </c>
      <c r="H278" s="25"/>
      <c r="I278" s="24" t="n">
        <v>2</v>
      </c>
      <c r="J278" s="25" t="n">
        <v>1944</v>
      </c>
      <c r="K278" s="25" t="n">
        <f aca="false">I278*J278</f>
        <v>3888</v>
      </c>
      <c r="L278" s="24" t="n">
        <v>2</v>
      </c>
      <c r="M278" s="25" t="n">
        <v>1190</v>
      </c>
      <c r="N278" s="25" t="n">
        <f aca="false">L278*M278</f>
        <v>2380</v>
      </c>
      <c r="O278" s="25"/>
      <c r="P278" s="14"/>
      <c r="Q278" s="44" t="str">
        <f aca="false">IF(OR(O278="",M278=""),"",M278-O278)</f>
        <v/>
      </c>
      <c r="R278" s="45" t="str">
        <f aca="false">IF(Q278="","",Q278*L278)</f>
        <v/>
      </c>
      <c r="S278" s="45" t="n">
        <f aca="false">N278-K278</f>
        <v>-1508</v>
      </c>
      <c r="T278" s="46" t="s">
        <v>46</v>
      </c>
      <c r="U278" s="14"/>
      <c r="V278" s="23"/>
      <c r="W278" s="24" t="n">
        <f aca="false">L278</f>
        <v>2</v>
      </c>
      <c r="X278" s="25" t="n">
        <f aca="false">M278</f>
        <v>1190</v>
      </c>
      <c r="Y278" s="5" t="n">
        <f aca="false">IF(OR(W278="",X278=""),0,W278*X278)</f>
        <v>2380</v>
      </c>
    </row>
    <row r="279" customFormat="false" ht="39.55" hidden="false" customHeight="false" outlineLevel="0" collapsed="false">
      <c r="A279" s="23" t="s">
        <v>698</v>
      </c>
      <c r="B279" s="23" t="s">
        <v>764</v>
      </c>
      <c r="C279" s="14" t="s">
        <v>765</v>
      </c>
      <c r="D279" s="23" t="s">
        <v>141</v>
      </c>
      <c r="E279" s="24"/>
      <c r="F279" s="25"/>
      <c r="G279" s="25" t="str">
        <f aca="false">IF(E279="","",E279*F279)</f>
        <v/>
      </c>
      <c r="H279" s="25"/>
      <c r="I279" s="24" t="n">
        <v>2</v>
      </c>
      <c r="J279" s="25" t="n">
        <v>1020</v>
      </c>
      <c r="K279" s="25" t="n">
        <f aca="false">I279*J279</f>
        <v>2040</v>
      </c>
      <c r="L279" s="24" t="n">
        <v>2</v>
      </c>
      <c r="M279" s="25" t="n">
        <v>855</v>
      </c>
      <c r="N279" s="25" t="n">
        <f aca="false">L279*M279</f>
        <v>1710</v>
      </c>
      <c r="O279" s="25" t="n">
        <v>855</v>
      </c>
      <c r="P279" s="14" t="s">
        <v>495</v>
      </c>
      <c r="Q279" s="25" t="n">
        <f aca="false">IF(OR(O279="",M279=""),"",M279-O279)</f>
        <v>0</v>
      </c>
      <c r="R279" s="33" t="n">
        <f aca="false">IF(Q279="","",Q279*L279)</f>
        <v>0</v>
      </c>
      <c r="S279" s="33" t="n">
        <f aca="false">N279-K279</f>
        <v>-330</v>
      </c>
      <c r="T279" s="14" t="s">
        <v>42</v>
      </c>
      <c r="U279" s="14" t="s">
        <v>233</v>
      </c>
      <c r="V279" s="23"/>
      <c r="W279" s="24" t="n">
        <f aca="false">L279</f>
        <v>2</v>
      </c>
      <c r="X279" s="25" t="n">
        <f aca="false">M279</f>
        <v>855</v>
      </c>
      <c r="Y279" s="5" t="n">
        <f aca="false">IF(OR(W279="",X279=""),0,W279*X279)</f>
        <v>1710</v>
      </c>
    </row>
    <row r="280" customFormat="false" ht="39.55" hidden="false" customHeight="false" outlineLevel="0" collapsed="false">
      <c r="A280" s="23" t="s">
        <v>698</v>
      </c>
      <c r="B280" s="23" t="s">
        <v>766</v>
      </c>
      <c r="C280" s="14" t="s">
        <v>516</v>
      </c>
      <c r="D280" s="23" t="s">
        <v>141</v>
      </c>
      <c r="E280" s="24"/>
      <c r="F280" s="25"/>
      <c r="G280" s="25" t="str">
        <f aca="false">IF(E280="","",E280*F280)</f>
        <v/>
      </c>
      <c r="H280" s="25"/>
      <c r="I280" s="24" t="n">
        <v>9</v>
      </c>
      <c r="J280" s="25" t="n">
        <v>1020</v>
      </c>
      <c r="K280" s="25" t="n">
        <f aca="false">I280*J280</f>
        <v>9180</v>
      </c>
      <c r="L280" s="24" t="n">
        <v>9</v>
      </c>
      <c r="M280" s="25" t="n">
        <v>855</v>
      </c>
      <c r="N280" s="25" t="n">
        <f aca="false">L280*M280</f>
        <v>7695</v>
      </c>
      <c r="O280" s="25" t="n">
        <v>855</v>
      </c>
      <c r="P280" s="14" t="s">
        <v>495</v>
      </c>
      <c r="Q280" s="25" t="n">
        <f aca="false">IF(OR(O280="",M280=""),"",M280-O280)</f>
        <v>0</v>
      </c>
      <c r="R280" s="33" t="n">
        <f aca="false">IF(Q280="","",Q280*L280)</f>
        <v>0</v>
      </c>
      <c r="S280" s="33" t="n">
        <f aca="false">N280-K280</f>
        <v>-1485</v>
      </c>
      <c r="T280" s="14" t="s">
        <v>42</v>
      </c>
      <c r="U280" s="14" t="s">
        <v>233</v>
      </c>
      <c r="V280" s="23"/>
      <c r="W280" s="24" t="n">
        <f aca="false">L280</f>
        <v>9</v>
      </c>
      <c r="X280" s="25" t="n">
        <f aca="false">M280</f>
        <v>855</v>
      </c>
      <c r="Y280" s="5" t="n">
        <f aca="false">IF(OR(W280="",X280=""),0,W280*X280)</f>
        <v>7695</v>
      </c>
    </row>
    <row r="281" customFormat="false" ht="39.55" hidden="false" customHeight="false" outlineLevel="0" collapsed="false">
      <c r="A281" s="23" t="s">
        <v>698</v>
      </c>
      <c r="B281" s="23" t="s">
        <v>767</v>
      </c>
      <c r="C281" s="14" t="s">
        <v>518</v>
      </c>
      <c r="D281" s="23" t="s">
        <v>141</v>
      </c>
      <c r="E281" s="24"/>
      <c r="F281" s="25"/>
      <c r="G281" s="25" t="str">
        <f aca="false">IF(E281="","",E281*F281)</f>
        <v/>
      </c>
      <c r="H281" s="25"/>
      <c r="I281" s="24" t="n">
        <v>9</v>
      </c>
      <c r="J281" s="25" t="n">
        <v>1020</v>
      </c>
      <c r="K281" s="25" t="n">
        <f aca="false">I281*J281</f>
        <v>9180</v>
      </c>
      <c r="L281" s="24" t="n">
        <v>9</v>
      </c>
      <c r="M281" s="25" t="n">
        <v>855</v>
      </c>
      <c r="N281" s="25" t="n">
        <f aca="false">L281*M281</f>
        <v>7695</v>
      </c>
      <c r="O281" s="25" t="n">
        <v>855</v>
      </c>
      <c r="P281" s="14" t="s">
        <v>495</v>
      </c>
      <c r="Q281" s="25" t="n">
        <f aca="false">IF(OR(O281="",M281=""),"",M281-O281)</f>
        <v>0</v>
      </c>
      <c r="R281" s="33" t="n">
        <f aca="false">IF(Q281="","",Q281*L281)</f>
        <v>0</v>
      </c>
      <c r="S281" s="33" t="n">
        <f aca="false">N281-K281</f>
        <v>-1485</v>
      </c>
      <c r="T281" s="14" t="s">
        <v>42</v>
      </c>
      <c r="U281" s="14" t="s">
        <v>233</v>
      </c>
      <c r="V281" s="23"/>
      <c r="W281" s="24" t="n">
        <f aca="false">L281</f>
        <v>9</v>
      </c>
      <c r="X281" s="25" t="n">
        <f aca="false">M281</f>
        <v>855</v>
      </c>
      <c r="Y281" s="5" t="n">
        <f aca="false">IF(OR(W281="",X281=""),0,W281*X281)</f>
        <v>7695</v>
      </c>
    </row>
    <row r="282" customFormat="false" ht="39.55" hidden="false" customHeight="false" outlineLevel="0" collapsed="false">
      <c r="A282" s="23" t="s">
        <v>698</v>
      </c>
      <c r="B282" s="23" t="s">
        <v>768</v>
      </c>
      <c r="C282" s="14" t="s">
        <v>522</v>
      </c>
      <c r="D282" s="23" t="s">
        <v>141</v>
      </c>
      <c r="E282" s="24"/>
      <c r="F282" s="25"/>
      <c r="G282" s="25" t="str">
        <f aca="false">IF(E282="","",E282*F282)</f>
        <v/>
      </c>
      <c r="H282" s="25"/>
      <c r="I282" s="24" t="n">
        <v>10</v>
      </c>
      <c r="J282" s="25" t="n">
        <v>1020</v>
      </c>
      <c r="K282" s="25" t="n">
        <f aca="false">I282*J282</f>
        <v>10200</v>
      </c>
      <c r="L282" s="24" t="n">
        <v>10</v>
      </c>
      <c r="M282" s="25" t="n">
        <v>855</v>
      </c>
      <c r="N282" s="25" t="n">
        <f aca="false">L282*M282</f>
        <v>8550</v>
      </c>
      <c r="O282" s="25" t="n">
        <v>855</v>
      </c>
      <c r="P282" s="14" t="s">
        <v>495</v>
      </c>
      <c r="Q282" s="25" t="n">
        <f aca="false">IF(OR(O282="",M282=""),"",M282-O282)</f>
        <v>0</v>
      </c>
      <c r="R282" s="33" t="n">
        <f aca="false">IF(Q282="","",Q282*L282)</f>
        <v>0</v>
      </c>
      <c r="S282" s="33" t="n">
        <f aca="false">N282-K282</f>
        <v>-1650</v>
      </c>
      <c r="T282" s="14" t="s">
        <v>42</v>
      </c>
      <c r="U282" s="14" t="s">
        <v>233</v>
      </c>
      <c r="V282" s="23"/>
      <c r="W282" s="24" t="n">
        <f aca="false">L282</f>
        <v>10</v>
      </c>
      <c r="X282" s="25" t="n">
        <f aca="false">M282</f>
        <v>855</v>
      </c>
      <c r="Y282" s="5" t="n">
        <f aca="false">IF(OR(W282="",X282=""),0,W282*X282)</f>
        <v>8550</v>
      </c>
    </row>
    <row r="283" customFormat="false" ht="39.55" hidden="false" customHeight="false" outlineLevel="0" collapsed="false">
      <c r="A283" s="23" t="s">
        <v>698</v>
      </c>
      <c r="B283" s="23" t="s">
        <v>769</v>
      </c>
      <c r="C283" s="14" t="s">
        <v>770</v>
      </c>
      <c r="D283" s="23" t="s">
        <v>141</v>
      </c>
      <c r="E283" s="24"/>
      <c r="F283" s="25"/>
      <c r="G283" s="25" t="str">
        <f aca="false">IF(E283="","",E283*F283)</f>
        <v/>
      </c>
      <c r="H283" s="25"/>
      <c r="I283" s="24" t="n">
        <v>1</v>
      </c>
      <c r="J283" s="25" t="n">
        <v>1020</v>
      </c>
      <c r="K283" s="25" t="n">
        <f aca="false">I283*J283</f>
        <v>1020</v>
      </c>
      <c r="L283" s="24" t="n">
        <v>1</v>
      </c>
      <c r="M283" s="25" t="n">
        <v>855</v>
      </c>
      <c r="N283" s="25" t="n">
        <f aca="false">L283*M283</f>
        <v>855</v>
      </c>
      <c r="O283" s="25" t="n">
        <v>855</v>
      </c>
      <c r="P283" s="14" t="s">
        <v>495</v>
      </c>
      <c r="Q283" s="25" t="n">
        <f aca="false">IF(OR(O283="",M283=""),"",M283-O283)</f>
        <v>0</v>
      </c>
      <c r="R283" s="33" t="n">
        <f aca="false">IF(Q283="","",Q283*L283)</f>
        <v>0</v>
      </c>
      <c r="S283" s="33" t="n">
        <f aca="false">N283-K283</f>
        <v>-165</v>
      </c>
      <c r="T283" s="14" t="s">
        <v>42</v>
      </c>
      <c r="U283" s="14" t="s">
        <v>233</v>
      </c>
      <c r="V283" s="23"/>
      <c r="W283" s="24" t="n">
        <f aca="false">L283</f>
        <v>1</v>
      </c>
      <c r="X283" s="25" t="n">
        <f aca="false">M283</f>
        <v>855</v>
      </c>
      <c r="Y283" s="5" t="n">
        <f aca="false">IF(OR(W283="",X283=""),0,W283*X283)</f>
        <v>855</v>
      </c>
    </row>
    <row r="284" customFormat="false" ht="26.85" hidden="false" customHeight="false" outlineLevel="0" collapsed="false">
      <c r="A284" s="23" t="s">
        <v>698</v>
      </c>
      <c r="B284" s="23" t="s">
        <v>771</v>
      </c>
      <c r="C284" s="14" t="s">
        <v>772</v>
      </c>
      <c r="D284" s="23" t="s">
        <v>141</v>
      </c>
      <c r="E284" s="24"/>
      <c r="F284" s="25"/>
      <c r="G284" s="25" t="str">
        <f aca="false">IF(E284="","",E284*F284)</f>
        <v/>
      </c>
      <c r="H284" s="25"/>
      <c r="I284" s="24" t="n">
        <v>2</v>
      </c>
      <c r="J284" s="25" t="n">
        <v>1620</v>
      </c>
      <c r="K284" s="25" t="n">
        <f aca="false">I284*J284</f>
        <v>3240</v>
      </c>
      <c r="L284" s="24" t="n">
        <v>2</v>
      </c>
      <c r="M284" s="25" t="n">
        <v>850</v>
      </c>
      <c r="N284" s="25" t="n">
        <f aca="false">L284*M284</f>
        <v>1700</v>
      </c>
      <c r="O284" s="25"/>
      <c r="P284" s="14"/>
      <c r="Q284" s="44" t="str">
        <f aca="false">IF(OR(O284="",M284=""),"",M284-O284)</f>
        <v/>
      </c>
      <c r="R284" s="45" t="str">
        <f aca="false">IF(Q284="","",Q284*L284)</f>
        <v/>
      </c>
      <c r="S284" s="45" t="n">
        <f aca="false">N284-K284</f>
        <v>-1540</v>
      </c>
      <c r="T284" s="46" t="s">
        <v>46</v>
      </c>
      <c r="U284" s="14"/>
      <c r="V284" s="23"/>
      <c r="W284" s="24" t="n">
        <f aca="false">L284</f>
        <v>2</v>
      </c>
      <c r="X284" s="25" t="n">
        <f aca="false">M284</f>
        <v>850</v>
      </c>
      <c r="Y284" s="5" t="n">
        <f aca="false">IF(OR(W284="",X284=""),0,W284*X284)</f>
        <v>1700</v>
      </c>
    </row>
    <row r="285" customFormat="false" ht="26.85" hidden="false" customHeight="false" outlineLevel="0" collapsed="false">
      <c r="A285" s="23" t="s">
        <v>698</v>
      </c>
      <c r="B285" s="23" t="s">
        <v>773</v>
      </c>
      <c r="C285" s="14" t="s">
        <v>774</v>
      </c>
      <c r="D285" s="23" t="s">
        <v>141</v>
      </c>
      <c r="E285" s="24"/>
      <c r="F285" s="25"/>
      <c r="G285" s="25" t="str">
        <f aca="false">IF(E285="","",E285*F285)</f>
        <v/>
      </c>
      <c r="H285" s="25"/>
      <c r="I285" s="24" t="n">
        <v>2</v>
      </c>
      <c r="J285" s="25" t="n">
        <v>1944</v>
      </c>
      <c r="K285" s="25" t="n">
        <f aca="false">I285*J285</f>
        <v>3888</v>
      </c>
      <c r="L285" s="24" t="n">
        <v>2</v>
      </c>
      <c r="M285" s="25" t="n">
        <v>1190</v>
      </c>
      <c r="N285" s="25" t="n">
        <f aca="false">L285*M285</f>
        <v>2380</v>
      </c>
      <c r="O285" s="25"/>
      <c r="P285" s="14"/>
      <c r="Q285" s="44" t="str">
        <f aca="false">IF(OR(O285="",M285=""),"",M285-O285)</f>
        <v/>
      </c>
      <c r="R285" s="45" t="str">
        <f aca="false">IF(Q285="","",Q285*L285)</f>
        <v/>
      </c>
      <c r="S285" s="45" t="n">
        <f aca="false">N285-K285</f>
        <v>-1508</v>
      </c>
      <c r="T285" s="46" t="s">
        <v>46</v>
      </c>
      <c r="U285" s="14"/>
      <c r="V285" s="23"/>
      <c r="W285" s="24" t="n">
        <f aca="false">L285</f>
        <v>2</v>
      </c>
      <c r="X285" s="25" t="n">
        <f aca="false">M285</f>
        <v>1190</v>
      </c>
      <c r="Y285" s="5" t="n">
        <f aca="false">IF(OR(W285="",X285=""),0,W285*X285)</f>
        <v>2380</v>
      </c>
    </row>
    <row r="286" customFormat="false" ht="26.85" hidden="false" customHeight="false" outlineLevel="0" collapsed="false">
      <c r="A286" s="23" t="s">
        <v>698</v>
      </c>
      <c r="B286" s="23" t="s">
        <v>775</v>
      </c>
      <c r="C286" s="14" t="s">
        <v>524</v>
      </c>
      <c r="D286" s="23" t="s">
        <v>141</v>
      </c>
      <c r="E286" s="24"/>
      <c r="F286" s="25"/>
      <c r="G286" s="25" t="str">
        <f aca="false">IF(E286="","",E286*F286)</f>
        <v/>
      </c>
      <c r="H286" s="25"/>
      <c r="I286" s="24" t="n">
        <v>1</v>
      </c>
      <c r="J286" s="25" t="n">
        <v>1620</v>
      </c>
      <c r="K286" s="25" t="n">
        <f aca="false">I286*J286</f>
        <v>1620</v>
      </c>
      <c r="L286" s="24" t="n">
        <v>1</v>
      </c>
      <c r="M286" s="25" t="n">
        <v>850</v>
      </c>
      <c r="N286" s="25" t="n">
        <f aca="false">L286*M286</f>
        <v>850</v>
      </c>
      <c r="O286" s="25"/>
      <c r="P286" s="14"/>
      <c r="Q286" s="44" t="str">
        <f aca="false">IF(OR(O286="",M286=""),"",M286-O286)</f>
        <v/>
      </c>
      <c r="R286" s="45" t="str">
        <f aca="false">IF(Q286="","",Q286*L286)</f>
        <v/>
      </c>
      <c r="S286" s="45" t="n">
        <f aca="false">N286-K286</f>
        <v>-770</v>
      </c>
      <c r="T286" s="46" t="s">
        <v>46</v>
      </c>
      <c r="U286" s="14"/>
      <c r="V286" s="23"/>
      <c r="W286" s="24" t="n">
        <f aca="false">L286</f>
        <v>1</v>
      </c>
      <c r="X286" s="25" t="n">
        <f aca="false">M286</f>
        <v>850</v>
      </c>
      <c r="Y286" s="5" t="n">
        <f aca="false">IF(OR(W286="",X286=""),0,W286*X286)</f>
        <v>850</v>
      </c>
    </row>
    <row r="287" customFormat="false" ht="26.85" hidden="false" customHeight="false" outlineLevel="0" collapsed="false">
      <c r="A287" s="23" t="s">
        <v>698</v>
      </c>
      <c r="B287" s="23" t="s">
        <v>776</v>
      </c>
      <c r="C287" s="14" t="s">
        <v>526</v>
      </c>
      <c r="D287" s="23" t="s">
        <v>141</v>
      </c>
      <c r="E287" s="24"/>
      <c r="F287" s="25"/>
      <c r="G287" s="25" t="str">
        <f aca="false">IF(E287="","",E287*F287)</f>
        <v/>
      </c>
      <c r="H287" s="25"/>
      <c r="I287" s="24" t="n">
        <v>2</v>
      </c>
      <c r="J287" s="25" t="n">
        <v>1944</v>
      </c>
      <c r="K287" s="25" t="n">
        <f aca="false">I287*J287</f>
        <v>3888</v>
      </c>
      <c r="L287" s="24" t="n">
        <v>2</v>
      </c>
      <c r="M287" s="25" t="n">
        <v>1190</v>
      </c>
      <c r="N287" s="25" t="n">
        <f aca="false">L287*M287</f>
        <v>2380</v>
      </c>
      <c r="O287" s="25"/>
      <c r="P287" s="14"/>
      <c r="Q287" s="44" t="str">
        <f aca="false">IF(OR(O287="",M287=""),"",M287-O287)</f>
        <v/>
      </c>
      <c r="R287" s="45" t="str">
        <f aca="false">IF(Q287="","",Q287*L287)</f>
        <v/>
      </c>
      <c r="S287" s="45" t="n">
        <f aca="false">N287-K287</f>
        <v>-1508</v>
      </c>
      <c r="T287" s="46" t="s">
        <v>46</v>
      </c>
      <c r="U287" s="14"/>
      <c r="V287" s="23"/>
      <c r="W287" s="24" t="n">
        <f aca="false">L287</f>
        <v>2</v>
      </c>
      <c r="X287" s="25" t="n">
        <f aca="false">M287</f>
        <v>1190</v>
      </c>
      <c r="Y287" s="5" t="n">
        <f aca="false">IF(OR(W287="",X287=""),0,W287*X287)</f>
        <v>2380</v>
      </c>
    </row>
    <row r="288" customFormat="false" ht="26.85" hidden="false" customHeight="false" outlineLevel="0" collapsed="false">
      <c r="A288" s="23" t="s">
        <v>698</v>
      </c>
      <c r="B288" s="23" t="s">
        <v>777</v>
      </c>
      <c r="C288" s="14" t="s">
        <v>534</v>
      </c>
      <c r="D288" s="23" t="s">
        <v>141</v>
      </c>
      <c r="E288" s="24"/>
      <c r="F288" s="25"/>
      <c r="G288" s="25" t="str">
        <f aca="false">IF(E288="","",E288*F288)</f>
        <v/>
      </c>
      <c r="H288" s="25"/>
      <c r="I288" s="24" t="n">
        <v>4</v>
      </c>
      <c r="J288" s="25" t="n">
        <v>2106</v>
      </c>
      <c r="K288" s="25" t="n">
        <f aca="false">I288*J288</f>
        <v>8424</v>
      </c>
      <c r="L288" s="24" t="n">
        <v>4</v>
      </c>
      <c r="M288" s="25" t="n">
        <v>2210</v>
      </c>
      <c r="N288" s="25" t="n">
        <f aca="false">L288*M288</f>
        <v>8840</v>
      </c>
      <c r="O288" s="25"/>
      <c r="P288" s="14"/>
      <c r="Q288" s="25" t="str">
        <f aca="false">IF(OR(O288="",M288=""),"",M288-O288)</f>
        <v/>
      </c>
      <c r="R288" s="33" t="str">
        <f aca="false">IF(Q288="","",Q288*L288)</f>
        <v/>
      </c>
      <c r="S288" s="33" t="n">
        <f aca="false">N288-K288</f>
        <v>416</v>
      </c>
      <c r="T288" s="14" t="s">
        <v>338</v>
      </c>
      <c r="U288" s="14"/>
      <c r="V288" s="23"/>
      <c r="W288" s="24" t="n">
        <f aca="false">L288</f>
        <v>4</v>
      </c>
      <c r="X288" s="25" t="n">
        <f aca="false">M288</f>
        <v>2210</v>
      </c>
      <c r="Y288" s="5" t="n">
        <f aca="false">IF(OR(W288="",X288=""),0,W288*X288)</f>
        <v>8840</v>
      </c>
    </row>
    <row r="289" customFormat="false" ht="39.55" hidden="false" customHeight="false" outlineLevel="0" collapsed="false">
      <c r="A289" s="23" t="s">
        <v>698</v>
      </c>
      <c r="B289" s="23" t="s">
        <v>778</v>
      </c>
      <c r="C289" s="14" t="s">
        <v>538</v>
      </c>
      <c r="D289" s="23" t="s">
        <v>141</v>
      </c>
      <c r="E289" s="24"/>
      <c r="F289" s="25"/>
      <c r="G289" s="25" t="str">
        <f aca="false">IF(E289="","",E289*F289)</f>
        <v/>
      </c>
      <c r="H289" s="25"/>
      <c r="I289" s="24" t="n">
        <v>8</v>
      </c>
      <c r="J289" s="25" t="n">
        <v>1020</v>
      </c>
      <c r="K289" s="25" t="n">
        <f aca="false">I289*J289</f>
        <v>8160</v>
      </c>
      <c r="L289" s="24" t="n">
        <v>8</v>
      </c>
      <c r="M289" s="25" t="n">
        <v>855</v>
      </c>
      <c r="N289" s="25" t="n">
        <f aca="false">L289*M289</f>
        <v>6840</v>
      </c>
      <c r="O289" s="25" t="n">
        <v>855</v>
      </c>
      <c r="P289" s="14" t="s">
        <v>495</v>
      </c>
      <c r="Q289" s="25" t="n">
        <f aca="false">IF(OR(O289="",M289=""),"",M289-O289)</f>
        <v>0</v>
      </c>
      <c r="R289" s="33" t="n">
        <f aca="false">IF(Q289="","",Q289*L289)</f>
        <v>0</v>
      </c>
      <c r="S289" s="33" t="n">
        <f aca="false">N289-K289</f>
        <v>-1320</v>
      </c>
      <c r="T289" s="14" t="s">
        <v>42</v>
      </c>
      <c r="U289" s="14" t="s">
        <v>233</v>
      </c>
      <c r="V289" s="23"/>
      <c r="W289" s="24" t="n">
        <f aca="false">L289</f>
        <v>8</v>
      </c>
      <c r="X289" s="25" t="n">
        <f aca="false">M289</f>
        <v>855</v>
      </c>
      <c r="Y289" s="5" t="n">
        <f aca="false">IF(OR(W289="",X289=""),0,W289*X289)</f>
        <v>6840</v>
      </c>
    </row>
    <row r="290" customFormat="false" ht="39.55" hidden="false" customHeight="false" outlineLevel="0" collapsed="false">
      <c r="A290" s="23" t="s">
        <v>698</v>
      </c>
      <c r="B290" s="23" t="s">
        <v>779</v>
      </c>
      <c r="C290" s="14" t="s">
        <v>780</v>
      </c>
      <c r="D290" s="23" t="s">
        <v>141</v>
      </c>
      <c r="E290" s="24"/>
      <c r="F290" s="25"/>
      <c r="G290" s="25" t="str">
        <f aca="false">IF(E290="","",E290*F290)</f>
        <v/>
      </c>
      <c r="H290" s="25"/>
      <c r="I290" s="24" t="n">
        <v>2</v>
      </c>
      <c r="J290" s="25" t="n">
        <v>1020</v>
      </c>
      <c r="K290" s="25" t="n">
        <f aca="false">I290*J290</f>
        <v>2040</v>
      </c>
      <c r="L290" s="24" t="n">
        <v>2</v>
      </c>
      <c r="M290" s="25" t="n">
        <v>855</v>
      </c>
      <c r="N290" s="25" t="n">
        <f aca="false">L290*M290</f>
        <v>1710</v>
      </c>
      <c r="O290" s="25" t="n">
        <v>855</v>
      </c>
      <c r="P290" s="14" t="s">
        <v>495</v>
      </c>
      <c r="Q290" s="25" t="n">
        <f aca="false">IF(OR(O290="",M290=""),"",M290-O290)</f>
        <v>0</v>
      </c>
      <c r="R290" s="33" t="n">
        <f aca="false">IF(Q290="","",Q290*L290)</f>
        <v>0</v>
      </c>
      <c r="S290" s="33" t="n">
        <f aca="false">N290-K290</f>
        <v>-330</v>
      </c>
      <c r="T290" s="14" t="s">
        <v>42</v>
      </c>
      <c r="U290" s="14" t="s">
        <v>233</v>
      </c>
      <c r="V290" s="23"/>
      <c r="W290" s="24" t="n">
        <f aca="false">L290</f>
        <v>2</v>
      </c>
      <c r="X290" s="25" t="n">
        <f aca="false">M290</f>
        <v>855</v>
      </c>
      <c r="Y290" s="5" t="n">
        <f aca="false">IF(OR(W290="",X290=""),0,W290*X290)</f>
        <v>1710</v>
      </c>
    </row>
    <row r="291" customFormat="false" ht="39.55" hidden="false" customHeight="false" outlineLevel="0" collapsed="false">
      <c r="A291" s="23" t="s">
        <v>698</v>
      </c>
      <c r="B291" s="23" t="s">
        <v>781</v>
      </c>
      <c r="C291" s="14" t="s">
        <v>541</v>
      </c>
      <c r="D291" s="23" t="s">
        <v>141</v>
      </c>
      <c r="E291" s="24"/>
      <c r="F291" s="25"/>
      <c r="G291" s="25" t="str">
        <f aca="false">IF(E291="","",E291*F291)</f>
        <v/>
      </c>
      <c r="H291" s="25"/>
      <c r="I291" s="24" t="n">
        <v>2</v>
      </c>
      <c r="J291" s="25" t="n">
        <v>1020</v>
      </c>
      <c r="K291" s="25" t="n">
        <f aca="false">I291*J291</f>
        <v>2040</v>
      </c>
      <c r="L291" s="24" t="n">
        <v>2</v>
      </c>
      <c r="M291" s="25" t="n">
        <v>855</v>
      </c>
      <c r="N291" s="25" t="n">
        <f aca="false">L291*M291</f>
        <v>1710</v>
      </c>
      <c r="O291" s="25" t="n">
        <v>855</v>
      </c>
      <c r="P291" s="14" t="s">
        <v>495</v>
      </c>
      <c r="Q291" s="25" t="n">
        <f aca="false">IF(OR(O291="",M291=""),"",M291-O291)</f>
        <v>0</v>
      </c>
      <c r="R291" s="33" t="n">
        <f aca="false">IF(Q291="","",Q291*L291)</f>
        <v>0</v>
      </c>
      <c r="S291" s="33" t="n">
        <f aca="false">N291-K291</f>
        <v>-330</v>
      </c>
      <c r="T291" s="14" t="s">
        <v>42</v>
      </c>
      <c r="U291" s="14" t="s">
        <v>233</v>
      </c>
      <c r="V291" s="23"/>
      <c r="W291" s="24" t="n">
        <f aca="false">L291</f>
        <v>2</v>
      </c>
      <c r="X291" s="25" t="n">
        <f aca="false">M291</f>
        <v>855</v>
      </c>
      <c r="Y291" s="5" t="n">
        <f aca="false">IF(OR(W291="",X291=""),0,W291*X291)</f>
        <v>1710</v>
      </c>
    </row>
    <row r="292" customFormat="false" ht="39.55" hidden="false" customHeight="false" outlineLevel="0" collapsed="false">
      <c r="A292" s="23" t="s">
        <v>698</v>
      </c>
      <c r="B292" s="23" t="s">
        <v>782</v>
      </c>
      <c r="C292" s="14" t="s">
        <v>543</v>
      </c>
      <c r="D292" s="23" t="s">
        <v>141</v>
      </c>
      <c r="E292" s="24"/>
      <c r="F292" s="25"/>
      <c r="G292" s="25" t="str">
        <f aca="false">IF(E292="","",E292*F292)</f>
        <v/>
      </c>
      <c r="H292" s="25"/>
      <c r="I292" s="24" t="n">
        <v>22</v>
      </c>
      <c r="J292" s="25" t="n">
        <v>1020</v>
      </c>
      <c r="K292" s="25" t="n">
        <f aca="false">I292*J292</f>
        <v>22440</v>
      </c>
      <c r="L292" s="24" t="n">
        <v>22</v>
      </c>
      <c r="M292" s="25" t="n">
        <v>855</v>
      </c>
      <c r="N292" s="25" t="n">
        <f aca="false">L292*M292</f>
        <v>18810</v>
      </c>
      <c r="O292" s="25" t="n">
        <v>855</v>
      </c>
      <c r="P292" s="14" t="s">
        <v>495</v>
      </c>
      <c r="Q292" s="25" t="n">
        <f aca="false">IF(OR(O292="",M292=""),"",M292-O292)</f>
        <v>0</v>
      </c>
      <c r="R292" s="33" t="n">
        <f aca="false">IF(Q292="","",Q292*L292)</f>
        <v>0</v>
      </c>
      <c r="S292" s="33" t="n">
        <f aca="false">N292-K292</f>
        <v>-3630</v>
      </c>
      <c r="T292" s="14" t="s">
        <v>42</v>
      </c>
      <c r="U292" s="14" t="s">
        <v>233</v>
      </c>
      <c r="V292" s="23"/>
      <c r="W292" s="24" t="n">
        <f aca="false">L292</f>
        <v>22</v>
      </c>
      <c r="X292" s="25" t="n">
        <f aca="false">M292</f>
        <v>855</v>
      </c>
      <c r="Y292" s="5" t="n">
        <f aca="false">IF(OR(W292="",X292=""),0,W292*X292)</f>
        <v>18810</v>
      </c>
    </row>
    <row r="293" customFormat="false" ht="39.55" hidden="false" customHeight="false" outlineLevel="0" collapsed="false">
      <c r="A293" s="23" t="s">
        <v>698</v>
      </c>
      <c r="B293" s="23" t="s">
        <v>783</v>
      </c>
      <c r="C293" s="14" t="s">
        <v>545</v>
      </c>
      <c r="D293" s="23" t="s">
        <v>141</v>
      </c>
      <c r="E293" s="24"/>
      <c r="F293" s="25"/>
      <c r="G293" s="25" t="str">
        <f aca="false">IF(E293="","",E293*F293)</f>
        <v/>
      </c>
      <c r="H293" s="25"/>
      <c r="I293" s="24" t="n">
        <v>2</v>
      </c>
      <c r="J293" s="25" t="n">
        <v>1020</v>
      </c>
      <c r="K293" s="25" t="n">
        <f aca="false">I293*J293</f>
        <v>2040</v>
      </c>
      <c r="L293" s="24" t="n">
        <v>2</v>
      </c>
      <c r="M293" s="25" t="n">
        <v>855</v>
      </c>
      <c r="N293" s="25" t="n">
        <f aca="false">L293*M293</f>
        <v>1710</v>
      </c>
      <c r="O293" s="25" t="n">
        <v>855</v>
      </c>
      <c r="P293" s="14" t="s">
        <v>495</v>
      </c>
      <c r="Q293" s="25" t="n">
        <f aca="false">IF(OR(O293="",M293=""),"",M293-O293)</f>
        <v>0</v>
      </c>
      <c r="R293" s="33" t="n">
        <f aca="false">IF(Q293="","",Q293*L293)</f>
        <v>0</v>
      </c>
      <c r="S293" s="33" t="n">
        <f aca="false">N293-K293</f>
        <v>-330</v>
      </c>
      <c r="T293" s="14" t="s">
        <v>42</v>
      </c>
      <c r="U293" s="14" t="s">
        <v>233</v>
      </c>
      <c r="V293" s="23"/>
      <c r="W293" s="24" t="n">
        <f aca="false">L293</f>
        <v>2</v>
      </c>
      <c r="X293" s="25" t="n">
        <f aca="false">M293</f>
        <v>855</v>
      </c>
      <c r="Y293" s="5" t="n">
        <f aca="false">IF(OR(W293="",X293=""),0,W293*X293)</f>
        <v>1710</v>
      </c>
    </row>
    <row r="294" customFormat="false" ht="39.55" hidden="false" customHeight="false" outlineLevel="0" collapsed="false">
      <c r="A294" s="23" t="s">
        <v>698</v>
      </c>
      <c r="B294" s="23" t="s">
        <v>784</v>
      </c>
      <c r="C294" s="14" t="s">
        <v>785</v>
      </c>
      <c r="D294" s="23" t="s">
        <v>141</v>
      </c>
      <c r="E294" s="24"/>
      <c r="F294" s="25"/>
      <c r="G294" s="25" t="str">
        <f aca="false">IF(E294="","",E294*F294)</f>
        <v/>
      </c>
      <c r="H294" s="25"/>
      <c r="I294" s="24" t="n">
        <v>1</v>
      </c>
      <c r="J294" s="25" t="n">
        <v>1020</v>
      </c>
      <c r="K294" s="25" t="n">
        <f aca="false">I294*J294</f>
        <v>1020</v>
      </c>
      <c r="L294" s="24" t="n">
        <v>1</v>
      </c>
      <c r="M294" s="25" t="n">
        <v>855</v>
      </c>
      <c r="N294" s="25" t="n">
        <f aca="false">L294*M294</f>
        <v>855</v>
      </c>
      <c r="O294" s="25" t="n">
        <v>855</v>
      </c>
      <c r="P294" s="14" t="s">
        <v>495</v>
      </c>
      <c r="Q294" s="25" t="n">
        <f aca="false">IF(OR(O294="",M294=""),"",M294-O294)</f>
        <v>0</v>
      </c>
      <c r="R294" s="33" t="n">
        <f aca="false">IF(Q294="","",Q294*L294)</f>
        <v>0</v>
      </c>
      <c r="S294" s="33" t="n">
        <f aca="false">N294-K294</f>
        <v>-165</v>
      </c>
      <c r="T294" s="14" t="s">
        <v>42</v>
      </c>
      <c r="U294" s="14" t="s">
        <v>233</v>
      </c>
      <c r="V294" s="23"/>
      <c r="W294" s="24" t="n">
        <f aca="false">L294</f>
        <v>1</v>
      </c>
      <c r="X294" s="25" t="n">
        <f aca="false">M294</f>
        <v>855</v>
      </c>
      <c r="Y294" s="5" t="n">
        <f aca="false">IF(OR(W294="",X294=""),0,W294*X294)</f>
        <v>855</v>
      </c>
    </row>
    <row r="295" customFormat="false" ht="39.55" hidden="false" customHeight="false" outlineLevel="0" collapsed="false">
      <c r="A295" s="23" t="s">
        <v>698</v>
      </c>
      <c r="B295" s="23" t="s">
        <v>786</v>
      </c>
      <c r="C295" s="14" t="s">
        <v>557</v>
      </c>
      <c r="D295" s="23" t="s">
        <v>141</v>
      </c>
      <c r="E295" s="24"/>
      <c r="F295" s="25"/>
      <c r="G295" s="25" t="str">
        <f aca="false">IF(E295="","",E295*F295)</f>
        <v/>
      </c>
      <c r="H295" s="25"/>
      <c r="I295" s="24" t="n">
        <v>2</v>
      </c>
      <c r="J295" s="25" t="n">
        <v>1020</v>
      </c>
      <c r="K295" s="25" t="n">
        <f aca="false">I295*J295</f>
        <v>2040</v>
      </c>
      <c r="L295" s="24" t="n">
        <v>2</v>
      </c>
      <c r="M295" s="25" t="n">
        <v>855</v>
      </c>
      <c r="N295" s="25" t="n">
        <f aca="false">L295*M295</f>
        <v>1710</v>
      </c>
      <c r="O295" s="25" t="n">
        <v>855</v>
      </c>
      <c r="P295" s="14" t="s">
        <v>495</v>
      </c>
      <c r="Q295" s="25" t="n">
        <f aca="false">IF(OR(O295="",M295=""),"",M295-O295)</f>
        <v>0</v>
      </c>
      <c r="R295" s="33" t="n">
        <f aca="false">IF(Q295="","",Q295*L295)</f>
        <v>0</v>
      </c>
      <c r="S295" s="33" t="n">
        <f aca="false">N295-K295</f>
        <v>-330</v>
      </c>
      <c r="T295" s="14" t="s">
        <v>42</v>
      </c>
      <c r="U295" s="14" t="s">
        <v>233</v>
      </c>
      <c r="V295" s="23"/>
      <c r="W295" s="24" t="n">
        <f aca="false">L295</f>
        <v>2</v>
      </c>
      <c r="X295" s="25" t="n">
        <f aca="false">M295</f>
        <v>855</v>
      </c>
      <c r="Y295" s="5" t="n">
        <f aca="false">IF(OR(W295="",X295=""),0,W295*X295)</f>
        <v>1710</v>
      </c>
    </row>
    <row r="296" customFormat="false" ht="39.55" hidden="false" customHeight="false" outlineLevel="0" collapsed="false">
      <c r="A296" s="23" t="s">
        <v>698</v>
      </c>
      <c r="B296" s="23" t="s">
        <v>787</v>
      </c>
      <c r="C296" s="14" t="s">
        <v>788</v>
      </c>
      <c r="D296" s="23" t="s">
        <v>141</v>
      </c>
      <c r="E296" s="24"/>
      <c r="F296" s="25"/>
      <c r="G296" s="25" t="str">
        <f aca="false">IF(E296="","",E296*F296)</f>
        <v/>
      </c>
      <c r="H296" s="25"/>
      <c r="I296" s="24" t="n">
        <v>5</v>
      </c>
      <c r="J296" s="25" t="n">
        <v>1020</v>
      </c>
      <c r="K296" s="25" t="n">
        <f aca="false">I296*J296</f>
        <v>5100</v>
      </c>
      <c r="L296" s="24" t="n">
        <v>5</v>
      </c>
      <c r="M296" s="25" t="n">
        <v>855</v>
      </c>
      <c r="N296" s="25" t="n">
        <f aca="false">L296*M296</f>
        <v>4275</v>
      </c>
      <c r="O296" s="25" t="n">
        <v>855</v>
      </c>
      <c r="P296" s="14" t="s">
        <v>495</v>
      </c>
      <c r="Q296" s="25" t="n">
        <f aca="false">IF(OR(O296="",M296=""),"",M296-O296)</f>
        <v>0</v>
      </c>
      <c r="R296" s="33" t="n">
        <f aca="false">IF(Q296="","",Q296*L296)</f>
        <v>0</v>
      </c>
      <c r="S296" s="33" t="n">
        <f aca="false">N296-K296</f>
        <v>-825</v>
      </c>
      <c r="T296" s="14" t="s">
        <v>42</v>
      </c>
      <c r="U296" s="14" t="s">
        <v>233</v>
      </c>
      <c r="V296" s="23"/>
      <c r="W296" s="24" t="n">
        <f aca="false">L296</f>
        <v>5</v>
      </c>
      <c r="X296" s="25" t="n">
        <f aca="false">M296</f>
        <v>855</v>
      </c>
      <c r="Y296" s="5" t="n">
        <f aca="false">IF(OR(W296="",X296=""),0,W296*X296)</f>
        <v>4275</v>
      </c>
    </row>
    <row r="297" customFormat="false" ht="39.55" hidden="false" customHeight="false" outlineLevel="0" collapsed="false">
      <c r="A297" s="23" t="s">
        <v>698</v>
      </c>
      <c r="B297" s="23" t="s">
        <v>789</v>
      </c>
      <c r="C297" s="14" t="s">
        <v>790</v>
      </c>
      <c r="D297" s="23" t="s">
        <v>141</v>
      </c>
      <c r="E297" s="24"/>
      <c r="F297" s="25"/>
      <c r="G297" s="25" t="str">
        <f aca="false">IF(E297="","",E297*F297)</f>
        <v/>
      </c>
      <c r="H297" s="25"/>
      <c r="I297" s="24" t="n">
        <v>1</v>
      </c>
      <c r="J297" s="25" t="n">
        <v>1020</v>
      </c>
      <c r="K297" s="25" t="n">
        <f aca="false">I297*J297</f>
        <v>1020</v>
      </c>
      <c r="L297" s="24" t="n">
        <v>1</v>
      </c>
      <c r="M297" s="25" t="n">
        <v>855</v>
      </c>
      <c r="N297" s="25" t="n">
        <f aca="false">L297*M297</f>
        <v>855</v>
      </c>
      <c r="O297" s="25" t="n">
        <v>855</v>
      </c>
      <c r="P297" s="14" t="s">
        <v>495</v>
      </c>
      <c r="Q297" s="25" t="n">
        <f aca="false">IF(OR(O297="",M297=""),"",M297-O297)</f>
        <v>0</v>
      </c>
      <c r="R297" s="33" t="n">
        <f aca="false">IF(Q297="","",Q297*L297)</f>
        <v>0</v>
      </c>
      <c r="S297" s="33" t="n">
        <f aca="false">N297-K297</f>
        <v>-165</v>
      </c>
      <c r="T297" s="14" t="s">
        <v>42</v>
      </c>
      <c r="U297" s="14" t="s">
        <v>233</v>
      </c>
      <c r="V297" s="23"/>
      <c r="W297" s="24" t="n">
        <f aca="false">L297</f>
        <v>1</v>
      </c>
      <c r="X297" s="25" t="n">
        <f aca="false">M297</f>
        <v>855</v>
      </c>
      <c r="Y297" s="5" t="n">
        <f aca="false">IF(OR(W297="",X297=""),0,W297*X297)</f>
        <v>855</v>
      </c>
    </row>
    <row r="298" customFormat="false" ht="26.85" hidden="false" customHeight="false" outlineLevel="0" collapsed="false">
      <c r="A298" s="23" t="s">
        <v>698</v>
      </c>
      <c r="B298" s="23" t="s">
        <v>791</v>
      </c>
      <c r="C298" s="14" t="s">
        <v>792</v>
      </c>
      <c r="D298" s="23" t="s">
        <v>141</v>
      </c>
      <c r="E298" s="24"/>
      <c r="F298" s="25"/>
      <c r="G298" s="25" t="str">
        <f aca="false">IF(E298="","",E298*F298)</f>
        <v/>
      </c>
      <c r="H298" s="25"/>
      <c r="I298" s="24" t="n">
        <v>2</v>
      </c>
      <c r="J298" s="25" t="n">
        <v>1377</v>
      </c>
      <c r="K298" s="25" t="n">
        <f aca="false">I298*J298</f>
        <v>2754</v>
      </c>
      <c r="L298" s="24" t="n">
        <v>2</v>
      </c>
      <c r="M298" s="25" t="n">
        <v>680</v>
      </c>
      <c r="N298" s="25" t="n">
        <f aca="false">L298*M298</f>
        <v>1360</v>
      </c>
      <c r="O298" s="25"/>
      <c r="P298" s="14"/>
      <c r="Q298" s="44" t="str">
        <f aca="false">IF(OR(O298="",M298=""),"",M298-O298)</f>
        <v/>
      </c>
      <c r="R298" s="45" t="str">
        <f aca="false">IF(Q298="","",Q298*L298)</f>
        <v/>
      </c>
      <c r="S298" s="45" t="n">
        <f aca="false">N298-K298</f>
        <v>-1394</v>
      </c>
      <c r="T298" s="46" t="s">
        <v>46</v>
      </c>
      <c r="U298" s="14"/>
      <c r="V298" s="23"/>
      <c r="W298" s="24" t="n">
        <f aca="false">L298</f>
        <v>2</v>
      </c>
      <c r="X298" s="25" t="n">
        <f aca="false">M298</f>
        <v>680</v>
      </c>
      <c r="Y298" s="5" t="n">
        <f aca="false">IF(OR(W298="",X298=""),0,W298*X298)</f>
        <v>1360</v>
      </c>
    </row>
    <row r="299" customFormat="false" ht="26.85" hidden="false" customHeight="false" outlineLevel="0" collapsed="false">
      <c r="A299" s="23" t="s">
        <v>698</v>
      </c>
      <c r="B299" s="23" t="s">
        <v>793</v>
      </c>
      <c r="C299" s="14" t="s">
        <v>794</v>
      </c>
      <c r="D299" s="23" t="s">
        <v>141</v>
      </c>
      <c r="E299" s="24"/>
      <c r="F299" s="25"/>
      <c r="G299" s="25" t="str">
        <f aca="false">IF(E299="","",E299*F299)</f>
        <v/>
      </c>
      <c r="H299" s="25"/>
      <c r="I299" s="24" t="n">
        <v>1</v>
      </c>
      <c r="J299" s="25" t="n">
        <v>1377</v>
      </c>
      <c r="K299" s="25" t="n">
        <f aca="false">I299*J299</f>
        <v>1377</v>
      </c>
      <c r="L299" s="24" t="n">
        <v>1</v>
      </c>
      <c r="M299" s="25" t="n">
        <v>850</v>
      </c>
      <c r="N299" s="25" t="n">
        <f aca="false">L299*M299</f>
        <v>850</v>
      </c>
      <c r="O299" s="25"/>
      <c r="P299" s="14"/>
      <c r="Q299" s="44" t="str">
        <f aca="false">IF(OR(O299="",M299=""),"",M299-O299)</f>
        <v/>
      </c>
      <c r="R299" s="45" t="str">
        <f aca="false">IF(Q299="","",Q299*L299)</f>
        <v/>
      </c>
      <c r="S299" s="45" t="n">
        <f aca="false">N299-K299</f>
        <v>-527</v>
      </c>
      <c r="T299" s="46" t="s">
        <v>46</v>
      </c>
      <c r="U299" s="14"/>
      <c r="V299" s="23"/>
      <c r="W299" s="24" t="n">
        <f aca="false">L299</f>
        <v>1</v>
      </c>
      <c r="X299" s="25" t="n">
        <f aca="false">M299</f>
        <v>850</v>
      </c>
      <c r="Y299" s="5" t="n">
        <f aca="false">IF(OR(W299="",X299=""),0,W299*X299)</f>
        <v>850</v>
      </c>
    </row>
    <row r="300" customFormat="false" ht="26.85" hidden="false" customHeight="false" outlineLevel="0" collapsed="false">
      <c r="A300" s="23" t="s">
        <v>698</v>
      </c>
      <c r="B300" s="23" t="s">
        <v>795</v>
      </c>
      <c r="C300" s="14" t="s">
        <v>796</v>
      </c>
      <c r="D300" s="23" t="s">
        <v>141</v>
      </c>
      <c r="E300" s="24"/>
      <c r="F300" s="25"/>
      <c r="G300" s="25" t="str">
        <f aca="false">IF(E300="","",E300*F300)</f>
        <v/>
      </c>
      <c r="H300" s="25"/>
      <c r="I300" s="24" t="n">
        <v>1</v>
      </c>
      <c r="J300" s="25" t="n">
        <v>1377</v>
      </c>
      <c r="K300" s="25" t="n">
        <f aca="false">I300*J300</f>
        <v>1377</v>
      </c>
      <c r="L300" s="24" t="n">
        <v>1</v>
      </c>
      <c r="M300" s="25" t="n">
        <v>850</v>
      </c>
      <c r="N300" s="25" t="n">
        <f aca="false">L300*M300</f>
        <v>850</v>
      </c>
      <c r="O300" s="25"/>
      <c r="P300" s="14"/>
      <c r="Q300" s="44" t="str">
        <f aca="false">IF(OR(O300="",M300=""),"",M300-O300)</f>
        <v/>
      </c>
      <c r="R300" s="45" t="str">
        <f aca="false">IF(Q300="","",Q300*L300)</f>
        <v/>
      </c>
      <c r="S300" s="45" t="n">
        <f aca="false">N300-K300</f>
        <v>-527</v>
      </c>
      <c r="T300" s="46" t="s">
        <v>46</v>
      </c>
      <c r="U300" s="14"/>
      <c r="V300" s="23"/>
      <c r="W300" s="24" t="n">
        <f aca="false">L300</f>
        <v>1</v>
      </c>
      <c r="X300" s="25" t="n">
        <f aca="false">M300</f>
        <v>850</v>
      </c>
      <c r="Y300" s="5" t="n">
        <f aca="false">IF(OR(W300="",X300=""),0,W300*X300)</f>
        <v>850</v>
      </c>
    </row>
    <row r="301" customFormat="false" ht="26.85" hidden="false" customHeight="false" outlineLevel="0" collapsed="false">
      <c r="A301" s="23" t="s">
        <v>698</v>
      </c>
      <c r="B301" s="23" t="s">
        <v>797</v>
      </c>
      <c r="C301" s="14" t="s">
        <v>798</v>
      </c>
      <c r="D301" s="23" t="s">
        <v>141</v>
      </c>
      <c r="E301" s="24"/>
      <c r="F301" s="25"/>
      <c r="G301" s="25" t="str">
        <f aca="false">IF(E301="","",E301*F301)</f>
        <v/>
      </c>
      <c r="H301" s="25"/>
      <c r="I301" s="24" t="n">
        <v>1</v>
      </c>
      <c r="J301" s="25" t="n">
        <v>1620</v>
      </c>
      <c r="K301" s="25" t="n">
        <f aca="false">I301*J301</f>
        <v>1620</v>
      </c>
      <c r="L301" s="24" t="n">
        <v>1</v>
      </c>
      <c r="M301" s="25" t="n">
        <v>680</v>
      </c>
      <c r="N301" s="25" t="n">
        <f aca="false">L301*M301</f>
        <v>680</v>
      </c>
      <c r="O301" s="25"/>
      <c r="P301" s="14"/>
      <c r="Q301" s="44" t="str">
        <f aca="false">IF(OR(O301="",M301=""),"",M301-O301)</f>
        <v/>
      </c>
      <c r="R301" s="45" t="str">
        <f aca="false">IF(Q301="","",Q301*L301)</f>
        <v/>
      </c>
      <c r="S301" s="45" t="n">
        <f aca="false">N301-K301</f>
        <v>-940</v>
      </c>
      <c r="T301" s="46" t="s">
        <v>46</v>
      </c>
      <c r="U301" s="14"/>
      <c r="V301" s="23"/>
      <c r="W301" s="24" t="n">
        <f aca="false">L301</f>
        <v>1</v>
      </c>
      <c r="X301" s="25" t="n">
        <f aca="false">M301</f>
        <v>680</v>
      </c>
      <c r="Y301" s="5" t="n">
        <f aca="false">IF(OR(W301="",X301=""),0,W301*X301)</f>
        <v>680</v>
      </c>
    </row>
    <row r="302" customFormat="false" ht="26.85" hidden="false" customHeight="false" outlineLevel="0" collapsed="false">
      <c r="A302" s="23" t="s">
        <v>698</v>
      </c>
      <c r="B302" s="23" t="s">
        <v>799</v>
      </c>
      <c r="C302" s="14" t="s">
        <v>800</v>
      </c>
      <c r="D302" s="23" t="s">
        <v>141</v>
      </c>
      <c r="E302" s="24"/>
      <c r="F302" s="25"/>
      <c r="G302" s="25" t="str">
        <f aca="false">IF(E302="","",E302*F302)</f>
        <v/>
      </c>
      <c r="H302" s="25"/>
      <c r="I302" s="24" t="n">
        <v>2</v>
      </c>
      <c r="J302" s="25" t="n">
        <v>1944</v>
      </c>
      <c r="K302" s="25" t="n">
        <f aca="false">I302*J302</f>
        <v>3888</v>
      </c>
      <c r="L302" s="24" t="n">
        <v>2</v>
      </c>
      <c r="M302" s="25" t="n">
        <v>1020</v>
      </c>
      <c r="N302" s="25" t="n">
        <f aca="false">L302*M302</f>
        <v>2040</v>
      </c>
      <c r="O302" s="25"/>
      <c r="P302" s="14"/>
      <c r="Q302" s="44" t="str">
        <f aca="false">IF(OR(O302="",M302=""),"",M302-O302)</f>
        <v/>
      </c>
      <c r="R302" s="45" t="str">
        <f aca="false">IF(Q302="","",Q302*L302)</f>
        <v/>
      </c>
      <c r="S302" s="45" t="n">
        <f aca="false">N302-K302</f>
        <v>-1848</v>
      </c>
      <c r="T302" s="46" t="s">
        <v>46</v>
      </c>
      <c r="U302" s="14"/>
      <c r="V302" s="23"/>
      <c r="W302" s="24" t="n">
        <f aca="false">L302</f>
        <v>2</v>
      </c>
      <c r="X302" s="25" t="n">
        <f aca="false">M302</f>
        <v>1020</v>
      </c>
      <c r="Y302" s="5" t="n">
        <f aca="false">IF(OR(W302="",X302=""),0,W302*X302)</f>
        <v>2040</v>
      </c>
    </row>
    <row r="303" customFormat="false" ht="26.85" hidden="false" customHeight="false" outlineLevel="0" collapsed="false">
      <c r="A303" s="23" t="s">
        <v>698</v>
      </c>
      <c r="B303" s="23" t="s">
        <v>801</v>
      </c>
      <c r="C303" s="14" t="s">
        <v>802</v>
      </c>
      <c r="D303" s="23" t="s">
        <v>141</v>
      </c>
      <c r="E303" s="24"/>
      <c r="F303" s="25"/>
      <c r="G303" s="25" t="str">
        <f aca="false">IF(E303="","",E303*F303)</f>
        <v/>
      </c>
      <c r="H303" s="25"/>
      <c r="I303" s="24" t="n">
        <v>2</v>
      </c>
      <c r="J303" s="25" t="n">
        <v>2592</v>
      </c>
      <c r="K303" s="25" t="n">
        <f aca="false">I303*J303</f>
        <v>5184</v>
      </c>
      <c r="L303" s="24" t="n">
        <v>2</v>
      </c>
      <c r="M303" s="25" t="n">
        <v>1020</v>
      </c>
      <c r="N303" s="25" t="n">
        <f aca="false">L303*M303</f>
        <v>2040</v>
      </c>
      <c r="O303" s="25"/>
      <c r="P303" s="14"/>
      <c r="Q303" s="44" t="str">
        <f aca="false">IF(OR(O303="",M303=""),"",M303-O303)</f>
        <v/>
      </c>
      <c r="R303" s="45" t="str">
        <f aca="false">IF(Q303="","",Q303*L303)</f>
        <v/>
      </c>
      <c r="S303" s="45" t="n">
        <f aca="false">N303-K303</f>
        <v>-3144</v>
      </c>
      <c r="T303" s="46" t="s">
        <v>46</v>
      </c>
      <c r="U303" s="14"/>
      <c r="V303" s="23"/>
      <c r="W303" s="24" t="n">
        <f aca="false">L303</f>
        <v>2</v>
      </c>
      <c r="X303" s="25" t="n">
        <f aca="false">M303</f>
        <v>1020</v>
      </c>
      <c r="Y303" s="5" t="n">
        <f aca="false">IF(OR(W303="",X303=""),0,W303*X303)</f>
        <v>2040</v>
      </c>
    </row>
    <row r="304" customFormat="false" ht="39.55" hidden="false" customHeight="false" outlineLevel="0" collapsed="false">
      <c r="A304" s="23" t="s">
        <v>698</v>
      </c>
      <c r="B304" s="23" t="s">
        <v>803</v>
      </c>
      <c r="C304" s="14" t="s">
        <v>804</v>
      </c>
      <c r="D304" s="23" t="s">
        <v>141</v>
      </c>
      <c r="E304" s="24"/>
      <c r="F304" s="25"/>
      <c r="G304" s="25" t="str">
        <f aca="false">IF(E304="","",E304*F304)</f>
        <v/>
      </c>
      <c r="H304" s="25"/>
      <c r="I304" s="24" t="n">
        <v>5</v>
      </c>
      <c r="J304" s="25" t="n">
        <v>1020</v>
      </c>
      <c r="K304" s="25" t="n">
        <f aca="false">I304*J304</f>
        <v>5100</v>
      </c>
      <c r="L304" s="24" t="n">
        <v>5</v>
      </c>
      <c r="M304" s="25" t="n">
        <v>855</v>
      </c>
      <c r="N304" s="25" t="n">
        <f aca="false">L304*M304</f>
        <v>4275</v>
      </c>
      <c r="O304" s="25" t="n">
        <v>855</v>
      </c>
      <c r="P304" s="14" t="s">
        <v>495</v>
      </c>
      <c r="Q304" s="25" t="n">
        <f aca="false">IF(OR(O304="",M304=""),"",M304-O304)</f>
        <v>0</v>
      </c>
      <c r="R304" s="33" t="n">
        <f aca="false">IF(Q304="","",Q304*L304)</f>
        <v>0</v>
      </c>
      <c r="S304" s="33" t="n">
        <f aca="false">N304-K304</f>
        <v>-825</v>
      </c>
      <c r="T304" s="14" t="s">
        <v>42</v>
      </c>
      <c r="U304" s="14" t="s">
        <v>233</v>
      </c>
      <c r="V304" s="23"/>
      <c r="W304" s="24" t="n">
        <f aca="false">L304</f>
        <v>5</v>
      </c>
      <c r="X304" s="25" t="n">
        <f aca="false">M304</f>
        <v>855</v>
      </c>
      <c r="Y304" s="5" t="n">
        <f aca="false">IF(OR(W304="",X304=""),0,W304*X304)</f>
        <v>4275</v>
      </c>
    </row>
    <row r="305" customFormat="false" ht="26.85" hidden="false" customHeight="false" outlineLevel="0" collapsed="false">
      <c r="A305" s="23" t="s">
        <v>698</v>
      </c>
      <c r="B305" s="23" t="s">
        <v>805</v>
      </c>
      <c r="C305" s="14" t="s">
        <v>806</v>
      </c>
      <c r="D305" s="23" t="s">
        <v>141</v>
      </c>
      <c r="E305" s="24"/>
      <c r="F305" s="25"/>
      <c r="G305" s="25" t="str">
        <f aca="false">IF(E305="","",E305*F305)</f>
        <v/>
      </c>
      <c r="H305" s="25"/>
      <c r="I305" s="24" t="n">
        <v>2</v>
      </c>
      <c r="J305" s="25" t="n">
        <v>1944</v>
      </c>
      <c r="K305" s="25" t="n">
        <f aca="false">I305*J305</f>
        <v>3888</v>
      </c>
      <c r="L305" s="24" t="n">
        <v>2</v>
      </c>
      <c r="M305" s="25" t="n">
        <v>370</v>
      </c>
      <c r="N305" s="25" t="n">
        <f aca="false">L305*M305</f>
        <v>740</v>
      </c>
      <c r="O305" s="25"/>
      <c r="P305" s="14"/>
      <c r="Q305" s="44" t="str">
        <f aca="false">IF(OR(O305="",M305=""),"",M305-O305)</f>
        <v/>
      </c>
      <c r="R305" s="45" t="str">
        <f aca="false">IF(Q305="","",Q305*L305)</f>
        <v/>
      </c>
      <c r="S305" s="45" t="n">
        <f aca="false">N305-K305</f>
        <v>-3148</v>
      </c>
      <c r="T305" s="46" t="s">
        <v>46</v>
      </c>
      <c r="U305" s="14"/>
      <c r="V305" s="38" t="s">
        <v>807</v>
      </c>
      <c r="W305" s="39" t="n">
        <v>2</v>
      </c>
      <c r="X305" s="40" t="n">
        <v>855</v>
      </c>
      <c r="Y305" s="9" t="n">
        <f aca="false">IF(OR(W305="",X305=""),0,W305*X305)</f>
        <v>1710</v>
      </c>
    </row>
    <row r="306" customFormat="false" ht="26.85" hidden="false" customHeight="false" outlineLevel="0" collapsed="false">
      <c r="A306" s="23" t="s">
        <v>698</v>
      </c>
      <c r="B306" s="23" t="s">
        <v>808</v>
      </c>
      <c r="C306" s="14" t="s">
        <v>579</v>
      </c>
      <c r="D306" s="23" t="s">
        <v>141</v>
      </c>
      <c r="E306" s="24"/>
      <c r="F306" s="25"/>
      <c r="G306" s="25" t="str">
        <f aca="false">IF(E306="","",E306*F306)</f>
        <v/>
      </c>
      <c r="H306" s="25"/>
      <c r="I306" s="24" t="n">
        <v>20</v>
      </c>
      <c r="J306" s="25" t="n">
        <v>1020</v>
      </c>
      <c r="K306" s="25" t="n">
        <f aca="false">I306*J306</f>
        <v>20400</v>
      </c>
      <c r="L306" s="24" t="n">
        <v>20</v>
      </c>
      <c r="M306" s="25" t="n">
        <v>370</v>
      </c>
      <c r="N306" s="25" t="n">
        <f aca="false">L306*M306</f>
        <v>7400</v>
      </c>
      <c r="O306" s="25"/>
      <c r="P306" s="14"/>
      <c r="Q306" s="44" t="str">
        <f aca="false">IF(OR(O306="",M306=""),"",M306-O306)</f>
        <v/>
      </c>
      <c r="R306" s="45" t="str">
        <f aca="false">IF(Q306="","",Q306*L306)</f>
        <v/>
      </c>
      <c r="S306" s="45" t="n">
        <f aca="false">N306-K306</f>
        <v>-13000</v>
      </c>
      <c r="T306" s="46" t="s">
        <v>46</v>
      </c>
      <c r="U306" s="14"/>
      <c r="V306" s="38" t="s">
        <v>580</v>
      </c>
      <c r="W306" s="39" t="n">
        <v>20</v>
      </c>
      <c r="X306" s="40" t="n">
        <v>630</v>
      </c>
      <c r="Y306" s="9" t="n">
        <f aca="false">IF(OR(W306="",X306=""),0,W306*X306)</f>
        <v>12600</v>
      </c>
    </row>
    <row r="307" customFormat="false" ht="26.85" hidden="false" customHeight="false" outlineLevel="0" collapsed="false">
      <c r="A307" s="23" t="s">
        <v>698</v>
      </c>
      <c r="B307" s="23" t="s">
        <v>809</v>
      </c>
      <c r="C307" s="14" t="s">
        <v>582</v>
      </c>
      <c r="D307" s="23" t="s">
        <v>141</v>
      </c>
      <c r="E307" s="24"/>
      <c r="F307" s="25"/>
      <c r="G307" s="25" t="str">
        <f aca="false">IF(E307="","",E307*F307)</f>
        <v/>
      </c>
      <c r="H307" s="25"/>
      <c r="I307" s="24" t="n">
        <v>20</v>
      </c>
      <c r="J307" s="25" t="n">
        <v>1020</v>
      </c>
      <c r="K307" s="25" t="n">
        <f aca="false">I307*J307</f>
        <v>20400</v>
      </c>
      <c r="L307" s="24" t="n">
        <v>20</v>
      </c>
      <c r="M307" s="25" t="n">
        <v>370</v>
      </c>
      <c r="N307" s="25" t="n">
        <f aca="false">L307*M307</f>
        <v>7400</v>
      </c>
      <c r="O307" s="25"/>
      <c r="P307" s="14"/>
      <c r="Q307" s="44" t="str">
        <f aca="false">IF(OR(O307="",M307=""),"",M307-O307)</f>
        <v/>
      </c>
      <c r="R307" s="45" t="str">
        <f aca="false">IF(Q307="","",Q307*L307)</f>
        <v/>
      </c>
      <c r="S307" s="45" t="n">
        <f aca="false">N307-K307</f>
        <v>-13000</v>
      </c>
      <c r="T307" s="46" t="s">
        <v>46</v>
      </c>
      <c r="U307" s="14"/>
      <c r="V307" s="38" t="s">
        <v>580</v>
      </c>
      <c r="W307" s="39" t="n">
        <v>20</v>
      </c>
      <c r="X307" s="40" t="n">
        <v>630</v>
      </c>
      <c r="Y307" s="9" t="n">
        <f aca="false">IF(OR(W307="",X307=""),0,W307*X307)</f>
        <v>12600</v>
      </c>
    </row>
    <row r="308" customFormat="false" ht="26.85" hidden="false" customHeight="false" outlineLevel="0" collapsed="false">
      <c r="A308" s="23" t="s">
        <v>698</v>
      </c>
      <c r="B308" s="23" t="s">
        <v>810</v>
      </c>
      <c r="C308" s="14" t="s">
        <v>584</v>
      </c>
      <c r="D308" s="23" t="s">
        <v>141</v>
      </c>
      <c r="E308" s="24"/>
      <c r="F308" s="25"/>
      <c r="G308" s="25" t="str">
        <f aca="false">IF(E308="","",E308*F308)</f>
        <v/>
      </c>
      <c r="H308" s="25"/>
      <c r="I308" s="24" t="n">
        <v>10</v>
      </c>
      <c r="J308" s="25" t="n">
        <v>1020</v>
      </c>
      <c r="K308" s="25" t="n">
        <f aca="false">I308*J308</f>
        <v>10200</v>
      </c>
      <c r="L308" s="24" t="n">
        <v>10</v>
      </c>
      <c r="M308" s="25" t="n">
        <v>370</v>
      </c>
      <c r="N308" s="25" t="n">
        <f aca="false">L308*M308</f>
        <v>3700</v>
      </c>
      <c r="O308" s="25"/>
      <c r="P308" s="14"/>
      <c r="Q308" s="44" t="str">
        <f aca="false">IF(OR(O308="",M308=""),"",M308-O308)</f>
        <v/>
      </c>
      <c r="R308" s="45" t="str">
        <f aca="false">IF(Q308="","",Q308*L308)</f>
        <v/>
      </c>
      <c r="S308" s="45" t="n">
        <f aca="false">N308-K308</f>
        <v>-6500</v>
      </c>
      <c r="T308" s="46" t="s">
        <v>46</v>
      </c>
      <c r="U308" s="14"/>
      <c r="V308" s="38" t="s">
        <v>580</v>
      </c>
      <c r="W308" s="39" t="n">
        <v>10</v>
      </c>
      <c r="X308" s="40" t="n">
        <v>630</v>
      </c>
      <c r="Y308" s="9" t="n">
        <f aca="false">IF(OR(W308="",X308=""),0,W308*X308)</f>
        <v>6300</v>
      </c>
    </row>
    <row r="309" customFormat="false" ht="26.85" hidden="false" customHeight="false" outlineLevel="0" collapsed="false">
      <c r="A309" s="23" t="s">
        <v>698</v>
      </c>
      <c r="B309" s="23" t="s">
        <v>811</v>
      </c>
      <c r="C309" s="14" t="s">
        <v>586</v>
      </c>
      <c r="D309" s="23" t="s">
        <v>141</v>
      </c>
      <c r="E309" s="24"/>
      <c r="F309" s="25"/>
      <c r="G309" s="25" t="str">
        <f aca="false">IF(E309="","",E309*F309)</f>
        <v/>
      </c>
      <c r="H309" s="25"/>
      <c r="I309" s="24" t="n">
        <v>10</v>
      </c>
      <c r="J309" s="25" t="n">
        <v>1020</v>
      </c>
      <c r="K309" s="25" t="n">
        <f aca="false">I309*J309</f>
        <v>10200</v>
      </c>
      <c r="L309" s="24" t="n">
        <v>10</v>
      </c>
      <c r="M309" s="25" t="n">
        <v>370</v>
      </c>
      <c r="N309" s="25" t="n">
        <f aca="false">L309*M309</f>
        <v>3700</v>
      </c>
      <c r="O309" s="25"/>
      <c r="P309" s="14"/>
      <c r="Q309" s="44" t="str">
        <f aca="false">IF(OR(O309="",M309=""),"",M309-O309)</f>
        <v/>
      </c>
      <c r="R309" s="45" t="str">
        <f aca="false">IF(Q309="","",Q309*L309)</f>
        <v/>
      </c>
      <c r="S309" s="45" t="n">
        <f aca="false">N309-K309</f>
        <v>-6500</v>
      </c>
      <c r="T309" s="46" t="s">
        <v>46</v>
      </c>
      <c r="U309" s="14"/>
      <c r="V309" s="38" t="s">
        <v>580</v>
      </c>
      <c r="W309" s="39" t="n">
        <v>10</v>
      </c>
      <c r="X309" s="40" t="n">
        <v>630</v>
      </c>
      <c r="Y309" s="9" t="n">
        <f aca="false">IF(OR(W309="",X309=""),0,W309*X309)</f>
        <v>6300</v>
      </c>
    </row>
    <row r="310" customFormat="false" ht="26.85" hidden="false" customHeight="false" outlineLevel="0" collapsed="false">
      <c r="A310" s="23" t="s">
        <v>698</v>
      </c>
      <c r="B310" s="23" t="s">
        <v>812</v>
      </c>
      <c r="C310" s="14" t="s">
        <v>588</v>
      </c>
      <c r="D310" s="23" t="s">
        <v>141</v>
      </c>
      <c r="E310" s="24"/>
      <c r="F310" s="25"/>
      <c r="G310" s="25" t="str">
        <f aca="false">IF(E310="","",E310*F310)</f>
        <v/>
      </c>
      <c r="H310" s="25"/>
      <c r="I310" s="24" t="n">
        <v>1</v>
      </c>
      <c r="J310" s="25" t="n">
        <v>1296</v>
      </c>
      <c r="K310" s="25" t="n">
        <f aca="false">I310*J310</f>
        <v>1296</v>
      </c>
      <c r="L310" s="24" t="n">
        <v>1</v>
      </c>
      <c r="M310" s="25" t="n">
        <v>1296</v>
      </c>
      <c r="N310" s="25" t="n">
        <f aca="false">L310*M310</f>
        <v>1296</v>
      </c>
      <c r="O310" s="25"/>
      <c r="P310" s="14"/>
      <c r="Q310" s="25" t="str">
        <f aca="false">IF(OR(O310="",M310=""),"",M310-O310)</f>
        <v/>
      </c>
      <c r="R310" s="33" t="str">
        <f aca="false">IF(Q310="","",Q310*L310)</f>
        <v/>
      </c>
      <c r="S310" s="33" t="n">
        <f aca="false">N310-K310</f>
        <v>0</v>
      </c>
      <c r="T310" s="14" t="s">
        <v>338</v>
      </c>
      <c r="U310" s="14"/>
      <c r="V310" s="23"/>
      <c r="W310" s="24" t="n">
        <f aca="false">L310</f>
        <v>1</v>
      </c>
      <c r="X310" s="25" t="n">
        <f aca="false">M310</f>
        <v>1296</v>
      </c>
      <c r="Y310" s="5" t="n">
        <f aca="false">IF(OR(W310="",X310=""),0,W310*X310)</f>
        <v>1296</v>
      </c>
    </row>
    <row r="311" customFormat="false" ht="26.85" hidden="false" customHeight="false" outlineLevel="0" collapsed="false">
      <c r="A311" s="23" t="s">
        <v>698</v>
      </c>
      <c r="B311" s="23" t="s">
        <v>813</v>
      </c>
      <c r="C311" s="14" t="s">
        <v>590</v>
      </c>
      <c r="D311" s="23" t="s">
        <v>141</v>
      </c>
      <c r="E311" s="24"/>
      <c r="F311" s="25"/>
      <c r="G311" s="25" t="str">
        <f aca="false">IF(E311="","",E311*F311)</f>
        <v/>
      </c>
      <c r="H311" s="25"/>
      <c r="I311" s="24" t="n">
        <v>1</v>
      </c>
      <c r="J311" s="25" t="n">
        <v>3240</v>
      </c>
      <c r="K311" s="25" t="n">
        <f aca="false">I311*J311</f>
        <v>3240</v>
      </c>
      <c r="L311" s="24" t="n">
        <v>1</v>
      </c>
      <c r="M311" s="25" t="n">
        <v>3240</v>
      </c>
      <c r="N311" s="25" t="n">
        <f aca="false">L311*M311</f>
        <v>3240</v>
      </c>
      <c r="O311" s="25"/>
      <c r="P311" s="14"/>
      <c r="Q311" s="25" t="str">
        <f aca="false">IF(OR(O311="",M311=""),"",M311-O311)</f>
        <v/>
      </c>
      <c r="R311" s="33" t="str">
        <f aca="false">IF(Q311="","",Q311*L311)</f>
        <v/>
      </c>
      <c r="S311" s="33" t="n">
        <f aca="false">N311-K311</f>
        <v>0</v>
      </c>
      <c r="T311" s="14" t="s">
        <v>338</v>
      </c>
      <c r="U311" s="14"/>
      <c r="V311" s="23"/>
      <c r="W311" s="24" t="n">
        <f aca="false">L311</f>
        <v>1</v>
      </c>
      <c r="X311" s="25" t="n">
        <f aca="false">M311</f>
        <v>3240</v>
      </c>
      <c r="Y311" s="5" t="n">
        <f aca="false">IF(OR(W311="",X311=""),0,W311*X311)</f>
        <v>3240</v>
      </c>
    </row>
    <row r="312" customFormat="false" ht="26.85" hidden="false" customHeight="false" outlineLevel="0" collapsed="false">
      <c r="A312" s="23" t="s">
        <v>698</v>
      </c>
      <c r="B312" s="23" t="s">
        <v>814</v>
      </c>
      <c r="C312" s="14" t="s">
        <v>815</v>
      </c>
      <c r="D312" s="23" t="s">
        <v>356</v>
      </c>
      <c r="E312" s="24"/>
      <c r="F312" s="25"/>
      <c r="G312" s="25" t="str">
        <f aca="false">IF(E312="","",E312*F312)</f>
        <v/>
      </c>
      <c r="H312" s="25"/>
      <c r="I312" s="24" t="n">
        <v>1</v>
      </c>
      <c r="J312" s="25" t="n">
        <v>388800</v>
      </c>
      <c r="K312" s="25" t="n">
        <f aca="false">I312*J312</f>
        <v>388800</v>
      </c>
      <c r="L312" s="24" t="n">
        <v>0</v>
      </c>
      <c r="M312" s="25"/>
      <c r="N312" s="25" t="n">
        <f aca="false">L312*M312</f>
        <v>0</v>
      </c>
      <c r="O312" s="25"/>
      <c r="P312" s="14"/>
      <c r="Q312" s="22" t="str">
        <f aca="false">IF(OR(O312="",M312=""),"",M312-O312)</f>
        <v/>
      </c>
      <c r="R312" s="37" t="str">
        <f aca="false">IF(Q312="","",Q312*L312)</f>
        <v/>
      </c>
      <c r="S312" s="37" t="n">
        <f aca="false">N312-K312</f>
        <v>-388800</v>
      </c>
      <c r="T312" s="13" t="s">
        <v>36</v>
      </c>
      <c r="U312" s="14"/>
      <c r="V312" s="38" t="s">
        <v>694</v>
      </c>
      <c r="W312" s="39" t="n">
        <v>1</v>
      </c>
      <c r="X312" s="40" t="n">
        <v>388800</v>
      </c>
      <c r="Y312" s="9" t="n">
        <f aca="false">IF(OR(W312="",X312=""),0,W312*X312)</f>
        <v>388800</v>
      </c>
    </row>
    <row r="313" customFormat="false" ht="26.85" hidden="false" customHeight="false" outlineLevel="0" collapsed="false">
      <c r="A313" s="23" t="s">
        <v>698</v>
      </c>
      <c r="B313" s="23" t="s">
        <v>816</v>
      </c>
      <c r="C313" s="14" t="s">
        <v>593</v>
      </c>
      <c r="D313" s="23" t="s">
        <v>194</v>
      </c>
      <c r="E313" s="24"/>
      <c r="F313" s="25"/>
      <c r="G313" s="25" t="str">
        <f aca="false">IF(E313="","",E313*F313)</f>
        <v/>
      </c>
      <c r="H313" s="25"/>
      <c r="I313" s="24" t="n">
        <v>150</v>
      </c>
      <c r="J313" s="25" t="n">
        <v>1092</v>
      </c>
      <c r="K313" s="25" t="n">
        <f aca="false">I313*J313</f>
        <v>163800</v>
      </c>
      <c r="L313" s="24" t="n">
        <v>150</v>
      </c>
      <c r="M313" s="25" t="n">
        <v>800</v>
      </c>
      <c r="N313" s="25" t="n">
        <f aca="false">L313*M313</f>
        <v>120000</v>
      </c>
      <c r="O313" s="25" t="n">
        <v>665.89</v>
      </c>
      <c r="P313" s="14" t="s">
        <v>594</v>
      </c>
      <c r="Q313" s="25" t="n">
        <f aca="false">IF(OR(O313="",M313=""),"",M313-O313)</f>
        <v>134.11</v>
      </c>
      <c r="R313" s="33" t="n">
        <f aca="false">IF(Q313="","",Q313*L313)</f>
        <v>20116.5</v>
      </c>
      <c r="S313" s="33" t="n">
        <f aca="false">N313-K313</f>
        <v>-43800</v>
      </c>
      <c r="T313" s="14" t="s">
        <v>44</v>
      </c>
      <c r="U313" s="14"/>
      <c r="V313" s="38" t="s">
        <v>351</v>
      </c>
      <c r="W313" s="39" t="n">
        <v>150</v>
      </c>
      <c r="X313" s="40" t="n">
        <v>1092</v>
      </c>
      <c r="Y313" s="9" t="n">
        <f aca="false">IF(OR(W313="",X313=""),0,W313*X313)</f>
        <v>163800</v>
      </c>
    </row>
    <row r="314" customFormat="false" ht="26.85" hidden="false" customHeight="false" outlineLevel="0" collapsed="false">
      <c r="A314" s="23" t="s">
        <v>698</v>
      </c>
      <c r="B314" s="23" t="s">
        <v>817</v>
      </c>
      <c r="C314" s="14" t="s">
        <v>596</v>
      </c>
      <c r="D314" s="23" t="s">
        <v>363</v>
      </c>
      <c r="E314" s="24"/>
      <c r="F314" s="25"/>
      <c r="G314" s="25" t="str">
        <f aca="false">IF(E314="","",E314*F314)</f>
        <v/>
      </c>
      <c r="H314" s="25"/>
      <c r="I314" s="24" t="n">
        <v>80</v>
      </c>
      <c r="J314" s="25" t="n">
        <v>1020</v>
      </c>
      <c r="K314" s="25" t="n">
        <f aca="false">I314*J314</f>
        <v>81600</v>
      </c>
      <c r="L314" s="24" t="n">
        <v>80</v>
      </c>
      <c r="M314" s="25" t="n">
        <v>800</v>
      </c>
      <c r="N314" s="25" t="n">
        <f aca="false">L314*M314</f>
        <v>64000</v>
      </c>
      <c r="O314" s="25"/>
      <c r="P314" s="14"/>
      <c r="Q314" s="44" t="str">
        <f aca="false">IF(OR(O314="",M314=""),"",M314-O314)</f>
        <v/>
      </c>
      <c r="R314" s="45" t="str">
        <f aca="false">IF(Q314="","",Q314*L314)</f>
        <v/>
      </c>
      <c r="S314" s="45" t="n">
        <f aca="false">N314-K314</f>
        <v>-17600</v>
      </c>
      <c r="T314" s="46" t="s">
        <v>46</v>
      </c>
      <c r="U314" s="14" t="s">
        <v>597</v>
      </c>
      <c r="V314" s="38" t="s">
        <v>351</v>
      </c>
      <c r="W314" s="39" t="n">
        <v>80</v>
      </c>
      <c r="X314" s="40" t="n">
        <v>1020</v>
      </c>
      <c r="Y314" s="9" t="n">
        <f aca="false">IF(OR(W314="",X314=""),0,W314*X314)</f>
        <v>81600</v>
      </c>
    </row>
    <row r="315" customFormat="false" ht="26.85" hidden="false" customHeight="false" outlineLevel="0" collapsed="false">
      <c r="A315" s="23" t="s">
        <v>698</v>
      </c>
      <c r="B315" s="23" t="s">
        <v>818</v>
      </c>
      <c r="C315" s="14" t="s">
        <v>819</v>
      </c>
      <c r="D315" s="23" t="s">
        <v>356</v>
      </c>
      <c r="E315" s="24"/>
      <c r="F315" s="25"/>
      <c r="G315" s="25" t="str">
        <f aca="false">IF(E315="","",E315*F315)</f>
        <v/>
      </c>
      <c r="H315" s="25"/>
      <c r="I315" s="24" t="n">
        <v>1</v>
      </c>
      <c r="J315" s="25" t="n">
        <v>162000</v>
      </c>
      <c r="K315" s="25" t="n">
        <f aca="false">I315*J315</f>
        <v>162000</v>
      </c>
      <c r="L315" s="24" t="n">
        <v>1</v>
      </c>
      <c r="M315" s="25" t="n">
        <v>95000</v>
      </c>
      <c r="N315" s="25" t="n">
        <f aca="false">L315*M315</f>
        <v>95000</v>
      </c>
      <c r="O315" s="25"/>
      <c r="P315" s="14"/>
      <c r="Q315" s="44" t="str">
        <f aca="false">IF(OR(O315="",M315=""),"",M315-O315)</f>
        <v/>
      </c>
      <c r="R315" s="45" t="str">
        <f aca="false">IF(Q315="","",Q315*L315)</f>
        <v/>
      </c>
      <c r="S315" s="45" t="n">
        <f aca="false">N315-K315</f>
        <v>-67000</v>
      </c>
      <c r="T315" s="46" t="s">
        <v>46</v>
      </c>
      <c r="U315" s="14" t="s">
        <v>600</v>
      </c>
      <c r="V315" s="23"/>
      <c r="W315" s="24" t="n">
        <f aca="false">L315</f>
        <v>1</v>
      </c>
      <c r="X315" s="25" t="n">
        <f aca="false">M315</f>
        <v>95000</v>
      </c>
      <c r="Y315" s="5" t="n">
        <f aca="false">IF(OR(W315="",X315=""),0,W315*X315)</f>
        <v>95000</v>
      </c>
    </row>
    <row r="316" customFormat="false" ht="15" hidden="false" customHeight="false" outlineLevel="0" collapsed="false">
      <c r="A316" s="31"/>
      <c r="B316" s="32" t="s">
        <v>820</v>
      </c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 customFormat="false" ht="26.85" hidden="false" customHeight="false" outlineLevel="0" collapsed="false">
      <c r="A317" s="23" t="s">
        <v>821</v>
      </c>
      <c r="B317" s="23" t="s">
        <v>822</v>
      </c>
      <c r="C317" s="14" t="s">
        <v>604</v>
      </c>
      <c r="D317" s="23" t="s">
        <v>194</v>
      </c>
      <c r="E317" s="24"/>
      <c r="F317" s="25"/>
      <c r="G317" s="25" t="str">
        <f aca="false">IF(E317="","",E317*F317)</f>
        <v/>
      </c>
      <c r="H317" s="25"/>
      <c r="I317" s="24" t="n">
        <v>168</v>
      </c>
      <c r="J317" s="25" t="n">
        <v>2560</v>
      </c>
      <c r="K317" s="25" t="n">
        <f aca="false">I317*J317</f>
        <v>430080</v>
      </c>
      <c r="L317" s="24" t="n">
        <v>168</v>
      </c>
      <c r="M317" s="25"/>
      <c r="N317" s="25" t="n">
        <f aca="false">L317*M317</f>
        <v>0</v>
      </c>
      <c r="O317" s="25"/>
      <c r="P317" s="14"/>
      <c r="Q317" s="47" t="str">
        <f aca="false">IF(OR(O317="",M317=""),"",M317-O317)</f>
        <v/>
      </c>
      <c r="R317" s="48" t="str">
        <f aca="false">IF(Q317="","",Q317*L317)</f>
        <v/>
      </c>
      <c r="S317" s="48" t="n">
        <f aca="false">N317-K317</f>
        <v>-430080</v>
      </c>
      <c r="T317" s="49" t="s">
        <v>38</v>
      </c>
      <c r="U317" s="14" t="s">
        <v>605</v>
      </c>
      <c r="V317" s="38" t="s">
        <v>606</v>
      </c>
      <c r="W317" s="39" t="n">
        <v>168</v>
      </c>
      <c r="X317" s="40" t="n">
        <v>2560</v>
      </c>
      <c r="Y317" s="9" t="n">
        <f aca="false">IF(OR(W317="",X317=""),0,W317*X317)</f>
        <v>430080</v>
      </c>
    </row>
    <row r="318" customFormat="false" ht="26.85" hidden="false" customHeight="false" outlineLevel="0" collapsed="false">
      <c r="A318" s="23" t="s">
        <v>821</v>
      </c>
      <c r="B318" s="23" t="s">
        <v>823</v>
      </c>
      <c r="C318" s="14" t="s">
        <v>608</v>
      </c>
      <c r="D318" s="23" t="s">
        <v>194</v>
      </c>
      <c r="E318" s="24"/>
      <c r="F318" s="25"/>
      <c r="G318" s="25" t="str">
        <f aca="false">IF(E318="","",E318*F318)</f>
        <v/>
      </c>
      <c r="H318" s="25"/>
      <c r="I318" s="24" t="n">
        <v>186</v>
      </c>
      <c r="J318" s="25" t="n">
        <v>1440</v>
      </c>
      <c r="K318" s="25" t="n">
        <f aca="false">I318*J318</f>
        <v>267840</v>
      </c>
      <c r="L318" s="24" t="n">
        <v>186</v>
      </c>
      <c r="M318" s="25"/>
      <c r="N318" s="25" t="n">
        <f aca="false">L318*M318</f>
        <v>0</v>
      </c>
      <c r="O318" s="25"/>
      <c r="P318" s="14"/>
      <c r="Q318" s="47" t="str">
        <f aca="false">IF(OR(O318="",M318=""),"",M318-O318)</f>
        <v/>
      </c>
      <c r="R318" s="48" t="str">
        <f aca="false">IF(Q318="","",Q318*L318)</f>
        <v/>
      </c>
      <c r="S318" s="48" t="n">
        <f aca="false">N318-K318</f>
        <v>-267840</v>
      </c>
      <c r="T318" s="49" t="s">
        <v>38</v>
      </c>
      <c r="U318" s="14" t="s">
        <v>605</v>
      </c>
      <c r="V318" s="38" t="s">
        <v>606</v>
      </c>
      <c r="W318" s="39" t="n">
        <v>186</v>
      </c>
      <c r="X318" s="40" t="n">
        <v>1440</v>
      </c>
      <c r="Y318" s="9" t="n">
        <f aca="false">IF(OR(W318="",X318=""),0,W318*X318)</f>
        <v>267840</v>
      </c>
    </row>
    <row r="319" customFormat="false" ht="26.85" hidden="false" customHeight="false" outlineLevel="0" collapsed="false">
      <c r="A319" s="23" t="s">
        <v>821</v>
      </c>
      <c r="B319" s="23" t="s">
        <v>824</v>
      </c>
      <c r="C319" s="14" t="s">
        <v>610</v>
      </c>
      <c r="D319" s="23" t="s">
        <v>141</v>
      </c>
      <c r="E319" s="24"/>
      <c r="F319" s="25"/>
      <c r="G319" s="25" t="str">
        <f aca="false">IF(E319="","",E319*F319)</f>
        <v/>
      </c>
      <c r="H319" s="25"/>
      <c r="I319" s="24" t="n">
        <v>3</v>
      </c>
      <c r="J319" s="25" t="n">
        <v>9600</v>
      </c>
      <c r="K319" s="25" t="n">
        <f aca="false">I319*J319</f>
        <v>28800</v>
      </c>
      <c r="L319" s="24" t="n">
        <v>3</v>
      </c>
      <c r="M319" s="25"/>
      <c r="N319" s="25" t="n">
        <f aca="false">L319*M319</f>
        <v>0</v>
      </c>
      <c r="O319" s="25"/>
      <c r="P319" s="14"/>
      <c r="Q319" s="47" t="str">
        <f aca="false">IF(OR(O319="",M319=""),"",M319-O319)</f>
        <v/>
      </c>
      <c r="R319" s="48" t="str">
        <f aca="false">IF(Q319="","",Q319*L319)</f>
        <v/>
      </c>
      <c r="S319" s="48" t="n">
        <f aca="false">N319-K319</f>
        <v>-28800</v>
      </c>
      <c r="T319" s="49" t="s">
        <v>38</v>
      </c>
      <c r="U319" s="14" t="s">
        <v>605</v>
      </c>
      <c r="V319" s="38" t="s">
        <v>606</v>
      </c>
      <c r="W319" s="39" t="n">
        <v>3</v>
      </c>
      <c r="X319" s="40" t="n">
        <v>9600</v>
      </c>
      <c r="Y319" s="9" t="n">
        <f aca="false">IF(OR(W319="",X319=""),0,W319*X319)</f>
        <v>28800</v>
      </c>
    </row>
    <row r="320" customFormat="false" ht="26.85" hidden="false" customHeight="false" outlineLevel="0" collapsed="false">
      <c r="A320" s="23" t="s">
        <v>821</v>
      </c>
      <c r="B320" s="23" t="s">
        <v>825</v>
      </c>
      <c r="C320" s="14" t="s">
        <v>612</v>
      </c>
      <c r="D320" s="23" t="s">
        <v>141</v>
      </c>
      <c r="E320" s="24"/>
      <c r="F320" s="25"/>
      <c r="G320" s="25" t="str">
        <f aca="false">IF(E320="","",E320*F320)</f>
        <v/>
      </c>
      <c r="H320" s="25"/>
      <c r="I320" s="24" t="n">
        <v>6</v>
      </c>
      <c r="J320" s="25" t="n">
        <v>8000</v>
      </c>
      <c r="K320" s="25" t="n">
        <f aca="false">I320*J320</f>
        <v>48000</v>
      </c>
      <c r="L320" s="24" t="n">
        <v>6</v>
      </c>
      <c r="M320" s="25"/>
      <c r="N320" s="25" t="n">
        <f aca="false">L320*M320</f>
        <v>0</v>
      </c>
      <c r="O320" s="25"/>
      <c r="P320" s="14"/>
      <c r="Q320" s="47" t="str">
        <f aca="false">IF(OR(O320="",M320=""),"",M320-O320)</f>
        <v/>
      </c>
      <c r="R320" s="48" t="str">
        <f aca="false">IF(Q320="","",Q320*L320)</f>
        <v/>
      </c>
      <c r="S320" s="48" t="n">
        <f aca="false">N320-K320</f>
        <v>-48000</v>
      </c>
      <c r="T320" s="49" t="s">
        <v>38</v>
      </c>
      <c r="U320" s="14" t="s">
        <v>605</v>
      </c>
      <c r="V320" s="38" t="s">
        <v>606</v>
      </c>
      <c r="W320" s="39" t="n">
        <v>6</v>
      </c>
      <c r="X320" s="40" t="n">
        <v>8000</v>
      </c>
      <c r="Y320" s="9" t="n">
        <f aca="false">IF(OR(W320="",X320=""),0,W320*X320)</f>
        <v>48000</v>
      </c>
    </row>
    <row r="321" customFormat="false" ht="15" hidden="false" customHeight="false" outlineLevel="0" collapsed="false">
      <c r="A321" s="31"/>
      <c r="B321" s="32" t="s">
        <v>826</v>
      </c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 customFormat="false" ht="26.85" hidden="false" customHeight="false" outlineLevel="0" collapsed="false">
      <c r="A322" s="23" t="s">
        <v>827</v>
      </c>
      <c r="B322" s="23" t="s">
        <v>700</v>
      </c>
      <c r="C322" s="14" t="s">
        <v>828</v>
      </c>
      <c r="D322" s="23" t="s">
        <v>141</v>
      </c>
      <c r="E322" s="24"/>
      <c r="F322" s="25"/>
      <c r="G322" s="25" t="str">
        <f aca="false">IF(E322="","",E322*F322)</f>
        <v/>
      </c>
      <c r="H322" s="25"/>
      <c r="I322" s="24" t="n">
        <v>31</v>
      </c>
      <c r="J322" s="25" t="n">
        <v>29160</v>
      </c>
      <c r="K322" s="25" t="n">
        <f aca="false">I322*J322</f>
        <v>903960</v>
      </c>
      <c r="L322" s="24" t="n">
        <v>31</v>
      </c>
      <c r="M322" s="25" t="n">
        <v>14000</v>
      </c>
      <c r="N322" s="25" t="n">
        <f aca="false">L322*M322</f>
        <v>434000</v>
      </c>
      <c r="O322" s="25"/>
      <c r="P322" s="14"/>
      <c r="Q322" s="44" t="str">
        <f aca="false">IF(OR(O322="",M322=""),"",M322-O322)</f>
        <v/>
      </c>
      <c r="R322" s="45" t="str">
        <f aca="false">IF(Q322="","",Q322*L322)</f>
        <v/>
      </c>
      <c r="S322" s="45" t="n">
        <f aca="false">N322-K322</f>
        <v>-469960</v>
      </c>
      <c r="T322" s="46" t="s">
        <v>46</v>
      </c>
      <c r="U322" s="14"/>
      <c r="V322" s="38" t="s">
        <v>618</v>
      </c>
      <c r="W322" s="39" t="n">
        <v>31</v>
      </c>
      <c r="X322" s="40" t="n">
        <v>29160</v>
      </c>
      <c r="Y322" s="9" t="n">
        <f aca="false">IF(OR(W322="",X322=""),0,W322*X322)</f>
        <v>903960</v>
      </c>
    </row>
    <row r="323" customFormat="false" ht="26.85" hidden="false" customHeight="false" outlineLevel="0" collapsed="false">
      <c r="A323" s="23" t="s">
        <v>827</v>
      </c>
      <c r="B323" s="23" t="s">
        <v>580</v>
      </c>
      <c r="C323" s="14" t="s">
        <v>829</v>
      </c>
      <c r="D323" s="23" t="s">
        <v>141</v>
      </c>
      <c r="E323" s="24"/>
      <c r="F323" s="25"/>
      <c r="G323" s="25" t="str">
        <f aca="false">IF(E323="","",E323*F323)</f>
        <v/>
      </c>
      <c r="H323" s="25"/>
      <c r="I323" s="24" t="n">
        <v>31</v>
      </c>
      <c r="J323" s="25" t="n">
        <v>5670</v>
      </c>
      <c r="K323" s="25" t="n">
        <f aca="false">I323*J323</f>
        <v>175770</v>
      </c>
      <c r="L323" s="24" t="n">
        <v>0</v>
      </c>
      <c r="M323" s="25"/>
      <c r="N323" s="25" t="n">
        <f aca="false">L323*M323</f>
        <v>0</v>
      </c>
      <c r="O323" s="25"/>
      <c r="P323" s="14"/>
      <c r="Q323" s="22" t="str">
        <f aca="false">IF(OR(O323="",M323=""),"",M323-O323)</f>
        <v/>
      </c>
      <c r="R323" s="37" t="str">
        <f aca="false">IF(Q323="","",Q323*L323)</f>
        <v/>
      </c>
      <c r="S323" s="37" t="n">
        <f aca="false">N323-K323</f>
        <v>-175770</v>
      </c>
      <c r="T323" s="13" t="s">
        <v>36</v>
      </c>
      <c r="U323" s="14"/>
      <c r="V323" s="38" t="s">
        <v>694</v>
      </c>
      <c r="W323" s="39" t="n">
        <v>31</v>
      </c>
      <c r="X323" s="40" t="n">
        <v>5670</v>
      </c>
      <c r="Y323" s="9" t="n">
        <f aca="false">IF(OR(W323="",X323=""),0,W323*X323)</f>
        <v>175770</v>
      </c>
    </row>
    <row r="324" customFormat="false" ht="26.85" hidden="false" customHeight="false" outlineLevel="0" collapsed="false">
      <c r="A324" s="23" t="s">
        <v>827</v>
      </c>
      <c r="B324" s="23" t="s">
        <v>539</v>
      </c>
      <c r="C324" s="14" t="s">
        <v>620</v>
      </c>
      <c r="D324" s="23" t="s">
        <v>141</v>
      </c>
      <c r="E324" s="24"/>
      <c r="F324" s="25"/>
      <c r="G324" s="25" t="str">
        <f aca="false">IF(E324="","",E324*F324)</f>
        <v/>
      </c>
      <c r="H324" s="25"/>
      <c r="I324" s="24" t="n">
        <v>4</v>
      </c>
      <c r="J324" s="25" t="n">
        <v>1620</v>
      </c>
      <c r="K324" s="25" t="n">
        <f aca="false">I324*J324</f>
        <v>6480</v>
      </c>
      <c r="L324" s="24" t="n">
        <v>4</v>
      </c>
      <c r="M324" s="25" t="n">
        <v>1620</v>
      </c>
      <c r="N324" s="25" t="n">
        <f aca="false">L324*M324</f>
        <v>6480</v>
      </c>
      <c r="O324" s="25" t="n">
        <v>1710</v>
      </c>
      <c r="P324" s="14" t="s">
        <v>621</v>
      </c>
      <c r="Q324" s="25" t="n">
        <f aca="false">IF(OR(O324="",M324=""),"",M324-O324)</f>
        <v>-90</v>
      </c>
      <c r="R324" s="33" t="n">
        <f aca="false">IF(Q324="","",Q324*L324)</f>
        <v>-360</v>
      </c>
      <c r="S324" s="33" t="n">
        <f aca="false">N324-K324</f>
        <v>0</v>
      </c>
      <c r="T324" s="14" t="s">
        <v>418</v>
      </c>
      <c r="U324" s="14"/>
      <c r="V324" s="23"/>
      <c r="W324" s="24" t="n">
        <f aca="false">L324</f>
        <v>4</v>
      </c>
      <c r="X324" s="25" t="n">
        <f aca="false">M324</f>
        <v>1620</v>
      </c>
      <c r="Y324" s="5" t="n">
        <f aca="false">IF(OR(W324="",X324=""),0,W324*X324)</f>
        <v>6480</v>
      </c>
    </row>
    <row r="325" customFormat="false" ht="39.55" hidden="false" customHeight="false" outlineLevel="0" collapsed="false">
      <c r="A325" s="23" t="s">
        <v>827</v>
      </c>
      <c r="B325" s="23" t="s">
        <v>740</v>
      </c>
      <c r="C325" s="14" t="s">
        <v>623</v>
      </c>
      <c r="D325" s="23" t="s">
        <v>141</v>
      </c>
      <c r="E325" s="24"/>
      <c r="F325" s="25"/>
      <c r="G325" s="25" t="str">
        <f aca="false">IF(E325="","",E325*F325)</f>
        <v/>
      </c>
      <c r="H325" s="25"/>
      <c r="I325" s="24" t="n">
        <v>4</v>
      </c>
      <c r="J325" s="25" t="n">
        <v>1620</v>
      </c>
      <c r="K325" s="25" t="n">
        <f aca="false">I325*J325</f>
        <v>6480</v>
      </c>
      <c r="L325" s="24" t="n">
        <v>4</v>
      </c>
      <c r="M325" s="25" t="n">
        <v>500</v>
      </c>
      <c r="N325" s="25" t="n">
        <f aca="false">L325*M325</f>
        <v>2000</v>
      </c>
      <c r="O325" s="25" t="n">
        <v>500</v>
      </c>
      <c r="P325" s="14" t="s">
        <v>624</v>
      </c>
      <c r="Q325" s="25" t="n">
        <f aca="false">IF(OR(O325="",M325=""),"",M325-O325)</f>
        <v>0</v>
      </c>
      <c r="R325" s="33" t="n">
        <f aca="false">IF(Q325="","",Q325*L325)</f>
        <v>0</v>
      </c>
      <c r="S325" s="33" t="n">
        <f aca="false">N325-K325</f>
        <v>-4480</v>
      </c>
      <c r="T325" s="14" t="s">
        <v>42</v>
      </c>
      <c r="U325" s="14" t="s">
        <v>233</v>
      </c>
      <c r="V325" s="23"/>
      <c r="W325" s="24" t="n">
        <f aca="false">L325</f>
        <v>4</v>
      </c>
      <c r="X325" s="25" t="n">
        <f aca="false">M325</f>
        <v>500</v>
      </c>
      <c r="Y325" s="5" t="n">
        <f aca="false">IF(OR(W325="",X325=""),0,W325*X325)</f>
        <v>2000</v>
      </c>
    </row>
    <row r="326" customFormat="false" ht="26.85" hidden="false" customHeight="false" outlineLevel="0" collapsed="false">
      <c r="A326" s="23" t="s">
        <v>827</v>
      </c>
      <c r="B326" s="23" t="s">
        <v>807</v>
      </c>
      <c r="C326" s="14" t="s">
        <v>626</v>
      </c>
      <c r="D326" s="23" t="s">
        <v>141</v>
      </c>
      <c r="E326" s="24"/>
      <c r="F326" s="25"/>
      <c r="G326" s="25" t="str">
        <f aca="false">IF(E326="","",E326*F326)</f>
        <v/>
      </c>
      <c r="H326" s="25"/>
      <c r="I326" s="24" t="n">
        <v>31</v>
      </c>
      <c r="J326" s="25" t="n">
        <v>2268</v>
      </c>
      <c r="K326" s="25" t="n">
        <f aca="false">I326*J326</f>
        <v>70308</v>
      </c>
      <c r="L326" s="24" t="n">
        <v>31</v>
      </c>
      <c r="M326" s="25" t="n">
        <v>1994</v>
      </c>
      <c r="N326" s="25" t="n">
        <f aca="false">L326*M326</f>
        <v>61814</v>
      </c>
      <c r="O326" s="25"/>
      <c r="P326" s="14"/>
      <c r="Q326" s="44" t="str">
        <f aca="false">IF(OR(O326="",M326=""),"",M326-O326)</f>
        <v/>
      </c>
      <c r="R326" s="45" t="str">
        <f aca="false">IF(Q326="","",Q326*L326)</f>
        <v/>
      </c>
      <c r="S326" s="45" t="n">
        <f aca="false">N326-K326</f>
        <v>-8494</v>
      </c>
      <c r="T326" s="46" t="s">
        <v>46</v>
      </c>
      <c r="U326" s="14" t="s">
        <v>830</v>
      </c>
      <c r="V326" s="23"/>
      <c r="W326" s="24" t="n">
        <f aca="false">L326</f>
        <v>31</v>
      </c>
      <c r="X326" s="25" t="n">
        <f aca="false">M326</f>
        <v>1994</v>
      </c>
      <c r="Y326" s="5" t="n">
        <f aca="false">IF(OR(W326="",X326=""),0,W326*X326)</f>
        <v>61814</v>
      </c>
    </row>
    <row r="327" customFormat="false" ht="26.85" hidden="false" customHeight="false" outlineLevel="0" collapsed="false">
      <c r="A327" s="23" t="s">
        <v>827</v>
      </c>
      <c r="B327" s="23" t="s">
        <v>831</v>
      </c>
      <c r="C327" s="14" t="s">
        <v>832</v>
      </c>
      <c r="D327" s="23" t="s">
        <v>141</v>
      </c>
      <c r="E327" s="24"/>
      <c r="F327" s="25"/>
      <c r="G327" s="25" t="str">
        <f aca="false">IF(E327="","",E327*F327)</f>
        <v/>
      </c>
      <c r="H327" s="25"/>
      <c r="I327" s="24" t="n">
        <v>31</v>
      </c>
      <c r="J327" s="25" t="n">
        <v>2268</v>
      </c>
      <c r="K327" s="25" t="n">
        <f aca="false">I327*J327</f>
        <v>70308</v>
      </c>
      <c r="L327" s="24" t="n">
        <v>31</v>
      </c>
      <c r="M327" s="25" t="n">
        <v>1994</v>
      </c>
      <c r="N327" s="25" t="n">
        <f aca="false">L327*M327</f>
        <v>61814</v>
      </c>
      <c r="O327" s="25"/>
      <c r="P327" s="14"/>
      <c r="Q327" s="44" t="str">
        <f aca="false">IF(OR(O327="",M327=""),"",M327-O327)</f>
        <v/>
      </c>
      <c r="R327" s="45" t="str">
        <f aca="false">IF(Q327="","",Q327*L327)</f>
        <v/>
      </c>
      <c r="S327" s="45" t="n">
        <f aca="false">N327-K327</f>
        <v>-8494</v>
      </c>
      <c r="T327" s="46" t="s">
        <v>46</v>
      </c>
      <c r="U327" s="14" t="s">
        <v>830</v>
      </c>
      <c r="V327" s="23"/>
      <c r="W327" s="24" t="n">
        <f aca="false">L327</f>
        <v>31</v>
      </c>
      <c r="X327" s="25" t="n">
        <f aca="false">M327</f>
        <v>1994</v>
      </c>
      <c r="Y327" s="5" t="n">
        <f aca="false">IF(OR(W327="",X327=""),0,W327*X327)</f>
        <v>61814</v>
      </c>
    </row>
    <row r="328" customFormat="false" ht="39.55" hidden="false" customHeight="false" outlineLevel="0" collapsed="false">
      <c r="A328" s="23" t="s">
        <v>827</v>
      </c>
      <c r="B328" s="23" t="s">
        <v>833</v>
      </c>
      <c r="C328" s="14" t="s">
        <v>834</v>
      </c>
      <c r="D328" s="23" t="s">
        <v>231</v>
      </c>
      <c r="E328" s="24"/>
      <c r="F328" s="25"/>
      <c r="G328" s="25" t="str">
        <f aca="false">IF(E328="","",E328*F328)</f>
        <v/>
      </c>
      <c r="H328" s="25"/>
      <c r="I328" s="24" t="n">
        <v>30</v>
      </c>
      <c r="J328" s="25" t="n">
        <v>486</v>
      </c>
      <c r="K328" s="25" t="n">
        <f aca="false">I328*J328</f>
        <v>14580</v>
      </c>
      <c r="L328" s="24" t="n">
        <v>30</v>
      </c>
      <c r="M328" s="25" t="n">
        <v>228</v>
      </c>
      <c r="N328" s="25" t="n">
        <f aca="false">L328*M328</f>
        <v>6840</v>
      </c>
      <c r="O328" s="25" t="n">
        <v>228</v>
      </c>
      <c r="P328" s="14" t="s">
        <v>835</v>
      </c>
      <c r="Q328" s="25" t="n">
        <f aca="false">IF(OR(O328="",M328=""),"",M328-O328)</f>
        <v>0</v>
      </c>
      <c r="R328" s="33" t="n">
        <f aca="false">IF(Q328="","",Q328*L328)</f>
        <v>0</v>
      </c>
      <c r="S328" s="33" t="n">
        <f aca="false">N328-K328</f>
        <v>-7740</v>
      </c>
      <c r="T328" s="14" t="s">
        <v>42</v>
      </c>
      <c r="U328" s="14" t="s">
        <v>318</v>
      </c>
      <c r="V328" s="38" t="s">
        <v>351</v>
      </c>
      <c r="W328" s="39" t="n">
        <v>30</v>
      </c>
      <c r="X328" s="40" t="n">
        <v>486</v>
      </c>
      <c r="Y328" s="9" t="n">
        <f aca="false">IF(OR(W328="",X328=""),0,W328*X328)</f>
        <v>14580</v>
      </c>
    </row>
    <row r="329" customFormat="false" ht="26.85" hidden="false" customHeight="false" outlineLevel="0" collapsed="false">
      <c r="A329" s="23" t="s">
        <v>827</v>
      </c>
      <c r="B329" s="23" t="s">
        <v>836</v>
      </c>
      <c r="C329" s="14" t="s">
        <v>837</v>
      </c>
      <c r="D329" s="23" t="s">
        <v>231</v>
      </c>
      <c r="E329" s="24"/>
      <c r="F329" s="25"/>
      <c r="G329" s="25" t="str">
        <f aca="false">IF(E329="","",E329*F329)</f>
        <v/>
      </c>
      <c r="H329" s="25"/>
      <c r="I329" s="24" t="n">
        <v>200</v>
      </c>
      <c r="J329" s="25" t="n">
        <v>1092</v>
      </c>
      <c r="K329" s="25" t="n">
        <f aca="false">I329*J329</f>
        <v>218400</v>
      </c>
      <c r="L329" s="24" t="n">
        <v>0</v>
      </c>
      <c r="M329" s="25"/>
      <c r="N329" s="25" t="n">
        <f aca="false">L329*M329</f>
        <v>0</v>
      </c>
      <c r="O329" s="25"/>
      <c r="P329" s="14"/>
      <c r="Q329" s="22" t="str">
        <f aca="false">IF(OR(O329="",M329=""),"",M329-O329)</f>
        <v/>
      </c>
      <c r="R329" s="37" t="str">
        <f aca="false">IF(Q329="","",Q329*L329)</f>
        <v/>
      </c>
      <c r="S329" s="37" t="n">
        <f aca="false">N329-K329</f>
        <v>-218400</v>
      </c>
      <c r="T329" s="13" t="s">
        <v>36</v>
      </c>
      <c r="U329" s="14"/>
      <c r="V329" s="38" t="s">
        <v>694</v>
      </c>
      <c r="W329" s="39" t="n">
        <v>200</v>
      </c>
      <c r="X329" s="40" t="n">
        <v>1092</v>
      </c>
      <c r="Y329" s="9" t="n">
        <f aca="false">IF(OR(W329="",X329=""),0,W329*X329)</f>
        <v>218400</v>
      </c>
    </row>
    <row r="330" customFormat="false" ht="26.85" hidden="false" customHeight="false" outlineLevel="0" collapsed="false">
      <c r="A330" s="23" t="s">
        <v>827</v>
      </c>
      <c r="B330" s="23" t="s">
        <v>838</v>
      </c>
      <c r="C330" s="14" t="s">
        <v>839</v>
      </c>
      <c r="D330" s="23" t="s">
        <v>356</v>
      </c>
      <c r="E330" s="24"/>
      <c r="F330" s="25"/>
      <c r="G330" s="25" t="str">
        <f aca="false">IF(E330="","",E330*F330)</f>
        <v/>
      </c>
      <c r="H330" s="25"/>
      <c r="I330" s="24" t="n">
        <v>1</v>
      </c>
      <c r="J330" s="25" t="n">
        <v>162000</v>
      </c>
      <c r="K330" s="25" t="n">
        <f aca="false">I330*J330</f>
        <v>162000</v>
      </c>
      <c r="L330" s="24" t="n">
        <v>0</v>
      </c>
      <c r="M330" s="25"/>
      <c r="N330" s="25" t="n">
        <f aca="false">L330*M330</f>
        <v>0</v>
      </c>
      <c r="O330" s="25"/>
      <c r="P330" s="14"/>
      <c r="Q330" s="22" t="str">
        <f aca="false">IF(OR(O330="",M330=""),"",M330-O330)</f>
        <v/>
      </c>
      <c r="R330" s="37" t="str">
        <f aca="false">IF(Q330="","",Q330*L330)</f>
        <v/>
      </c>
      <c r="S330" s="37" t="n">
        <f aca="false">N330-K330</f>
        <v>-162000</v>
      </c>
      <c r="T330" s="13" t="s">
        <v>36</v>
      </c>
      <c r="U330" s="14"/>
      <c r="V330" s="38" t="s">
        <v>694</v>
      </c>
      <c r="W330" s="39" t="n">
        <v>1</v>
      </c>
      <c r="X330" s="40" t="n">
        <v>162000</v>
      </c>
      <c r="Y330" s="9" t="n">
        <f aca="false">IF(OR(W330="",X330=""),0,W330*X330)</f>
        <v>162000</v>
      </c>
    </row>
    <row r="331" customFormat="false" ht="26.85" hidden="false" customHeight="false" outlineLevel="0" collapsed="false">
      <c r="A331" s="23" t="s">
        <v>827</v>
      </c>
      <c r="B331" s="23" t="s">
        <v>840</v>
      </c>
      <c r="C331" s="14" t="s">
        <v>841</v>
      </c>
      <c r="D331" s="23" t="s">
        <v>356</v>
      </c>
      <c r="E331" s="24"/>
      <c r="F331" s="25"/>
      <c r="G331" s="25" t="str">
        <f aca="false">IF(E331="","",E331*F331)</f>
        <v/>
      </c>
      <c r="H331" s="25"/>
      <c r="I331" s="24" t="n">
        <v>1</v>
      </c>
      <c r="J331" s="25" t="n">
        <v>97200</v>
      </c>
      <c r="K331" s="25" t="n">
        <f aca="false">I331*J331</f>
        <v>97200</v>
      </c>
      <c r="L331" s="24" t="n">
        <v>0</v>
      </c>
      <c r="M331" s="25"/>
      <c r="N331" s="25" t="n">
        <f aca="false">L331*M331</f>
        <v>0</v>
      </c>
      <c r="O331" s="25"/>
      <c r="P331" s="14"/>
      <c r="Q331" s="22" t="str">
        <f aca="false">IF(OR(O331="",M331=""),"",M331-O331)</f>
        <v/>
      </c>
      <c r="R331" s="37" t="str">
        <f aca="false">IF(Q331="","",Q331*L331)</f>
        <v/>
      </c>
      <c r="S331" s="37" t="n">
        <f aca="false">N331-K331</f>
        <v>-97200</v>
      </c>
      <c r="T331" s="13" t="s">
        <v>36</v>
      </c>
      <c r="U331" s="14"/>
      <c r="V331" s="38" t="s">
        <v>694</v>
      </c>
      <c r="W331" s="39" t="n">
        <v>1</v>
      </c>
      <c r="X331" s="40" t="n">
        <v>97200</v>
      </c>
      <c r="Y331" s="9" t="n">
        <f aca="false">IF(OR(W331="",X331=""),0,W331*X331)</f>
        <v>97200</v>
      </c>
    </row>
    <row r="332" customFormat="false" ht="26.85" hidden="false" customHeight="false" outlineLevel="0" collapsed="false">
      <c r="A332" s="23" t="s">
        <v>827</v>
      </c>
      <c r="B332" s="23" t="s">
        <v>842</v>
      </c>
      <c r="C332" s="14" t="s">
        <v>819</v>
      </c>
      <c r="D332" s="23" t="s">
        <v>356</v>
      </c>
      <c r="E332" s="24"/>
      <c r="F332" s="25"/>
      <c r="G332" s="25" t="str">
        <f aca="false">IF(E332="","",E332*F332)</f>
        <v/>
      </c>
      <c r="H332" s="25"/>
      <c r="I332" s="24" t="n">
        <v>1</v>
      </c>
      <c r="J332" s="25" t="n">
        <v>162000</v>
      </c>
      <c r="K332" s="25" t="n">
        <f aca="false">I332*J332</f>
        <v>162000</v>
      </c>
      <c r="L332" s="24" t="n">
        <v>1</v>
      </c>
      <c r="M332" s="25" t="n">
        <v>120000</v>
      </c>
      <c r="N332" s="25" t="n">
        <f aca="false">L332*M332</f>
        <v>120000</v>
      </c>
      <c r="O332" s="25"/>
      <c r="P332" s="14"/>
      <c r="Q332" s="44" t="str">
        <f aca="false">IF(OR(O332="",M332=""),"",M332-O332)</f>
        <v/>
      </c>
      <c r="R332" s="45" t="str">
        <f aca="false">IF(Q332="","",Q332*L332)</f>
        <v/>
      </c>
      <c r="S332" s="45" t="n">
        <f aca="false">N332-K332</f>
        <v>-42000</v>
      </c>
      <c r="T332" s="46" t="s">
        <v>46</v>
      </c>
      <c r="U332" s="14" t="s">
        <v>600</v>
      </c>
      <c r="V332" s="23"/>
      <c r="W332" s="24" t="n">
        <f aca="false">L332</f>
        <v>1</v>
      </c>
      <c r="X332" s="25" t="n">
        <f aca="false">M332</f>
        <v>120000</v>
      </c>
      <c r="Y332" s="5" t="n">
        <f aca="false">IF(OR(W332="",X332=""),0,W332*X332)</f>
        <v>120000</v>
      </c>
    </row>
    <row r="334" customFormat="false" ht="15" hidden="false" customHeight="false" outlineLevel="0" collapsed="false">
      <c r="C334" s="26" t="s">
        <v>62</v>
      </c>
      <c r="G334" s="27" t="n">
        <f aca="false">SUM(G6:G332)</f>
        <v>13716754.78</v>
      </c>
      <c r="K334" s="27" t="n">
        <f aca="false">SUM(K6:K332)</f>
        <v>22665254.141</v>
      </c>
      <c r="N334" s="27" t="n">
        <f aca="false">SUM(N6:N332)</f>
        <v>16074197.141</v>
      </c>
      <c r="R334" s="27" t="n">
        <f aca="false">SUM(R6:R332)</f>
        <v>-1492335.14</v>
      </c>
      <c r="S334" s="27" t="n">
        <f aca="false">SUM(S6:S332)</f>
        <v>-6591057</v>
      </c>
      <c r="Y334" s="27" t="n">
        <f aca="false">SUM(Y6:Y332)</f>
        <v>21418972.301</v>
      </c>
    </row>
  </sheetData>
  <autoFilter ref="A4:Y332"/>
  <mergeCells count="6">
    <mergeCell ref="A3:D3"/>
    <mergeCell ref="E3:G3"/>
    <mergeCell ref="I3:K3"/>
    <mergeCell ref="L3:N3"/>
    <mergeCell ref="O3:T3"/>
    <mergeCell ref="V3:Y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2026-10-14T08:51:50Z</dcterms:created>
  <dc:creator>openpyxl</dc:creator>
  <dc:description/>
  <dc:language>en-US</dc:language>
  <cp:lastModifiedBy/>
  <dcterms:modified xsi:type="dcterms:W3CDTF">2026-10-14T08:51:50Z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