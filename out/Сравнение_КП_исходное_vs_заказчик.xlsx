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Где занизили" sheetId="2" state="visible" r:id="rId4"/>
    <sheet name="Что оспорить" sheetId="3" state="visible" r:id="rId5"/>
    <sheet name="Все позиции" sheetId="4" state="visible" r:id="rId6"/>
  </sheets>
  <definedNames>
    <definedName function="false" hidden="true" localSheetId="3" name="_xlnm._FilterDatabase" vbProcedure="false">'Все позиции'!$A$3:$R$331</definedName>
    <definedName function="false" hidden="true" localSheetId="1" name="_xlnm._FilterDatabase" vbProcedure="false">'Где занизили'!$A$3:$O$205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<sst xmlns="http://schemas.openxmlformats.org/spreadsheetml/2006/main" count="1904" uniqueCount="756">
  <si>
    <t xml:space="preserve">Сравнение КП: где и на сколько нам снизили цены</t>
  </si>
  <si>
    <t xml:space="preserve">Исходное КП (наше) vs файл с правками заказчика. Все суммы в рублях без НДС; считаются формулами по листу «Все позиции».</t>
  </si>
  <si>
    <t xml:space="preserve">Главное</t>
  </si>
  <si>
    <t xml:space="preserve">Наше КП (исходное)</t>
  </si>
  <si>
    <t xml:space="preserve">Итог в файле заказчика (как у них посчитано)</t>
  </si>
  <si>
    <t xml:space="preserve">Ещё снижения в комментариях, не внесённые в их итог</t>
  </si>
  <si>
    <t xml:space="preserve">Итог с учётом ВСЕХ правок заказчика</t>
  </si>
  <si>
    <t xml:space="preserve">Общее снижение против нашего КП, ₽</t>
  </si>
  <si>
    <t xml:space="preserve">Общее снижение, %</t>
  </si>
  <si>
    <t xml:space="preserve">По разделам</t>
  </si>
  <si>
    <t xml:space="preserve">Раздел</t>
  </si>
  <si>
    <t xml:space="preserve">Наше КП, ₽</t>
  </si>
  <si>
    <t xml:space="preserve">В файле заказчика, ₽</t>
  </si>
  <si>
    <t xml:space="preserve">С учётом всех правок, ₽</t>
  </si>
  <si>
    <t xml:space="preserve">Разница, ₽</t>
  </si>
  <si>
    <t xml:space="preserve">Разница, %</t>
  </si>
  <si>
    <t xml:space="preserve">1. Вентиляция</t>
  </si>
  <si>
    <t xml:space="preserve">2. Кондиционирование</t>
  </si>
  <si>
    <t xml:space="preserve">3. Дополнительные работы 3,7,8,9 этаж</t>
  </si>
  <si>
    <t xml:space="preserve">4. Вентиляция 10 этаж</t>
  </si>
  <si>
    <t xml:space="preserve">4. Дымоудаление (10 этаж)</t>
  </si>
  <si>
    <t xml:space="preserve">5. Холодоснабжение 10 этаж</t>
  </si>
  <si>
    <t xml:space="preserve">6. Вентиляция 2 этаж</t>
  </si>
  <si>
    <t xml:space="preserve">6. Дымоудаление (2 этаж)</t>
  </si>
  <si>
    <t xml:space="preserve">7. Холодоснабжение 2 этаж</t>
  </si>
  <si>
    <t xml:space="preserve">ИТОГО</t>
  </si>
  <si>
    <t xml:space="preserve">Из-за чего снижение</t>
  </si>
  <si>
    <t xml:space="preserve">Что произошло</t>
  </si>
  <si>
    <t xml:space="preserve">Позиций</t>
  </si>
  <si>
    <t xml:space="preserve">Доля в общем снижении</t>
  </si>
  <si>
    <t xml:space="preserve">Цена снижена</t>
  </si>
  <si>
    <t xml:space="preserve">Снижены цена и количество</t>
  </si>
  <si>
    <t xml:space="preserve">Удалено заказчиком без комментария</t>
  </si>
  <si>
    <t xml:space="preserve">Исключено → отдельный допник</t>
  </si>
  <si>
    <t xml:space="preserve">Снижение согласовано, но не внесено в итог</t>
  </si>
  <si>
    <t xml:space="preserve">Снижение предложено, но не внесено в итог</t>
  </si>
  <si>
    <t xml:space="preserve">Цена повышена</t>
  </si>
  <si>
    <t xml:space="preserve">Без изменений</t>
  </si>
  <si>
    <t xml:space="preserve">Проверка: итог по причинам = итогу по разделам →</t>
  </si>
  <si>
    <t xml:space="preserve">Позиции с изменениями — от самых больших потерь к меньшим</t>
  </si>
  <si>
    <t xml:space="preserve">Значения подтягиваются формулами с листа «Все позиции».</t>
  </si>
  <si>
    <t xml:space="preserve">№</t>
  </si>
  <si>
    <t xml:space="preserve">Наименование</t>
  </si>
  <si>
    <t xml:space="preserve">Ед.</t>
  </si>
  <si>
    <t xml:space="preserve">Кол-во наше</t>
  </si>
  <si>
    <t xml:space="preserve">Цена наша, ₽</t>
  </si>
  <si>
    <t xml:space="preserve">Кол-во заказчика</t>
  </si>
  <si>
    <t xml:space="preserve">Итоговая цена, ₽</t>
  </si>
  <si>
    <t xml:space="preserve">Изменение цены, %</t>
  </si>
  <si>
    <t xml:space="preserve">Сумма наша, ₽</t>
  </si>
  <si>
    <t xml:space="preserve">Итоговая сумма, ₽</t>
  </si>
  <si>
    <t xml:space="preserve">Комментарий заказчика</t>
  </si>
  <si>
    <t xml:space="preserve">Ответ / согласование</t>
  </si>
  <si>
    <t xml:space="preserve">ИТОГО по изменённым позициям</t>
  </si>
  <si>
    <t xml:space="preserve">Что можно оспорить и где есть риски</t>
  </si>
  <si>
    <t xml:space="preserve">«Потенциал» — сколько можно вернуть, если отстоять нашу позицию. «Риск» — где заказчик ошибся в нашу пользу и может поправить позже (сумма с минусом).</t>
  </si>
  <si>
    <t xml:space="preserve">Тип</t>
  </si>
  <si>
    <t xml:space="preserve">Позиции</t>
  </si>
  <si>
    <t xml:space="preserve">Что сделал заказчик</t>
  </si>
  <si>
    <t xml:space="preserve">Наш аргумент</t>
  </si>
  <si>
    <t xml:space="preserve">Сумма, ₽</t>
  </si>
  <si>
    <t xml:space="preserve">Потенциал</t>
  </si>
  <si>
    <t xml:space="preserve">5.35, 6.71, 7.2, 7.8, 7.9, 7.10 (дренаж, демонтаж воздуховодов, подключение фанкойлов, демонтаж холодоснабжения и дренажа)</t>
  </si>
  <si>
    <t xml:space="preserve">Строки просто удалены из КП, без единого комментария.</t>
  </si>
  <si>
    <t xml:space="preserve">Работы выполняются/нужны. Требовать вернуть позиции или письменно обосновать исключение.</t>
  </si>
  <si>
    <t xml:space="preserve">6.1–6.3 Решётка защитная круглая Ø100/Ø160/Ø200 (2 этаж)</t>
  </si>
  <si>
    <t xml:space="preserve">Предлагают 185 / 205,66 / 298,89 ₽ вместо 1 296 ₽ «по договору».</t>
  </si>
  <si>
    <t xml:space="preserve">В этом же КП п. 2.2–2.3 такие же решётки Ø160/Ø200 стоят 1 425 ₽ и приняты без вопросов, а на 10 этаже (п. 4.1) та же решётка Ø100 оставлена по 1 296 ₽.</t>
  </si>
  <si>
    <t xml:space="preserve">4.76–4.79, 6.65–6.68 Ниппели оцинкованные (10 и 2 этаж)</t>
  </si>
  <si>
    <t xml:space="preserve">Поставили 370 ₽/шт.</t>
  </si>
  <si>
    <t xml:space="preserve">В п. 3.8 «Ниппель ф160» стоит 630 ₽ и принят заказчиком без правок. Просить минимум 630 ₽.</t>
  </si>
  <si>
    <t xml:space="preserve">4.56–4.66 Врезки, седла, тройник, переходы круглые (10 этаж)</t>
  </si>
  <si>
    <t xml:space="preserve">Поставили 370–440 ₽/шт.</t>
  </si>
  <si>
    <t xml:space="preserve">Ровно такие же изделия на 2 этаже (п. 6.48–6.56) заказчик сам оценил в 855 ₽; тройники и переходы по договору (п. 1.17–1.19) — 855 ₽.</t>
  </si>
  <si>
    <t xml:space="preserve">4.82–4.83 Изоляция воздуховодов (10 этаж)</t>
  </si>
  <si>
    <t xml:space="preserve">Поставили 665 ₽.</t>
  </si>
  <si>
    <t xml:space="preserve">На 2 этаже (п. 6.72–6.73) та же работа — 800 ₽.</t>
  </si>
  <si>
    <t xml:space="preserve">6.25 Отвод 15° Ø200 (2 этаж)</t>
  </si>
  <si>
    <t xml:space="preserve">Поставили 340 ₽.</t>
  </si>
  <si>
    <t xml:space="preserve">Все остальные круглые отводы — 855 ₽ «по договору».</t>
  </si>
  <si>
    <t xml:space="preserve">6.64 Заглушка 400×200 (2 этаж)</t>
  </si>
  <si>
    <t xml:space="preserve">Поставили 370 ₽.</t>
  </si>
  <si>
    <t xml:space="preserve">Круглая заглушка Ø200 (п. 6.63) — 855 ₽; прямоугольная сложнее круглой.</t>
  </si>
  <si>
    <t xml:space="preserve">Отложено</t>
  </si>
  <si>
    <t xml:space="preserve">Дымоудаление: 4.85–4.88 и 6.75–6.78</t>
  </si>
  <si>
    <t xml:space="preserve">Исключено, обещают «отдельный допник».</t>
  </si>
  <si>
    <t xml:space="preserve">Зафиксировать письменно сроки и цены допсоглашения, иначе это прямые потери.</t>
  </si>
  <si>
    <t xml:space="preserve">Информация</t>
  </si>
  <si>
    <t xml:space="preserve">9 позиций с пометкой «Цена согласована Марк» / «по договору» (1.33, 2.9, 2.10, 2.37, 2.38, 6.1–6.3, 7.7)</t>
  </si>
  <si>
    <t xml:space="preserve">Снижение написано в комментарии, но в итог их файла (16,53 млн) ещё не внесено.</t>
  </si>
  <si>
    <t xml:space="preserve">Итоговая сумма заказчика после внесения этих правок станет ниже. Уже учтено в листах «Сводка» и «Где занизили».</t>
  </si>
  <si>
    <t xml:space="preserve">Риск</t>
  </si>
  <si>
    <t xml:space="preserve">7.5–7.6 Клапан балансировочный / комплект трёхходового клапана (2 этаж)</t>
  </si>
  <si>
    <t xml:space="preserve">Поставили 1 994 ₽, а в комментарии пишут «в п. 5.5 стоит 1944».</t>
  </si>
  <si>
    <t xml:space="preserve">Опечатка в нашу пользу: если исправят на 1 944, потеряем ещё.</t>
  </si>
  <si>
    <t xml:space="preserve">4.24–4.26, 6.16–6.18 Воздуховоды оцинк. Ø125/Ø160/Ø200</t>
  </si>
  <si>
    <t xml:space="preserve">Цены по договору «съехали» на строку: Ø160 — 862,23 (по договору п. 1.14 — 689,79), Ø200 на 10 эт. — 1 077,79 (по договору п. 1.15 — 862,23).</t>
  </si>
  <si>
    <t xml:space="preserve">Ошибка в нашу пользу; при перепроверке могут снизить.</t>
  </si>
  <si>
    <t xml:space="preserve">6.69–6.70 Изоляция изделий (2 этаж)</t>
  </si>
  <si>
    <t xml:space="preserve">Оставили 1 296 и 3 240 ₽, хотя на 10 этаже те же позиции снизили до 450 и 665 ₽.</t>
  </si>
  <si>
    <t xml:space="preserve">Скорее всего пропустили; могут снизить следом.</t>
  </si>
  <si>
    <t xml:space="preserve">Итого потенциал к возврату (без допника по дымоудалению)</t>
  </si>
  <si>
    <t xml:space="preserve">Итого риски (могут снизить дополнительно)</t>
  </si>
  <si>
    <t xml:space="preserve">Сравнение КП: наше исходное vs исправленное заказчиком (Договор № СПБ-ГАЗЭ/ОВ/7-9, ул. Стартовая, д. 6, к. 2)</t>
  </si>
  <si>
    <t xml:space="preserve">Минус в столбце «Разница» — на сколько нам занизили. Жёлтые строки — снижение заказчик написал в комментарии, но в итог своего файла ещё не внёс. Все суммы без НДС.</t>
  </si>
  <si>
    <t xml:space="preserve">Кол-во
(наше КП)</t>
  </si>
  <si>
    <t xml:space="preserve">Цена за ед.
(наше КП), ₽</t>
  </si>
  <si>
    <t xml:space="preserve">Сумма
(наше КП), ₽</t>
  </si>
  <si>
    <t xml:space="preserve">Кол-во
(заказчик)</t>
  </si>
  <si>
    <t xml:space="preserve">Цена в файле
заказчика, ₽</t>
  </si>
  <si>
    <t xml:space="preserve">Сумма в файле
заказчика, ₽</t>
  </si>
  <si>
    <t xml:space="preserve">Цена из комментария
заказчика (не внесена
в итог файла), ₽</t>
  </si>
  <si>
    <t xml:space="preserve">Итоговая цена
с учётом всех
правок, ₽</t>
  </si>
  <si>
    <t xml:space="preserve">Итоговая сумма
с учётом всех
правок, ₽</t>
  </si>
  <si>
    <t xml:space="preserve">Разница, ₽
(итог − наше КП)</t>
  </si>
  <si>
    <t xml:space="preserve">Изменение
цены, %</t>
  </si>
  <si>
    <t xml:space="preserve">Ответ / согласование
(из файла заказчика)</t>
  </si>
  <si>
    <t xml:space="preserve">1.1</t>
  </si>
  <si>
    <t xml:space="preserve">Диффузор 160 мм</t>
  </si>
  <si>
    <t xml:space="preserve">шт</t>
  </si>
  <si>
    <t xml:space="preserve">1.2</t>
  </si>
  <si>
    <t xml:space="preserve">Диффузор 160 мм (сущ) исключено</t>
  </si>
  <si>
    <t xml:space="preserve">1.3</t>
  </si>
  <si>
    <t xml:space="preserve">Диффузор 100 мм</t>
  </si>
  <si>
    <t xml:space="preserve">1.4</t>
  </si>
  <si>
    <t xml:space="preserve">Решетка щелевая SWANa 2-1200 (сущ) исключено</t>
  </si>
  <si>
    <t xml:space="preserve">1.5</t>
  </si>
  <si>
    <t xml:space="preserve">Регулятор расхода воздуха, Ø100</t>
  </si>
  <si>
    <t xml:space="preserve">1.6</t>
  </si>
  <si>
    <t xml:space="preserve">Регулятор расхода воздуха, Ø160</t>
  </si>
  <si>
    <t xml:space="preserve">1.7</t>
  </si>
  <si>
    <t xml:space="preserve">Регулятор расхода воздуха, Ø200</t>
  </si>
  <si>
    <t xml:space="preserve">1.8</t>
  </si>
  <si>
    <t xml:space="preserve">Регулятор расхода воздуха, Ø250</t>
  </si>
  <si>
    <t xml:space="preserve">1.9</t>
  </si>
  <si>
    <t xml:space="preserve">Воздуховод гофрированный 160 исключено</t>
  </si>
  <si>
    <t xml:space="preserve">м</t>
  </si>
  <si>
    <t xml:space="preserve">1.10</t>
  </si>
  <si>
    <t xml:space="preserve">Воздуховод гофрированный 100</t>
  </si>
  <si>
    <t xml:space="preserve">1.11</t>
  </si>
  <si>
    <t xml:space="preserve">Воздуховод гофрированный Ø160 алюдек</t>
  </si>
  <si>
    <t xml:space="preserve">1.12</t>
  </si>
  <si>
    <t xml:space="preserve">Воздуховод гофрированный изолированный, Ø160 санодек</t>
  </si>
  <si>
    <t xml:space="preserve">1.13</t>
  </si>
  <si>
    <t xml:space="preserve">Воздуховод(класс герм. "В") толщина лист. стали b-0,5мм 100 -</t>
  </si>
  <si>
    <t xml:space="preserve">1.14</t>
  </si>
  <si>
    <t xml:space="preserve">Воздуховод(класс герм. "В") толщина лист. стали b-0,5мм 160</t>
  </si>
  <si>
    <t xml:space="preserve">1.15</t>
  </si>
  <si>
    <t xml:space="preserve">Воздуховод(класс герм. "В") толщина лист. стали b-0,5мм 200</t>
  </si>
  <si>
    <t xml:space="preserve">1.16</t>
  </si>
  <si>
    <t xml:space="preserve">Воздуховод(класс герм. "В") толщина лист. стали b-0,6мм 250</t>
  </si>
  <si>
    <t xml:space="preserve">1.17</t>
  </si>
  <si>
    <t xml:space="preserve">Тройник ф 160</t>
  </si>
  <si>
    <t xml:space="preserve">шт.</t>
  </si>
  <si>
    <t xml:space="preserve">1.18</t>
  </si>
  <si>
    <t xml:space="preserve">Тройник ф 200</t>
  </si>
  <si>
    <t xml:space="preserve">1.19</t>
  </si>
  <si>
    <t xml:space="preserve">Переход 160-200</t>
  </si>
  <si>
    <t xml:space="preserve">1.20</t>
  </si>
  <si>
    <t xml:space="preserve">Отвод 90 ф160</t>
  </si>
  <si>
    <t xml:space="preserve">1.21</t>
  </si>
  <si>
    <t xml:space="preserve">Отвод 45 Ф160</t>
  </si>
  <si>
    <t xml:space="preserve">1.22</t>
  </si>
  <si>
    <t xml:space="preserve">Тройник 200/160/200 исключено</t>
  </si>
  <si>
    <t xml:space="preserve">1.23</t>
  </si>
  <si>
    <t xml:space="preserve">КВК ф250 исключено</t>
  </si>
  <si>
    <t xml:space="preserve">1.24</t>
  </si>
  <si>
    <t xml:space="preserve">Переход с воздуховодов на врезку балки</t>
  </si>
  <si>
    <t xml:space="preserve">1.25</t>
  </si>
  <si>
    <t xml:space="preserve">Отвод 90 ф200</t>
  </si>
  <si>
    <t xml:space="preserve">1.26</t>
  </si>
  <si>
    <t xml:space="preserve">Отвод 45 ф 200</t>
  </si>
  <si>
    <t xml:space="preserve">1.27</t>
  </si>
  <si>
    <t xml:space="preserve">КВК ф 200 исключено</t>
  </si>
  <si>
    <t xml:space="preserve">1.28</t>
  </si>
  <si>
    <t xml:space="preserve">КВК160 исключено</t>
  </si>
  <si>
    <t xml:space="preserve">1.29</t>
  </si>
  <si>
    <t xml:space="preserve">Отвод 90 ф100</t>
  </si>
  <si>
    <t xml:space="preserve">1.30</t>
  </si>
  <si>
    <t xml:space="preserve">Переход 250\200</t>
  </si>
  <si>
    <t xml:space="preserve">1.31</t>
  </si>
  <si>
    <t xml:space="preserve">КВК ф100 исключено</t>
  </si>
  <si>
    <t xml:space="preserve">1.32</t>
  </si>
  <si>
    <t xml:space="preserve">Проделка отверстий</t>
  </si>
  <si>
    <t xml:space="preserve">1.33</t>
  </si>
  <si>
    <t xml:space="preserve">Универсальная теплоизоляция в виде рулонов, толщиной 6 мм K- Flex-ST</t>
  </si>
  <si>
    <t xml:space="preserve">м2</t>
  </si>
  <si>
    <t xml:space="preserve">р по договору</t>
  </si>
  <si>
    <t xml:space="preserve">Цена Согласована Марк</t>
  </si>
  <si>
    <t xml:space="preserve">1.34</t>
  </si>
  <si>
    <t xml:space="preserve">ПНР 3-10 эт</t>
  </si>
  <si>
    <t xml:space="preserve">комп</t>
  </si>
  <si>
    <t xml:space="preserve">2.1</t>
  </si>
  <si>
    <t xml:space="preserve">Климатическая балка Swegon PARASOL</t>
  </si>
  <si>
    <t xml:space="preserve">2.2</t>
  </si>
  <si>
    <t xml:space="preserve">Решетка защитная круглая, Ø160</t>
  </si>
  <si>
    <t xml:space="preserve">2.3</t>
  </si>
  <si>
    <t xml:space="preserve">Решетка защитная круглая, Ø200</t>
  </si>
  <si>
    <t xml:space="preserve">2.4</t>
  </si>
  <si>
    <t xml:space="preserve">Решетка защитная прямоугольная, 400х200</t>
  </si>
  <si>
    <t xml:space="preserve">2.5</t>
  </si>
  <si>
    <t xml:space="preserve">Ручной балансировочный клапан, Ду15 STAD ТА</t>
  </si>
  <si>
    <t xml:space="preserve">2.6</t>
  </si>
  <si>
    <t xml:space="preserve">Шаровый кран полнопроходной с накидной гайкой, Ду15 BVR- FR 065B8303RG Ридан</t>
  </si>
  <si>
    <t xml:space="preserve">2.7</t>
  </si>
  <si>
    <t xml:space="preserve">Узел регулирования климатической балки 1/2 Modulator ½</t>
  </si>
  <si>
    <t xml:space="preserve">по договоренности</t>
  </si>
  <si>
    <t xml:space="preserve">2.8</t>
  </si>
  <si>
    <t xml:space="preserve">Автоматический воздухоотводчик, ½” Danfoss Airvent 065B8323R</t>
  </si>
  <si>
    <t xml:space="preserve">2.9</t>
  </si>
  <si>
    <t xml:space="preserve">Трубопровод из полимерных труб РЕХ-а, Дн25х3.5 REHAU Rautitan Flex 11303701006</t>
  </si>
  <si>
    <t xml:space="preserve">м.п.</t>
  </si>
  <si>
    <t xml:space="preserve">по договру</t>
  </si>
  <si>
    <t xml:space="preserve">2.10</t>
  </si>
  <si>
    <t xml:space="preserve">Трубопровод из полимерных труб РЕХ-а, Дн32х3.5 REHAU Rautitan Flex</t>
  </si>
  <si>
    <t xml:space="preserve">2.11</t>
  </si>
  <si>
    <t xml:space="preserve">Трубопровод из полимерных труб РЕХ-а, Дн40х3.5 REHAU Rautitan Flex</t>
  </si>
  <si>
    <t xml:space="preserve">2.12</t>
  </si>
  <si>
    <t xml:space="preserve">Трубопровод из полимерных труб РЕХ-а, Дн50х6,9 REHAU Rautitan Flex</t>
  </si>
  <si>
    <t xml:space="preserve">2.13</t>
  </si>
  <si>
    <t xml:space="preserve">Трубопровод из полимерных труб РЕХ-а, Дн63х8,6 REHAU Rautitan Flex</t>
  </si>
  <si>
    <t xml:space="preserve">2.14</t>
  </si>
  <si>
    <t xml:space="preserve">Пайка кондиционеров подача обратка переход с меди на рехао исключено</t>
  </si>
  <si>
    <t xml:space="preserve">2.15</t>
  </si>
  <si>
    <t xml:space="preserve">Рехао тройник 63*8,7/32*4,4/63*8,7</t>
  </si>
  <si>
    <t xml:space="preserve">2.16</t>
  </si>
  <si>
    <t xml:space="preserve">Рехао тройник 32*4,4/25*3,5/32*4,4</t>
  </si>
  <si>
    <t xml:space="preserve">2.17</t>
  </si>
  <si>
    <t xml:space="preserve">Рехао Переходник 32*4,4 -25*3,5</t>
  </si>
  <si>
    <t xml:space="preserve">2.18</t>
  </si>
  <si>
    <t xml:space="preserve">Отвод 90 25*3,5</t>
  </si>
  <si>
    <t xml:space="preserve">2.19</t>
  </si>
  <si>
    <t xml:space="preserve">Отвод 90 32*4,4</t>
  </si>
  <si>
    <t xml:space="preserve">2.20</t>
  </si>
  <si>
    <t xml:space="preserve">Полуотвод 45 63*8,7</t>
  </si>
  <si>
    <t xml:space="preserve">2.21</t>
  </si>
  <si>
    <t xml:space="preserve">Переход 63*4,4/ 50*6,9</t>
  </si>
  <si>
    <t xml:space="preserve">2.22</t>
  </si>
  <si>
    <t xml:space="preserve">Рехао Тройник 50*6,9/32*4,4/50*6,9</t>
  </si>
  <si>
    <t xml:space="preserve">2.23</t>
  </si>
  <si>
    <t xml:space="preserve">Переход 50*6,9 / 40*5,5</t>
  </si>
  <si>
    <t xml:space="preserve">2.24</t>
  </si>
  <si>
    <t xml:space="preserve">Рехао тройник 40*5,5/32*4,4/40*5,5</t>
  </si>
  <si>
    <t xml:space="preserve">2.25</t>
  </si>
  <si>
    <t xml:space="preserve">полуотвод 25*3,5</t>
  </si>
  <si>
    <t xml:space="preserve">2.26</t>
  </si>
  <si>
    <t xml:space="preserve">полуотвод 32*4,4</t>
  </si>
  <si>
    <t xml:space="preserve">2.27</t>
  </si>
  <si>
    <t xml:space="preserve">переходник 40*5,5 32*4,4</t>
  </si>
  <si>
    <t xml:space="preserve">2.28</t>
  </si>
  <si>
    <t xml:space="preserve">Тройник 40*5,5/25*3,5/ 40*5,5</t>
  </si>
  <si>
    <t xml:space="preserve">2.29</t>
  </si>
  <si>
    <t xml:space="preserve">Отвод 90 50*6,9</t>
  </si>
  <si>
    <t xml:space="preserve">2.30</t>
  </si>
  <si>
    <t xml:space="preserve">Тройник 50*6,9/25*3,5/50*6,9</t>
  </si>
  <si>
    <t xml:space="preserve">2.31</t>
  </si>
  <si>
    <t xml:space="preserve">Тройник 63*8,7 /25*3,6/63*8,7</t>
  </si>
  <si>
    <t xml:space="preserve">2.32</t>
  </si>
  <si>
    <t xml:space="preserve">Полуотвод 63*8,7</t>
  </si>
  <si>
    <t xml:space="preserve">2.33</t>
  </si>
  <si>
    <t xml:space="preserve">Тройник 25*3,5</t>
  </si>
  <si>
    <t xml:space="preserve">2.34</t>
  </si>
  <si>
    <t xml:space="preserve">Отвод 90 63*8,7</t>
  </si>
  <si>
    <t xml:space="preserve">2.35</t>
  </si>
  <si>
    <t xml:space="preserve">Отвод 90 40*5,5</t>
  </si>
  <si>
    <t xml:space="preserve">2.36</t>
  </si>
  <si>
    <t xml:space="preserve">2.37</t>
  </si>
  <si>
    <t xml:space="preserve">Тепловая изоляция из вспененного каучука, толщиной 9 мм Armaflex АСЕ 28*13</t>
  </si>
  <si>
    <t xml:space="preserve">по договору</t>
  </si>
  <si>
    <t xml:space="preserve">2.38</t>
  </si>
  <si>
    <t xml:space="preserve">Тепловая изоляция из вспененного каучука, толщиной 9 мм Armaflex АСЕ 35*13</t>
  </si>
  <si>
    <t xml:space="preserve">2.39</t>
  </si>
  <si>
    <t xml:space="preserve">Тепловая изоляция из вспененного каучука, толщиной 9 мм Armaflex АСЕ 42*13</t>
  </si>
  <si>
    <t xml:space="preserve">2.40</t>
  </si>
  <si>
    <t xml:space="preserve">Тепловая изоляция из вспененного каучука, толщиной 13 мм Armaflex АСЕ 50*13</t>
  </si>
  <si>
    <t xml:space="preserve">2.41</t>
  </si>
  <si>
    <t xml:space="preserve">Тепловая изоляция из вспененного каучука, толщиной 13 мм Armaflex АСЕ 63*13</t>
  </si>
  <si>
    <t xml:space="preserve">2.42</t>
  </si>
  <si>
    <t xml:space="preserve">Компл.</t>
  </si>
  <si>
    <t xml:space="preserve">3.1</t>
  </si>
  <si>
    <t xml:space="preserve">Тройник ф 250</t>
  </si>
  <si>
    <t xml:space="preserve">3.2</t>
  </si>
  <si>
    <t xml:space="preserve">Отвод 45 ф 250</t>
  </si>
  <si>
    <t xml:space="preserve">3.3</t>
  </si>
  <si>
    <t xml:space="preserve">Врезка седлообразная ф160\160</t>
  </si>
  <si>
    <t xml:space="preserve">3.4</t>
  </si>
  <si>
    <t xml:space="preserve">Врезка седлообразная ф160\200</t>
  </si>
  <si>
    <t xml:space="preserve">3.5</t>
  </si>
  <si>
    <t xml:space="preserve">Врезка седлообразная ф200\200</t>
  </si>
  <si>
    <t xml:space="preserve">3.6</t>
  </si>
  <si>
    <t xml:space="preserve">Врезка прямая ф100</t>
  </si>
  <si>
    <t xml:space="preserve">3.7</t>
  </si>
  <si>
    <t xml:space="preserve">Изоляция изделий (отводы, тройники, переходы, клапана)</t>
  </si>
  <si>
    <t xml:space="preserve">3.8</t>
  </si>
  <si>
    <t xml:space="preserve">Ниппель ф160</t>
  </si>
  <si>
    <t xml:space="preserve">3.9</t>
  </si>
  <si>
    <t xml:space="preserve">Монтаж пожарного клапана</t>
  </si>
  <si>
    <t xml:space="preserve">к-т</t>
  </si>
  <si>
    <t xml:space="preserve">сильно завышена расценка</t>
  </si>
  <si>
    <t xml:space="preserve">3.10</t>
  </si>
  <si>
    <t xml:space="preserve">Обрезка вытяжных воздуховодов</t>
  </si>
  <si>
    <t xml:space="preserve">3.11</t>
  </si>
  <si>
    <t xml:space="preserve">Демонтаж вытяжки 400*200</t>
  </si>
  <si>
    <t xml:space="preserve">мп</t>
  </si>
  <si>
    <t xml:space="preserve">3.12</t>
  </si>
  <si>
    <t xml:space="preserve">Демонтаж вытяжки ф200</t>
  </si>
  <si>
    <t xml:space="preserve">3.13</t>
  </si>
  <si>
    <t xml:space="preserve">Перемонтаж щелевых диффузоров</t>
  </si>
  <si>
    <t xml:space="preserve">сильно завышено, что за диффузоры? С КСД? Размер?</t>
  </si>
  <si>
    <t xml:space="preserve">Демонтаж - монтаж щелевого диффузора. Поставь цену сама</t>
  </si>
  <si>
    <t xml:space="preserve">3.14</t>
  </si>
  <si>
    <t xml:space="preserve">Перемонтаж вентканалов</t>
  </si>
  <si>
    <t xml:space="preserve">Какие размеры?</t>
  </si>
  <si>
    <t xml:space="preserve">3.15</t>
  </si>
  <si>
    <t xml:space="preserve">Демонтаж диффузора, монтаж гибкой подводки</t>
  </si>
  <si>
    <t xml:space="preserve">Расписать какой диффузор, какая гибкая подводка?</t>
  </si>
  <si>
    <t xml:space="preserve">демонтаж существующего диффузора, монтаж гибкой подводки временно, после зашивке ГКЛ будет монтаж данного диффузора в ГКЛ; Наименование изменено на: «Демонтаж диффузора, монтаж гибкой подводки, монтаж диффузора в гкл»</t>
  </si>
  <si>
    <t xml:space="preserve">3.16</t>
  </si>
  <si>
    <t xml:space="preserve">Перемонтаж вентканалов (пересечение с АУПТ)</t>
  </si>
  <si>
    <t xml:space="preserve">расписать что за работа?</t>
  </si>
  <si>
    <t xml:space="preserve">Переделка согласованной трассы из-за изменений по системе АПТ.</t>
  </si>
  <si>
    <t xml:space="preserve">3.17</t>
  </si>
  <si>
    <t xml:space="preserve">Демонтаж труб пожаротушения (сплинклер)</t>
  </si>
  <si>
    <t xml:space="preserve">какая труба?</t>
  </si>
  <si>
    <t xml:space="preserve">разные диаметры, 32, 40, 25, 20</t>
  </si>
  <si>
    <t xml:space="preserve">3.18</t>
  </si>
  <si>
    <t xml:space="preserve">Устройство проходок (изоляция)</t>
  </si>
  <si>
    <t xml:space="preserve">Где проходка? Что изолируется?</t>
  </si>
  <si>
    <t xml:space="preserve">Воздуховоды, которые без изоляции, в местах проходок через стену изолируются</t>
  </si>
  <si>
    <t xml:space="preserve">3.19</t>
  </si>
  <si>
    <t xml:space="preserve">Демонтаж короба щелевой решетки</t>
  </si>
  <si>
    <t xml:space="preserve">непонятно что за работа, расписать</t>
  </si>
  <si>
    <t xml:space="preserve">щелевой диффузор достать из металлической плитки армстронга.</t>
  </si>
  <si>
    <t xml:space="preserve">3.20</t>
  </si>
  <si>
    <t xml:space="preserve">соединитель 63</t>
  </si>
  <si>
    <t xml:space="preserve">3.21</t>
  </si>
  <si>
    <t xml:space="preserve">соединитель 50</t>
  </si>
  <si>
    <t xml:space="preserve">3.22</t>
  </si>
  <si>
    <t xml:space="preserve">соединитель 40</t>
  </si>
  <si>
    <t xml:space="preserve">3.23</t>
  </si>
  <si>
    <t xml:space="preserve">соединитель 32</t>
  </si>
  <si>
    <t xml:space="preserve">3.24</t>
  </si>
  <si>
    <t xml:space="preserve">соединитель 25</t>
  </si>
  <si>
    <t xml:space="preserve">3.25</t>
  </si>
  <si>
    <t xml:space="preserve">тройник 63*63*63</t>
  </si>
  <si>
    <t xml:space="preserve">3.26</t>
  </si>
  <si>
    <t xml:space="preserve">тройник 32*32*32</t>
  </si>
  <si>
    <t xml:space="preserve">3.27</t>
  </si>
  <si>
    <t xml:space="preserve">подключение к вводу</t>
  </si>
  <si>
    <t xml:space="preserve">что за подключение? Непонятно</t>
  </si>
  <si>
    <t xml:space="preserve">боченок, американка, переход с аксиального  на резьбовой фитинг,  демонтаж заглушек, слив остатков, удаление инородных включенийс резьб</t>
  </si>
  <si>
    <t xml:space="preserve">3.28</t>
  </si>
  <si>
    <t xml:space="preserve">перемонтаж кронштейнов (подвесов, хомутов)</t>
  </si>
  <si>
    <t xml:space="preserve">по какой причине? Расценка завышена для хомутов, монтаж трубы полностью 500р, а подвесы с хомутами 420?</t>
  </si>
  <si>
    <t xml:space="preserve">Цена Согласована Марк; демонтировал по нашей ошибке</t>
  </si>
  <si>
    <t xml:space="preserve">3.29</t>
  </si>
  <si>
    <t xml:space="preserve">переделка заготовок подвесов</t>
  </si>
  <si>
    <t xml:space="preserve">по какой причине?  Что входит в заготовку?</t>
  </si>
  <si>
    <t xml:space="preserve">3.30</t>
  </si>
  <si>
    <t xml:space="preserve">монтаж узла подсоединения к магистрали</t>
  </si>
  <si>
    <t xml:space="preserve">Расписать подробнее что за узел?</t>
  </si>
  <si>
    <t xml:space="preserve">подготовка заготовок (резьба, полуотвод, резьба, американка,  переход), демонтаж заглушек, слив остатков, оистка резьб от инородных включений)</t>
  </si>
  <si>
    <t xml:space="preserve">4.1</t>
  </si>
  <si>
    <t xml:space="preserve">Решетка защитная круглая, Ø100 БСК 100</t>
  </si>
  <si>
    <t xml:space="preserve">4.2</t>
  </si>
  <si>
    <t xml:space="preserve">Диффузор круглый со статической камерой и регулятором расхода, Ø100 ЛК 100 + КСД 0 100 100</t>
  </si>
  <si>
    <t xml:space="preserve">4.3</t>
  </si>
  <si>
    <t xml:space="preserve">Диффузор круглый со статической камерой и регулятором расхода, Ø125 ЛК 125 + КСД 0 125 125</t>
  </si>
  <si>
    <t xml:space="preserve">4.4</t>
  </si>
  <si>
    <t xml:space="preserve">Диффузор круглый со статической камерой и регулятором расхода, Ø200 ЛК 200 + КСД 0 200 200</t>
  </si>
  <si>
    <t xml:space="preserve">4.5</t>
  </si>
  <si>
    <t xml:space="preserve">Решетка щелевая, 1000мм ЛРЩ 22-1-1000-У1</t>
  </si>
  <si>
    <t xml:space="preserve">4.6</t>
  </si>
  <si>
    <t xml:space="preserve">Решетка щелевая, 1000мм ЛРЩ 22-1-1000-У2</t>
  </si>
  <si>
    <t xml:space="preserve">4.7</t>
  </si>
  <si>
    <t xml:space="preserve">Адаптер для щелевой решетки с регулятором расхода и увеличенным патрубком, 1000мм Адаптер для ЛРЩ 22-1-1000 y=67мм + заслонка</t>
  </si>
  <si>
    <t xml:space="preserve">расценка сильно завышена</t>
  </si>
  <si>
    <t xml:space="preserve">4.8</t>
  </si>
  <si>
    <t xml:space="preserve">Решетка щелевая, 1400мм ЛРЩ 22-1-1400-У2</t>
  </si>
  <si>
    <t xml:space="preserve">4.9</t>
  </si>
  <si>
    <t xml:space="preserve">Адаптер для щелевой решетки с регулятором расхода, подключение 160мм два патрубка и увеличенным патрубком, 1000мм Адаптер для ЛРЩ 22-1-1400 y=67мм + подключение 2х160мм + заслонка</t>
  </si>
  <si>
    <t xml:space="preserve">4.10</t>
  </si>
  <si>
    <t xml:space="preserve">Решетка щелевая, 1500мм ЛРЩ 22-1-1500-У2</t>
  </si>
  <si>
    <t xml:space="preserve">4.11</t>
  </si>
  <si>
    <t xml:space="preserve">Адаптер для щелевой решетки с регулятором расхода, подключение 160мм два патрубка и увеличенным патрубком, 1000мм Адаптер для ЛРЩ 22-1-1500 y=67мм + подключение 2х160мм + заслонка</t>
  </si>
  <si>
    <t xml:space="preserve">4.12</t>
  </si>
  <si>
    <t xml:space="preserve">Решетка щелевая, 500мм ЛРЩ 22-1-8500-У2</t>
  </si>
  <si>
    <t xml:space="preserve">4.13</t>
  </si>
  <si>
    <t xml:space="preserve">Адаптер для щелевой решетки с регулятором расхода и увеличенным патрубком, 500мм Адаптер для ЛРЩ 22-1-500 y=67мм + заслонка</t>
  </si>
  <si>
    <t xml:space="preserve">4.14</t>
  </si>
  <si>
    <t xml:space="preserve">Регулятор расхода воздуха, Ø100 квк100</t>
  </si>
  <si>
    <t xml:space="preserve">4.15</t>
  </si>
  <si>
    <t xml:space="preserve">Воздуховод гофрированный, Ø100</t>
  </si>
  <si>
    <t xml:space="preserve">4.16</t>
  </si>
  <si>
    <t xml:space="preserve">Воздуховод гофрированный, Ø125</t>
  </si>
  <si>
    <t xml:space="preserve">4.17</t>
  </si>
  <si>
    <t xml:space="preserve">Воздуховод гофрированный, Ø160</t>
  </si>
  <si>
    <t xml:space="preserve">4.18</t>
  </si>
  <si>
    <t xml:space="preserve">Воздуховод гофрированный, Ø200</t>
  </si>
  <si>
    <t xml:space="preserve">4.19</t>
  </si>
  <si>
    <t xml:space="preserve">Воздуховод гофрированный изолированный, Ø100</t>
  </si>
  <si>
    <t xml:space="preserve">4.20</t>
  </si>
  <si>
    <t xml:space="preserve">Воздуховод гофрированный изолированный, Ø125</t>
  </si>
  <si>
    <t xml:space="preserve">4.21</t>
  </si>
  <si>
    <t xml:space="preserve">Воздуховод гофрированный изолированный, Ø160</t>
  </si>
  <si>
    <t xml:space="preserve">4.22</t>
  </si>
  <si>
    <t xml:space="preserve">Воздуховод гофрированный изолированный, Ø200</t>
  </si>
  <si>
    <t xml:space="preserve">4.23</t>
  </si>
  <si>
    <t xml:space="preserve">Воздуховод из оцинкованной стали толщиной 0,5мм, класса «В», Ø100</t>
  </si>
  <si>
    <t xml:space="preserve">4.24</t>
  </si>
  <si>
    <t xml:space="preserve">Воздуховод из оцинкованной стали толщиной 0,5мм, класса «В», Ø125</t>
  </si>
  <si>
    <t xml:space="preserve">4.25</t>
  </si>
  <si>
    <t xml:space="preserve">Воздуховод из оцинкованной стали толщиной 0,5мм, класса «В», Ø160</t>
  </si>
  <si>
    <t xml:space="preserve">4.26</t>
  </si>
  <si>
    <t xml:space="preserve">Воздуховод из оцинкованной стали толщиной 0,5мм, класса «В», Ø200</t>
  </si>
  <si>
    <t xml:space="preserve">4.27</t>
  </si>
  <si>
    <t xml:space="preserve">Воздуховод из оцинкованной стали толщиной 0,7мм, класса «В», 300x200</t>
  </si>
  <si>
    <t xml:space="preserve">4.28</t>
  </si>
  <si>
    <t xml:space="preserve">Воздуховод из оцинкованной стали толщиной 0,7мм, класса «В», 400x200</t>
  </si>
  <si>
    <t xml:space="preserve">4.29</t>
  </si>
  <si>
    <t xml:space="preserve">Воздуховод из оцинкованной стали толщиной 0,7мм, класса «В», 500x200</t>
  </si>
  <si>
    <t xml:space="preserve">4.30</t>
  </si>
  <si>
    <t xml:space="preserve">Воздуховод из оцинкованной стали толщиной 0,7мм, класса «В», 500x250</t>
  </si>
  <si>
    <t xml:space="preserve">4.31</t>
  </si>
  <si>
    <t xml:space="preserve">Воздуховод из оцинкованной стали толщиной 0,7мм, класса «В», 500x300</t>
  </si>
  <si>
    <t xml:space="preserve">4.32</t>
  </si>
  <si>
    <t xml:space="preserve">Воздуховод из оцинкованной стали толщиной 0,7мм, класса «В», 600x200</t>
  </si>
  <si>
    <t xml:space="preserve">4.33</t>
  </si>
  <si>
    <t xml:space="preserve">Воздуховод из оцинкованной стали толщиной 0,7мм, класса «В», 600x250</t>
  </si>
  <si>
    <t xml:space="preserve">4.34</t>
  </si>
  <si>
    <t xml:space="preserve">Воздуховод из оцинкованной стали толщиной 0,7мм, класса «В», 700x250</t>
  </si>
  <si>
    <t xml:space="preserve">4.35</t>
  </si>
  <si>
    <t xml:space="preserve">Отвод 150 из оцинкованной стали толщиной 0,5мм, класса «В», Ø160</t>
  </si>
  <si>
    <t xml:space="preserve">4.36</t>
  </si>
  <si>
    <t xml:space="preserve">Отвод 300 из оцинкованной стали толщиной 0,5мм, класса «В», Ø200</t>
  </si>
  <si>
    <t xml:space="preserve">4.37</t>
  </si>
  <si>
    <t xml:space="preserve">Отвод 300 из оцинкованной стали толщиной 0,7мм, класса «В», 200x300</t>
  </si>
  <si>
    <t xml:space="preserve">исходя из м2 изделия</t>
  </si>
  <si>
    <t xml:space="preserve">4.38</t>
  </si>
  <si>
    <t xml:space="preserve">Отвод 300 из оцинкованной стали толщиной 0,7мм, класса «В», 250x700</t>
  </si>
  <si>
    <t xml:space="preserve">4.39</t>
  </si>
  <si>
    <t xml:space="preserve">Отвод 300 из оцинкованной стали толщиной 0,7мм, класса «В», 300x500</t>
  </si>
  <si>
    <t xml:space="preserve">4.40</t>
  </si>
  <si>
    <t xml:space="preserve">Отвод 300 из оцинкованной стали толщиной 0,7мм, класса «В», 600x200</t>
  </si>
  <si>
    <t xml:space="preserve">4.41</t>
  </si>
  <si>
    <t xml:space="preserve">Отвод 450 из оцинкованной стали толщиной 0,5мм, класса «В», Ø160</t>
  </si>
  <si>
    <t xml:space="preserve">4.42</t>
  </si>
  <si>
    <t xml:space="preserve">Отвод 450 из оцинкованной стали толщиной 0,7мм, класса «В», 300x200</t>
  </si>
  <si>
    <t xml:space="preserve">4.43</t>
  </si>
  <si>
    <t xml:space="preserve">Отвод 450 из оцинкованной стали толщиной 0,7мм, класса «В», 500x200</t>
  </si>
  <si>
    <t xml:space="preserve">4.44</t>
  </si>
  <si>
    <t xml:space="preserve">Отвод 600 из оцинкованной стали толщиной 0,7мм, класса «В», 600x200</t>
  </si>
  <si>
    <t xml:space="preserve">4.45</t>
  </si>
  <si>
    <t xml:space="preserve">Отвод 900 из оцинкованной стали толщиной 0,5мм, класса «В», Ø100</t>
  </si>
  <si>
    <t xml:space="preserve">4.46</t>
  </si>
  <si>
    <t xml:space="preserve">Отвод 900 из оцинкованной стали толщиной 0,5мм, класса «В», Ø125</t>
  </si>
  <si>
    <t xml:space="preserve">4.47</t>
  </si>
  <si>
    <t xml:space="preserve">Отвод 900 из оцинкованной стали толщиной 0,5мм, класса «В», Ø160</t>
  </si>
  <si>
    <t xml:space="preserve">4.48</t>
  </si>
  <si>
    <t xml:space="preserve">Отвод 900 из оцинкованной стали толщиной 0,5мм, класса «В», Ø200</t>
  </si>
  <si>
    <t xml:space="preserve">4.49</t>
  </si>
  <si>
    <t xml:space="preserve">Отвод 900 из оцинкованной стали толщиной 0,7мм, класса «В», 300x200</t>
  </si>
  <si>
    <t xml:space="preserve">4.50</t>
  </si>
  <si>
    <t xml:space="preserve">Отвод 900 из оцинкованной стали толщиной 0,7мм, класса «В», 400x200</t>
  </si>
  <si>
    <t xml:space="preserve">4.51</t>
  </si>
  <si>
    <t xml:space="preserve">Отвод 900 из оцинкованной стали толщиной 0,7мм, класса «В», 500x250</t>
  </si>
  <si>
    <t xml:space="preserve">4.52</t>
  </si>
  <si>
    <t xml:space="preserve">Отвод 900 из оцинкованной стали толщиной 0,7мм, класса «В», 500x300</t>
  </si>
  <si>
    <t xml:space="preserve">4.53</t>
  </si>
  <si>
    <t xml:space="preserve">Отвод 900 из оцинкованной стали толщиной 0,7мм, класса «В», 600x200</t>
  </si>
  <si>
    <t xml:space="preserve">4.54</t>
  </si>
  <si>
    <t xml:space="preserve">Отвод 900 из оцинкованной стали толщиной 0,7мм, класса «В», 600x250</t>
  </si>
  <si>
    <t xml:space="preserve">4.55</t>
  </si>
  <si>
    <t xml:space="preserve">Отвод 900 из оцинкованной стали толщиной 0,7мм, класса «В», 700x250</t>
  </si>
  <si>
    <t xml:space="preserve">4.56</t>
  </si>
  <si>
    <t xml:space="preserve">Врезка плоская из оцинкованной стали толщиной 0,5мм, класса «В», Ø100</t>
  </si>
  <si>
    <t xml:space="preserve">4.57</t>
  </si>
  <si>
    <t xml:space="preserve">Врезка плоская из оцинкованной стали толщиной 0,5мм, класса «В», Ø160</t>
  </si>
  <si>
    <t xml:space="preserve">4.58</t>
  </si>
  <si>
    <t xml:space="preserve">Врезка плоская из оцинкованной стали толщиной 0,5мм, класса «В», Ø200</t>
  </si>
  <si>
    <t xml:space="preserve">4.59</t>
  </si>
  <si>
    <t xml:space="preserve">Врезка-седло из оцинкованной стали толщиной 0,5мм, класса «В», Ø160/Ø100</t>
  </si>
  <si>
    <t xml:space="preserve">4.60</t>
  </si>
  <si>
    <t xml:space="preserve">Врезка-седло из оцинкованной стали толщиной 0,5мм, класса «В», Ø160/Ø125</t>
  </si>
  <si>
    <t xml:space="preserve">4.61</t>
  </si>
  <si>
    <t xml:space="preserve">Врезка-седло из оцинкованной стали толщиной 0,5мм, класса «В», Ø200/Ø160</t>
  </si>
  <si>
    <t xml:space="preserve">4.62</t>
  </si>
  <si>
    <t xml:space="preserve">Тройник из оцинкованной стали толщиной 0,5мм, класса «В», Ø125/Ø125/Ø125</t>
  </si>
  <si>
    <t xml:space="preserve">4.63</t>
  </si>
  <si>
    <t xml:space="preserve">Переход из оцинкованной стали толщиной 0,5мм, класса «В», Ø125/Ø100</t>
  </si>
  <si>
    <t xml:space="preserve">4.64</t>
  </si>
  <si>
    <t xml:space="preserve">Переход из оцинкованной стали толщиной 0,5мм, класса «В», Ø160/Ø100</t>
  </si>
  <si>
    <t xml:space="preserve">4.65</t>
  </si>
  <si>
    <t xml:space="preserve">Переход из оцинкованной стали толщиной 0,5мм, класса «В», Ø160/Ø125</t>
  </si>
  <si>
    <t xml:space="preserve">4.66</t>
  </si>
  <si>
    <t xml:space="preserve">Переход из оцинкованной стали толщиной 0,5мм, класса «В», Ø200/Ø160</t>
  </si>
  <si>
    <t xml:space="preserve">4.67</t>
  </si>
  <si>
    <t xml:space="preserve">Переход из оцинкованной стали толщиной 0,7мм, класса «В», 300x200/Ø160</t>
  </si>
  <si>
    <t xml:space="preserve">4.68</t>
  </si>
  <si>
    <t xml:space="preserve">Переход из оцинкованной стали толщиной 0,7мм, класса «В», 400x200/Ø200</t>
  </si>
  <si>
    <t xml:space="preserve">4.69</t>
  </si>
  <si>
    <t xml:space="preserve">Переход из оцинкованной стали толщиной 0,7мм, класса «В», 500x200/300x200</t>
  </si>
  <si>
    <t xml:space="preserve">4.70</t>
  </si>
  <si>
    <t xml:space="preserve">Переход из оцинкованной стали толщиной 0,7мм, класса «В», 500x200/400x200</t>
  </si>
  <si>
    <t xml:space="preserve">4.71</t>
  </si>
  <si>
    <t xml:space="preserve">Переход из оцинкованной стали толщиной 0,7мм, класса «В», 500x250/500x200</t>
  </si>
  <si>
    <t xml:space="preserve">4.72</t>
  </si>
  <si>
    <t xml:space="preserve">Переход из оцинкованной стали толщиной 0,7мм, класса «В», 500x300/500x200</t>
  </si>
  <si>
    <t xml:space="preserve">4.73</t>
  </si>
  <si>
    <t xml:space="preserve">Переход из оцинкованной стали толщиной 0,7мм, класса «В», 600x200/500x200</t>
  </si>
  <si>
    <t xml:space="preserve">4.74</t>
  </si>
  <si>
    <t xml:space="preserve">Переход из оцинкованной стали толщиной 0,7мм, класса «В», 600x250/500x300</t>
  </si>
  <si>
    <t xml:space="preserve">4.75</t>
  </si>
  <si>
    <t xml:space="preserve">Переход из оцинкованной стали толщиной 0,7мм, класса «В», 700x250/600x200</t>
  </si>
  <si>
    <t xml:space="preserve">4.76</t>
  </si>
  <si>
    <t xml:space="preserve">Ниппель из оцинкованной стали толщиной 0,5мм, класса «В», Ø100</t>
  </si>
  <si>
    <t xml:space="preserve">4.77</t>
  </si>
  <si>
    <t xml:space="preserve">Ниппель из оцинкованной стали толщиной 0,5мм, класса «В», Ø125</t>
  </si>
  <si>
    <t xml:space="preserve">4.78</t>
  </si>
  <si>
    <t xml:space="preserve">Ниппель из оцинкованной стали толщиной 0,5мм, класса «В», Ø160</t>
  </si>
  <si>
    <t xml:space="preserve">4.79</t>
  </si>
  <si>
    <t xml:space="preserve">Ниппель из оцинкованной стали толщиной 0,5мм, класса «В», Ø200</t>
  </si>
  <si>
    <t xml:space="preserve">4.80</t>
  </si>
  <si>
    <t xml:space="preserve">Изоляция круглого изделия от Ф100-ф250</t>
  </si>
  <si>
    <t xml:space="preserve">4.81</t>
  </si>
  <si>
    <t xml:space="preserve">Изоляция прямоугольного изделия</t>
  </si>
  <si>
    <t xml:space="preserve">за м2 а не за штуку</t>
  </si>
  <si>
    <t xml:space="preserve">4.82</t>
  </si>
  <si>
    <t xml:space="preserve">Изоляция прямоугольных воздуховодов</t>
  </si>
  <si>
    <t xml:space="preserve">4.83</t>
  </si>
  <si>
    <t xml:space="preserve">Изоляция круглых воздуховодов</t>
  </si>
  <si>
    <t xml:space="preserve">за м2</t>
  </si>
  <si>
    <t xml:space="preserve">4.84</t>
  </si>
  <si>
    <t xml:space="preserve">ПНР10этаж</t>
  </si>
  <si>
    <t xml:space="preserve">по тип.эт</t>
  </si>
  <si>
    <t xml:space="preserve">4.85</t>
  </si>
  <si>
    <t xml:space="preserve">Воздуховод 800*500</t>
  </si>
  <si>
    <t xml:space="preserve">удалить (если будут данные позиции сделаем отдельный допник)</t>
  </si>
  <si>
    <t xml:space="preserve">4.86</t>
  </si>
  <si>
    <t xml:space="preserve">Изоляция М-БОР</t>
  </si>
  <si>
    <t xml:space="preserve">4.87</t>
  </si>
  <si>
    <t xml:space="preserve">Отвод 90гр 800*500</t>
  </si>
  <si>
    <t xml:space="preserve">4.88</t>
  </si>
  <si>
    <t xml:space="preserve">Отвод 45гр 800*500</t>
  </si>
  <si>
    <t xml:space="preserve">5.1</t>
  </si>
  <si>
    <t xml:space="preserve">Фанкойл кассетный, 600x600 SK-32</t>
  </si>
  <si>
    <t xml:space="preserve">в чем разница в 2,5раза от балок?</t>
  </si>
  <si>
    <t xml:space="preserve">5.2</t>
  </si>
  <si>
    <t xml:space="preserve">Шаровый кран полнопроходной с накидной гайкой, Ду15 BVR-FR</t>
  </si>
  <si>
    <t xml:space="preserve">5.3</t>
  </si>
  <si>
    <t xml:space="preserve">Воздухоотводчик автоматический, Ду15 Airvent-R</t>
  </si>
  <si>
    <t xml:space="preserve">5.4</t>
  </si>
  <si>
    <t xml:space="preserve">Комбинированный балансировочный клапан, Ду20</t>
  </si>
  <si>
    <t xml:space="preserve">5.5</t>
  </si>
  <si>
    <t xml:space="preserve">Комплект трехходовой клапан, запорные краны, медные патрубк</t>
  </si>
  <si>
    <t xml:space="preserve">5.6</t>
  </si>
  <si>
    <t xml:space="preserve">Кран шаровый со спускным элементом, Ду20 BVR-DR</t>
  </si>
  <si>
    <t xml:space="preserve">5.7</t>
  </si>
  <si>
    <t xml:space="preserve">Фильтр сетчатый с пробкой, Ду20 FVR-R</t>
  </si>
  <si>
    <t xml:space="preserve">5.8</t>
  </si>
  <si>
    <t xml:space="preserve">Ниппель 3/4"</t>
  </si>
  <si>
    <t xml:space="preserve">5.9</t>
  </si>
  <si>
    <t xml:space="preserve">Муфта переходная 3/4"x 1/2"</t>
  </si>
  <si>
    <t xml:space="preserve">5.10</t>
  </si>
  <si>
    <t xml:space="preserve">Гибкая подводка 3/4" гайка/штуцер, длиной 500мм</t>
  </si>
  <si>
    <t xml:space="preserve">5.11</t>
  </si>
  <si>
    <t xml:space="preserve">Ниппель переходной 3/4"</t>
  </si>
  <si>
    <t xml:space="preserve">5.12</t>
  </si>
  <si>
    <t xml:space="preserve">Переходник 32-R 3/4</t>
  </si>
  <si>
    <t xml:space="preserve">5.13</t>
  </si>
  <si>
    <t xml:space="preserve">Монтажная гильза 32 LX</t>
  </si>
  <si>
    <t xml:space="preserve">5.14</t>
  </si>
  <si>
    <t xml:space="preserve">Муфта полипропиленовая 32 x 1/2"</t>
  </si>
  <si>
    <t xml:space="preserve">5.15</t>
  </si>
  <si>
    <t xml:space="preserve">Штуцер 1/2" x 14мм</t>
  </si>
  <si>
    <t xml:space="preserve">5.16</t>
  </si>
  <si>
    <t xml:space="preserve">Труба из сшитого полиэтилена PEX-a, Ø32х4,4</t>
  </si>
  <si>
    <t xml:space="preserve">5.17</t>
  </si>
  <si>
    <t xml:space="preserve">Труба из сшитого полиэтилена PEX-a, Ø40х5,5</t>
  </si>
  <si>
    <t xml:space="preserve">5.18</t>
  </si>
  <si>
    <t xml:space="preserve">Труба из сшитого полиэтилена PEX-a, Ø50х6,9</t>
  </si>
  <si>
    <t xml:space="preserve">5.19</t>
  </si>
  <si>
    <t xml:space="preserve">Трубки теплоизоляционные для трубы Ø32х4,4 толщиной 9мм</t>
  </si>
  <si>
    <t xml:space="preserve">5.20</t>
  </si>
  <si>
    <t xml:space="preserve">Трубки теплоизоляционные для трубы Ø40х5,5 толщиной 9мм</t>
  </si>
  <si>
    <t xml:space="preserve">5.21</t>
  </si>
  <si>
    <t xml:space="preserve">Трубки теплоизоляционные для трубы Ø50х6,9 толщиной 13мм</t>
  </si>
  <si>
    <t xml:space="preserve">5.22</t>
  </si>
  <si>
    <t xml:space="preserve">Муфта полипропиленовая, 32</t>
  </si>
  <si>
    <t xml:space="preserve">5.23</t>
  </si>
  <si>
    <t xml:space="preserve">Муфта полипропиленовая, 40</t>
  </si>
  <si>
    <t xml:space="preserve">5.24</t>
  </si>
  <si>
    <t xml:space="preserve">Муфта переходная полипропиленовая, 40/32</t>
  </si>
  <si>
    <t xml:space="preserve">5.25</t>
  </si>
  <si>
    <t xml:space="preserve">Угольник 450 полипропиленовый, 32</t>
  </si>
  <si>
    <t xml:space="preserve">5.26</t>
  </si>
  <si>
    <t xml:space="preserve">Угольник 450 полипропиленовый, 40</t>
  </si>
  <si>
    <t xml:space="preserve">5.27</t>
  </si>
  <si>
    <t xml:space="preserve">Угольник 900 полипропиленовый, 32</t>
  </si>
  <si>
    <t xml:space="preserve">5.28</t>
  </si>
  <si>
    <t xml:space="preserve">Угольник 900 полипропиленовый, 40</t>
  </si>
  <si>
    <t xml:space="preserve">5.29</t>
  </si>
  <si>
    <t xml:space="preserve">Тройник полипропиленовый, 32</t>
  </si>
  <si>
    <t xml:space="preserve">5.30</t>
  </si>
  <si>
    <t xml:space="preserve">Тройник полипропиленовый, 40</t>
  </si>
  <si>
    <t xml:space="preserve">5.31</t>
  </si>
  <si>
    <t xml:space="preserve">Труба полипропиленовая, Ø32х5,4</t>
  </si>
  <si>
    <t xml:space="preserve">5.32</t>
  </si>
  <si>
    <t xml:space="preserve">Труба полипропиленовая, Ø40х6,7</t>
  </si>
  <si>
    <t xml:space="preserve">5.33</t>
  </si>
  <si>
    <t xml:space="preserve">Трубки теплоизоляционные для трубы Ø32х5,4 толщиной 6мм</t>
  </si>
  <si>
    <t xml:space="preserve">5.34</t>
  </si>
  <si>
    <t xml:space="preserve">Трубки теплоизоляционные для трубы Ø40х6,7 толщиной 6мм</t>
  </si>
  <si>
    <t xml:space="preserve">5.35</t>
  </si>
  <si>
    <t xml:space="preserve">Дренаж</t>
  </si>
  <si>
    <t xml:space="preserve">5.36</t>
  </si>
  <si>
    <t xml:space="preserve">ПНР 10й этаж</t>
  </si>
  <si>
    <t xml:space="preserve">6.1</t>
  </si>
  <si>
    <t xml:space="preserve">6.2</t>
  </si>
  <si>
    <t xml:space="preserve">Решетка защитная круглая, Ø160 БСК 160</t>
  </si>
  <si>
    <t xml:space="preserve">6.3</t>
  </si>
  <si>
    <t xml:space="preserve">Решетка защитная круглая, Ø200 БСК 200</t>
  </si>
  <si>
    <t xml:space="preserve">6.4</t>
  </si>
  <si>
    <t xml:space="preserve">Диффузор круглый, Ø100 ЛК 100</t>
  </si>
  <si>
    <t xml:space="preserve">6.5</t>
  </si>
  <si>
    <t xml:space="preserve">Диффузор круглый, Ø125 ЛК 125</t>
  </si>
  <si>
    <t xml:space="preserve">6.6</t>
  </si>
  <si>
    <t xml:space="preserve">Диффузор круглый, Ø160 ЛК 160</t>
  </si>
  <si>
    <t xml:space="preserve">6.7</t>
  </si>
  <si>
    <t xml:space="preserve">Диффузор круглый, Ø160 VE 160</t>
  </si>
  <si>
    <t xml:space="preserve">6.8</t>
  </si>
  <si>
    <t xml:space="preserve">Регулятор расхода воздуха, Ø100 КВК 100</t>
  </si>
  <si>
    <t xml:space="preserve">6.9</t>
  </si>
  <si>
    <t xml:space="preserve">Регулятор расхода воздуха, Ø125 КВК 125</t>
  </si>
  <si>
    <t xml:space="preserve">6.10</t>
  </si>
  <si>
    <t xml:space="preserve">Регулятор расхода воздуха, Ø160 КВК 160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</si>
  <si>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</si>
  <si>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</si>
  <si>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</si>
  <si>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</si>
  <si>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</si>
  <si>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</si>
  <si>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</si>
  <si>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</si>
  <si>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</si>
  <si>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Воздуховод из оцинкованной стали толщиной 0,6мм, класса «В», Ø250</t>
  </si>
  <si>
    <t xml:space="preserve">6.20</t>
  </si>
  <si>
    <t xml:space="preserve">6.21</t>
  </si>
  <si>
    <t xml:space="preserve">Воздуховод из оцинкованной стали толщиной 0,7мм, класса «В», 300x250</t>
  </si>
  <si>
    <t xml:space="preserve">6.22</t>
  </si>
  <si>
    <t xml:space="preserve">6.23</t>
  </si>
  <si>
    <t xml:space="preserve">6.24</t>
  </si>
  <si>
    <t xml:space="preserve">Воздуховод из оцинкованной стали толщиной 0,7мм, класса «В», 700x200</t>
  </si>
  <si>
    <t xml:space="preserve">6.25</t>
  </si>
  <si>
    <t xml:space="preserve">Отвод 150 из оцинкованной стали толщиной 0,5мм, класса «В», Ø200</t>
  </si>
  <si>
    <t xml:space="preserve">6.26</t>
  </si>
  <si>
    <t xml:space="preserve">Отвод 150 из оцинкованной стали толщиной 0,7мм, класса «В», 600x250</t>
  </si>
  <si>
    <t xml:space="preserve">6.27</t>
  </si>
  <si>
    <t xml:space="preserve">Отвод 300 из оцинкованной стали толщиной 0,5мм, класса «В», Ø100</t>
  </si>
  <si>
    <t xml:space="preserve">6.28</t>
  </si>
  <si>
    <t xml:space="preserve">Отвод 300 из оцинкованной стали толщиной 0,5мм, класса «В», Ø125</t>
  </si>
  <si>
    <t xml:space="preserve">6.29</t>
  </si>
  <si>
    <t xml:space="preserve">6.30</t>
  </si>
  <si>
    <t xml:space="preserve">Отвод 300 из оцинкованной стали толщиной 0,6мм, класса «В», Ø250</t>
  </si>
  <si>
    <t xml:space="preserve">6.31</t>
  </si>
  <si>
    <t xml:space="preserve">Отвод 300 из оцинкованной стали толщиной 0,7мм, класса «В», 300x200</t>
  </si>
  <si>
    <t xml:space="preserve">6.32</t>
  </si>
  <si>
    <t xml:space="preserve">Отвод 300 из оцинкованной стали толщиной 0,7мм, класса «В», 300x250</t>
  </si>
  <si>
    <t xml:space="preserve">6.33</t>
  </si>
  <si>
    <t xml:space="preserve">Отвод 450 из оцинкованной стали толщиной 0,5мм, класса «В», Ø100</t>
  </si>
  <si>
    <t xml:space="preserve">6.34</t>
  </si>
  <si>
    <t xml:space="preserve">Отвод 450 из оцинкованной стали толщиной 0,5мм, класса «В», Ø125</t>
  </si>
  <si>
    <t xml:space="preserve">6.35</t>
  </si>
  <si>
    <t xml:space="preserve">Отвод 450 из оцинкованной стали толщиной 0,5мм, класса «В», Ø200</t>
  </si>
  <si>
    <t xml:space="preserve">6.36</t>
  </si>
  <si>
    <t xml:space="preserve">Отвод 450 из оцинкованной стали толщиной 0,7мм, класса «В», 200x300</t>
  </si>
  <si>
    <t xml:space="preserve">6.37</t>
  </si>
  <si>
    <t xml:space="preserve">Отвод 450 из оцинкованной стали толщиной 0,7мм, класса «В», 200x400</t>
  </si>
  <si>
    <t xml:space="preserve">6.38</t>
  </si>
  <si>
    <t xml:space="preserve">Отвод 600 из оцинкованной стали толщиной 0,5мм, класса «В», Ø200</t>
  </si>
  <si>
    <t xml:space="preserve">6.39</t>
  </si>
  <si>
    <t xml:space="preserve">6.40</t>
  </si>
  <si>
    <t xml:space="preserve">6.41</t>
  </si>
  <si>
    <t xml:space="preserve">6.42</t>
  </si>
  <si>
    <t xml:space="preserve">Отвод 900 из оцинкованной стали толщиной 0,6мм, класса «В», Ø250</t>
  </si>
  <si>
    <t xml:space="preserve">6.43</t>
  </si>
  <si>
    <t xml:space="preserve">Отвод 900 из оцинкованной стали толщиной 0,7мм, класса «В», 200x300</t>
  </si>
  <si>
    <t xml:space="preserve">6.44</t>
  </si>
  <si>
    <t xml:space="preserve">Отвод 900 из оцинкованной стали толщиной 0,7мм, класса «В», 200x400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</si>
  <si>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</si>
  <si>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</si>
  <si>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</si>
  <si>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</si>
  <si>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</si>
  <si>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Врезка плоская из оцинкованной стали толщиной 0,5мм, класса «В», Ø125</t>
  </si>
  <si>
    <t xml:space="preserve">6.50</t>
  </si>
  <si>
    <t xml:space="preserve">6.51</t>
  </si>
  <si>
    <t xml:space="preserve">6.52</t>
  </si>
  <si>
    <t xml:space="preserve">6.53</t>
  </si>
  <si>
    <t xml:space="preserve">Врезка-седло из оцинкованной стали толщиной 0,6мм, класса «В», Ø250/Ø100</t>
  </si>
  <si>
    <t xml:space="preserve">6.54</t>
  </si>
  <si>
    <t xml:space="preserve">6.55</t>
  </si>
  <si>
    <t xml:space="preserve">Переход из оцинкованной стали толщиной 0,5мм, класса «В», Ø200/Ø125</t>
  </si>
  <si>
    <t xml:space="preserve">6.56</t>
  </si>
  <si>
    <t xml:space="preserve">Переход из оцинкованной стали толщиной 0,6мм, класса «В», Ø250/Ø200</t>
  </si>
  <si>
    <t xml:space="preserve">6.57</t>
  </si>
  <si>
    <t xml:space="preserve">Переход из оцинкованной стали толщиной 0,7мм, класса «В», 300x200/Ø200</t>
  </si>
  <si>
    <t xml:space="preserve">6.58</t>
  </si>
  <si>
    <t xml:space="preserve">Переход из оцинкованной стали толщиной 0,7мм, класса «В», 300x250/Ø200</t>
  </si>
  <si>
    <t xml:space="preserve">6.59</t>
  </si>
  <si>
    <t xml:space="preserve">Переход из оцинкованной стали толщиной 0,7мм, класса «В», 400x200/Ø250</t>
  </si>
  <si>
    <t xml:space="preserve">6.60</t>
  </si>
  <si>
    <t xml:space="preserve">Переход из оцинкованной стали толщиной 0,7мм, класса «В», 400x200/300x200</t>
  </si>
  <si>
    <t xml:space="preserve">6.61</t>
  </si>
  <si>
    <t xml:space="preserve">Переход из оцинкованной стали толщиной 0,7мм, класса «В», 600x250/400x200</t>
  </si>
  <si>
    <t xml:space="preserve">6.62</t>
  </si>
  <si>
    <t xml:space="preserve">Переход из оцинкованной стали толщиной 0,7мм, класса «В», 700x200/600x250</t>
  </si>
  <si>
    <t xml:space="preserve">6.63</t>
  </si>
  <si>
    <t xml:space="preserve">Заглушка из оцинкованной стали толщиной 0,5мм, класса «В», Ø200</t>
  </si>
  <si>
    <t xml:space="preserve">6.64</t>
  </si>
  <si>
    <t xml:space="preserve">Заглушка из оцинкованной стали толщиной 0,7мм, класса «В», 400x200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</si>
  <si>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</si>
  <si>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</si>
  <si>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</si>
  <si>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</si>
  <si>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</si>
  <si>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6.70</t>
  </si>
  <si>
    <t xml:space="preserve">6.71</t>
  </si>
  <si>
    <t xml:space="preserve">демонтаж воздуховодов</t>
  </si>
  <si>
    <t xml:space="preserve">6.72</t>
  </si>
  <si>
    <t xml:space="preserve">6.73</t>
  </si>
  <si>
    <t xml:space="preserve">6.74</t>
  </si>
  <si>
    <t xml:space="preserve">ПНР 2й этаж</t>
  </si>
  <si>
    <t xml:space="preserve">6.75</t>
  </si>
  <si>
    <t xml:space="preserve">6.76</t>
  </si>
  <si>
    <t xml:space="preserve">6.77</t>
  </si>
  <si>
    <t xml:space="preserve">6.78</t>
  </si>
  <si>
    <t xml:space="preserve">7.1</t>
  </si>
  <si>
    <t xml:space="preserve">Фанкойл кассетный, 600x600 SK-12</t>
  </si>
  <si>
    <t xml:space="preserve">7.2</t>
  </si>
  <si>
    <t xml:space="preserve">Подключение фанкойлов в радиусе 2,5 м</t>
  </si>
  <si>
    <t xml:space="preserve">7.3</t>
  </si>
  <si>
    <t xml:space="preserve">7.4</t>
  </si>
  <si>
    <t xml:space="preserve">7.5</t>
  </si>
  <si>
    <t xml:space="preserve">в п.5.5 стоит 1944</t>
  </si>
  <si>
    <t xml:space="preserve">7.6</t>
  </si>
  <si>
    <t xml:space="preserve">Комплект трехходовой клапан, запорные краны, медные патрубки</t>
  </si>
  <si>
    <t xml:space="preserve">7.7</t>
  </si>
  <si>
    <t xml:space="preserve">теплоизоляция труб</t>
  </si>
  <si>
    <t xml:space="preserve">7.8</t>
  </si>
  <si>
    <t xml:space="preserve">дренаж</t>
  </si>
  <si>
    <t xml:space="preserve">7.9</t>
  </si>
  <si>
    <t xml:space="preserve">демонтаж холодоснабжения</t>
  </si>
  <si>
    <t xml:space="preserve">7.10</t>
  </si>
  <si>
    <t xml:space="preserve">демонтаж дренажной системы</t>
  </si>
  <si>
    <t xml:space="preserve">7.11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</si>
</sst>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-#,##0.00;\–"/>
    <numFmt numFmtId="166" formatCode="0.0%;[RED]\-0.0%;\–"/>
    <numFmt numFmtId="167" formatCode="0"/>
    <numFmt numFmtId="168" formatCode="#,##0.##;\-#,##0.##;\–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FCE4E4"/>
        <bgColor rgb="FFEDEDED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SUM('Все позиции'!$G$5:$G$331)</f>
        <v>22665254.141</v>
      </c>
    </row>
    <row r="6" customFormat="false" ht="15" hidden="false" customHeight="false" outlineLevel="0" collapsed="false">
      <c r="A6" s="6" t="s">
        <v>4</v>
      </c>
      <c r="B6" s="5" t="n">
        <f aca="false">SUM('Все позиции'!$J$5:$J$331)</f>
        <v>16526808.301</v>
      </c>
    </row>
    <row r="7" customFormat="false" ht="15" hidden="false" customHeight="false" outlineLevel="0" collapsed="false">
      <c r="A7" s="6" t="s">
        <v>5</v>
      </c>
      <c r="B7" s="5" t="n">
        <f aca="false">SUM('Все позиции'!$M$5:$M$331)-SUM('Все позиции'!$J$5:$J$331)</f>
        <v>-452611.159999998</v>
      </c>
    </row>
    <row r="8" customFormat="false" ht="15" hidden="false" customHeight="false" outlineLevel="0" collapsed="false">
      <c r="A8" s="7" t="s">
        <v>6</v>
      </c>
      <c r="B8" s="8" t="n">
        <f aca="false">SUM('Все позиции'!$M$5:$M$331)</f>
        <v>16074197.141</v>
      </c>
    </row>
    <row r="9" customFormat="false" ht="15" hidden="false" customHeight="false" outlineLevel="0" collapsed="false">
      <c r="A9" s="9" t="s">
        <v>7</v>
      </c>
      <c r="B9" s="10" t="n">
        <f aca="false">B8-B5</f>
        <v>-6591057</v>
      </c>
    </row>
    <row r="10" customFormat="false" ht="15" hidden="false" customHeight="false" outlineLevel="0" collapsed="false">
      <c r="A10" s="6" t="s">
        <v>8</v>
      </c>
      <c r="B10" s="11" t="n">
        <f aca="false">IF(B5=0,"",B9/B5)</f>
        <v>-0.290800048347007</v>
      </c>
    </row>
    <row r="11" customFormat="false" ht="15" hidden="false" customHeight="false" outlineLevel="0" collapsed="false">
      <c r="A11" s="3" t="s">
        <v>9</v>
      </c>
    </row>
    <row r="12" customFormat="false" ht="26.85" hidden="false" customHeight="false" outlineLevel="0" collapsed="false">
      <c r="A12" s="12" t="s">
        <v>10</v>
      </c>
      <c r="B12" s="12" t="s">
        <v>11</v>
      </c>
      <c r="C12" s="12" t="s">
        <v>12</v>
      </c>
      <c r="D12" s="12" t="s">
        <v>13</v>
      </c>
      <c r="E12" s="12" t="s">
        <v>14</v>
      </c>
      <c r="F12" s="12" t="s">
        <v>15</v>
      </c>
    </row>
    <row r="13" customFormat="false" ht="15" hidden="false" customHeight="false" outlineLevel="0" collapsed="false">
      <c r="A13" s="13" t="s">
        <v>16</v>
      </c>
      <c r="B13" s="13" t="n">
        <f aca="false">SUMIFS('Все позиции'!$G$5:$G$331,'Все позиции'!$A$5:$A$331,$A13)</f>
        <v>3137546.941</v>
      </c>
      <c r="C13" s="13" t="n">
        <f aca="false">SUMIFS('Все позиции'!$J$5:$J$331,'Все позиции'!$A$5:$A$331,$A13)</f>
        <v>3137546.941</v>
      </c>
      <c r="D13" s="13" t="n">
        <f aca="false">SUMIFS('Все позиции'!$M$5:$M$331,'Все позиции'!$A$5:$A$331,$A13)</f>
        <v>3052971.961</v>
      </c>
      <c r="E13" s="5" t="n">
        <f aca="false">D13-B13</f>
        <v>-84574.98</v>
      </c>
      <c r="F13" s="14" t="n">
        <f aca="false">IF(B13=0,"",E13/B13)</f>
        <v>-0.026955765631683</v>
      </c>
    </row>
    <row r="14" customFormat="false" ht="15" hidden="false" customHeight="false" outlineLevel="0" collapsed="false">
      <c r="A14" s="13" t="s">
        <v>17</v>
      </c>
      <c r="B14" s="13" t="n">
        <f aca="false">SUMIFS('Все позиции'!$G$5:$G$331,'Все позиции'!$A$5:$A$331,$A14)</f>
        <v>9902752</v>
      </c>
      <c r="C14" s="13" t="n">
        <f aca="false">SUMIFS('Все позиции'!$J$5:$J$331,'Все позиции'!$A$5:$A$331,$A14)</f>
        <v>8491752</v>
      </c>
      <c r="D14" s="13" t="n">
        <f aca="false">SUMIFS('Все позиции'!$M$5:$M$331,'Все позиции'!$A$5:$A$331,$A14)</f>
        <v>8179752</v>
      </c>
      <c r="E14" s="5" t="n">
        <f aca="false">D14-B14</f>
        <v>-1723000</v>
      </c>
      <c r="F14" s="14" t="n">
        <f aca="false">IF(B14=0,"",E14/B14)</f>
        <v>-0.173992037768895</v>
      </c>
    </row>
    <row r="15" customFormat="false" ht="15" hidden="false" customHeight="false" outlineLevel="0" collapsed="false">
      <c r="A15" s="13" t="s">
        <v>18</v>
      </c>
      <c r="B15" s="13" t="n">
        <f aca="false">SUMIFS('Все позиции'!$G$5:$G$331,'Все позиции'!$A$5:$A$331,$A15)</f>
        <v>1951684</v>
      </c>
      <c r="C15" s="13" t="n">
        <f aca="false">SUMIFS('Все позиции'!$J$5:$J$331,'Все позиции'!$A$5:$A$331,$A15)</f>
        <v>1411914</v>
      </c>
      <c r="D15" s="13" t="n">
        <f aca="false">SUMIFS('Все позиции'!$M$5:$M$331,'Все позиции'!$A$5:$A$331,$A15)</f>
        <v>1411914</v>
      </c>
      <c r="E15" s="5" t="n">
        <f aca="false">D15-B15</f>
        <v>-539770</v>
      </c>
      <c r="F15" s="14" t="n">
        <f aca="false">IF(B15=0,"",E15/B15)</f>
        <v>-0.276566288395048</v>
      </c>
    </row>
    <row r="16" customFormat="false" ht="15" hidden="false" customHeight="false" outlineLevel="0" collapsed="false">
      <c r="A16" s="13" t="s">
        <v>19</v>
      </c>
      <c r="B16" s="13" t="n">
        <f aca="false">SUMIFS('Все позиции'!$G$5:$G$331,'Все позиции'!$A$5:$A$331,$A16)</f>
        <v>1416664.8</v>
      </c>
      <c r="C16" s="13" t="n">
        <f aca="false">SUMIFS('Все позиции'!$J$5:$J$331,'Все позиции'!$A$5:$A$331,$A16)</f>
        <v>845451.58</v>
      </c>
      <c r="D16" s="13" t="n">
        <f aca="false">SUMIFS('Все позиции'!$M$5:$M$331,'Все позиции'!$A$5:$A$331,$A16)</f>
        <v>845451.58</v>
      </c>
      <c r="E16" s="5" t="n">
        <f aca="false">D16-B16</f>
        <v>-571213.22</v>
      </c>
      <c r="F16" s="14" t="n">
        <f aca="false">IF(B16=0,"",E16/B16)</f>
        <v>-0.403209863052996</v>
      </c>
    </row>
    <row r="17" customFormat="false" ht="15" hidden="false" customHeight="false" outlineLevel="0" collapsed="false">
      <c r="A17" s="13" t="s">
        <v>20</v>
      </c>
      <c r="B17" s="13" t="n">
        <f aca="false">SUMIFS('Все позиции'!$G$5:$G$331,'Все позиции'!$A$5:$A$331,$A17)</f>
        <v>253760</v>
      </c>
      <c r="C17" s="13" t="n">
        <f aca="false">SUMIFS('Все позиции'!$J$5:$J$331,'Все позиции'!$A$5:$A$331,$A17)</f>
        <v>0</v>
      </c>
      <c r="D17" s="13" t="n">
        <f aca="false">SUMIFS('Все позиции'!$M$5:$M$331,'Все позиции'!$A$5:$A$331,$A17)</f>
        <v>0</v>
      </c>
      <c r="E17" s="5" t="n">
        <f aca="false">D17-B17</f>
        <v>-253760</v>
      </c>
      <c r="F17" s="14" t="n">
        <f aca="false">IF(B17=0,"",E17/B17)</f>
        <v>-1</v>
      </c>
    </row>
    <row r="18" customFormat="false" ht="15" hidden="false" customHeight="false" outlineLevel="0" collapsed="false">
      <c r="A18" s="13" t="s">
        <v>21</v>
      </c>
      <c r="B18" s="13" t="n">
        <f aca="false">SUMIFS('Все позиции'!$G$5:$G$331,'Все позиции'!$A$5:$A$331,$A18)</f>
        <v>1777290</v>
      </c>
      <c r="C18" s="13" t="n">
        <f aca="false">SUMIFS('Все позиции'!$J$5:$J$331,'Все позиции'!$A$5:$A$331,$A18)</f>
        <v>1075964</v>
      </c>
      <c r="D18" s="13" t="n">
        <f aca="false">SUMIFS('Все позиции'!$M$5:$M$331,'Все позиции'!$A$5:$A$331,$A18)</f>
        <v>1075964</v>
      </c>
      <c r="E18" s="5" t="n">
        <f aca="false">D18-B18</f>
        <v>-701326</v>
      </c>
      <c r="F18" s="14" t="n">
        <f aca="false">IF(B18=0,"",E18/B18)</f>
        <v>-0.394604144512151</v>
      </c>
    </row>
    <row r="19" customFormat="false" ht="15" hidden="false" customHeight="false" outlineLevel="0" collapsed="false">
      <c r="A19" s="13" t="s">
        <v>22</v>
      </c>
      <c r="B19" s="13" t="n">
        <f aca="false">SUMIFS('Все позиции'!$G$5:$G$331,'Все позиции'!$A$5:$A$331,$A19)</f>
        <v>1563350.4</v>
      </c>
      <c r="C19" s="13" t="n">
        <f aca="false">SUMIFS('Все позиции'!$J$5:$J$331,'Все позиции'!$A$5:$A$331,$A19)</f>
        <v>863491.78</v>
      </c>
      <c r="D19" s="13" t="n">
        <f aca="false">SUMIFS('Все позиции'!$M$5:$M$331,'Все позиции'!$A$5:$A$331,$A19)</f>
        <v>815195.6</v>
      </c>
      <c r="E19" s="5" t="n">
        <f aca="false">D19-B19</f>
        <v>-748154.8</v>
      </c>
      <c r="F19" s="14" t="n">
        <f aca="false">IF(B19=0,"",E19/B19)</f>
        <v>-0.478558613603195</v>
      </c>
    </row>
    <row r="20" customFormat="false" ht="15" hidden="false" customHeight="false" outlineLevel="0" collapsed="false">
      <c r="A20" s="13" t="s">
        <v>23</v>
      </c>
      <c r="B20" s="13" t="n">
        <f aca="false">SUMIFS('Все позиции'!$G$5:$G$331,'Все позиции'!$A$5:$A$331,$A20)</f>
        <v>774720</v>
      </c>
      <c r="C20" s="13" t="n">
        <f aca="false">SUMIFS('Все позиции'!$J$5:$J$331,'Все позиции'!$A$5:$A$331,$A20)</f>
        <v>0</v>
      </c>
      <c r="D20" s="13" t="n">
        <f aca="false">SUMIFS('Все позиции'!$M$5:$M$331,'Все позиции'!$A$5:$A$331,$A20)</f>
        <v>0</v>
      </c>
      <c r="E20" s="5" t="n">
        <f aca="false">D20-B20</f>
        <v>-774720</v>
      </c>
      <c r="F20" s="14" t="n">
        <f aca="false">IF(B20=0,"",E20/B20)</f>
        <v>-1</v>
      </c>
    </row>
    <row r="21" customFormat="false" ht="15" hidden="false" customHeight="false" outlineLevel="0" collapsed="false">
      <c r="A21" s="13" t="s">
        <v>24</v>
      </c>
      <c r="B21" s="13" t="n">
        <f aca="false">SUMIFS('Все позиции'!$G$5:$G$331,'Все позиции'!$A$5:$A$331,$A21)</f>
        <v>1887486</v>
      </c>
      <c r="C21" s="13" t="n">
        <f aca="false">SUMIFS('Все позиции'!$J$5:$J$331,'Все позиции'!$A$5:$A$331,$A21)</f>
        <v>700688</v>
      </c>
      <c r="D21" s="13" t="n">
        <f aca="false">SUMIFS('Все позиции'!$M$5:$M$331,'Все позиции'!$A$5:$A$331,$A21)</f>
        <v>692948</v>
      </c>
      <c r="E21" s="5" t="n">
        <f aca="false">D21-B21</f>
        <v>-1194538</v>
      </c>
      <c r="F21" s="14" t="n">
        <f aca="false">IF(B21=0,"",E21/B21)</f>
        <v>-0.632872508723244</v>
      </c>
    </row>
    <row r="22" customFormat="false" ht="15" hidden="false" customHeight="false" outlineLevel="0" collapsed="false">
      <c r="A22" s="5" t="s">
        <v>25</v>
      </c>
      <c r="B22" s="5" t="n">
        <f aca="false">SUM(B13:B21)</f>
        <v>22665254.141</v>
      </c>
      <c r="C22" s="5" t="n">
        <f aca="false">SUM(C13:C21)</f>
        <v>16526808.301</v>
      </c>
      <c r="D22" s="5" t="n">
        <f aca="false">SUM(D13:D21)</f>
        <v>16074197.141</v>
      </c>
      <c r="E22" s="5" t="n">
        <f aca="false">SUM(E13:E21)</f>
        <v>-6591057</v>
      </c>
      <c r="F22" s="11" t="n">
        <f aca="false">IF(B22=0,"",E22/B22)</f>
        <v>-0.290800048347007</v>
      </c>
    </row>
    <row r="24" customFormat="false" ht="15" hidden="false" customHeight="false" outlineLevel="0" collapsed="false">
      <c r="A24" s="3" t="s">
        <v>26</v>
      </c>
    </row>
    <row r="25" customFormat="false" ht="26.85" hidden="false" customHeight="false" outlineLevel="0" collapsed="false">
      <c r="A25" s="12" t="s">
        <v>27</v>
      </c>
      <c r="B25" s="12" t="s">
        <v>28</v>
      </c>
      <c r="C25" s="12" t="s">
        <v>14</v>
      </c>
      <c r="D25" s="12" t="s">
        <v>29</v>
      </c>
    </row>
    <row r="26" customFormat="false" ht="15" hidden="false" customHeight="false" outlineLevel="0" collapsed="false">
      <c r="A26" s="6" t="s">
        <v>30</v>
      </c>
      <c r="B26" s="15" t="n">
        <f aca="false">COUNTIF('Все позиции'!$P$5:$P$331,A26)</f>
        <v>175</v>
      </c>
      <c r="C26" s="13" t="n">
        <f aca="false">SUMIFS('Все позиции'!$N$5:$N$331,'Все позиции'!$P$5:$P$331,A26)</f>
        <v>-3881419.84</v>
      </c>
      <c r="D26" s="14" t="n">
        <f aca="false">IF($C$34=0,"",C26/$C$34)</f>
        <v>0.588891863626729</v>
      </c>
    </row>
    <row r="27" customFormat="false" ht="15" hidden="false" customHeight="false" outlineLevel="0" collapsed="false">
      <c r="A27" s="6" t="s">
        <v>31</v>
      </c>
      <c r="B27" s="15" t="n">
        <f aca="false">COUNTIF('Все позиции'!$P$5:$P$331,A27)</f>
        <v>1</v>
      </c>
      <c r="C27" s="13" t="n">
        <f aca="false">SUMIFS('Все позиции'!$N$5:$N$331,'Все позиции'!$P$5:$P$331,A27)</f>
        <v>-78200</v>
      </c>
      <c r="D27" s="14" t="n">
        <f aca="false">IF($C$34=0,"",C27/$C$34)</f>
        <v>0.0118645613290858</v>
      </c>
    </row>
    <row r="28" customFormat="false" ht="15" hidden="false" customHeight="false" outlineLevel="0" collapsed="false">
      <c r="A28" s="6" t="s">
        <v>32</v>
      </c>
      <c r="B28" s="15" t="n">
        <f aca="false">COUNTIF('Все позиции'!$P$5:$P$331,A28)</f>
        <v>6</v>
      </c>
      <c r="C28" s="13" t="n">
        <f aca="false">SUMIFS('Все позиции'!$N$5:$N$331,'Все позиции'!$P$5:$P$331,A28)</f>
        <v>-1151370</v>
      </c>
      <c r="D28" s="14" t="n">
        <f aca="false">IF($C$34=0,"",C28/$C$34)</f>
        <v>0.174686700479149</v>
      </c>
    </row>
    <row r="29" customFormat="false" ht="15" hidden="false" customHeight="false" outlineLevel="0" collapsed="false">
      <c r="A29" s="6" t="s">
        <v>33</v>
      </c>
      <c r="B29" s="15" t="n">
        <f aca="false">COUNTIF('Все позиции'!$P$5:$P$331,A29)</f>
        <v>8</v>
      </c>
      <c r="C29" s="13" t="n">
        <f aca="false">SUMIFS('Все позиции'!$N$5:$N$331,'Все позиции'!$P$5:$P$331,A29)</f>
        <v>-1028480</v>
      </c>
      <c r="D29" s="14" t="n">
        <f aca="false">IF($C$34=0,"",C29/$C$34)</f>
        <v>0.156041739587444</v>
      </c>
    </row>
    <row r="30" customFormat="false" ht="15" hidden="false" customHeight="false" outlineLevel="0" collapsed="false">
      <c r="A30" s="6" t="s">
        <v>34</v>
      </c>
      <c r="B30" s="15" t="n">
        <f aca="false">COUNTIF('Все позиции'!$P$5:$P$331,A30)</f>
        <v>6</v>
      </c>
      <c r="C30" s="13" t="n">
        <f aca="false">SUMIFS('Все позиции'!$N$5:$N$331,'Все позиции'!$P$5:$P$331,A30)</f>
        <v>-404314.98</v>
      </c>
      <c r="D30" s="14" t="n">
        <f aca="false">IF($C$34=0,"",C30/$C$34)</f>
        <v>0.061342965172354</v>
      </c>
    </row>
    <row r="31" customFormat="false" ht="15" hidden="false" customHeight="false" outlineLevel="0" collapsed="false">
      <c r="A31" s="6" t="s">
        <v>35</v>
      </c>
      <c r="B31" s="15" t="n">
        <f aca="false">COUNTIF('Все позиции'!$P$5:$P$331,A31)</f>
        <v>3</v>
      </c>
      <c r="C31" s="13" t="n">
        <f aca="false">SUMIFS('Все позиции'!$N$5:$N$331,'Все позиции'!$P$5:$P$331,A31)</f>
        <v>-48296.18</v>
      </c>
      <c r="D31" s="14" t="n">
        <f aca="false">IF($C$34=0,"",C31/$C$34)</f>
        <v>0.00732753183594073</v>
      </c>
    </row>
    <row r="32" customFormat="false" ht="15" hidden="false" customHeight="false" outlineLevel="0" collapsed="false">
      <c r="A32" s="6" t="s">
        <v>36</v>
      </c>
      <c r="B32" s="15" t="n">
        <f aca="false">COUNTIF('Все позиции'!$P$5:$P$331,A32)</f>
        <v>3</v>
      </c>
      <c r="C32" s="13" t="n">
        <f aca="false">SUMIFS('Все позиции'!$N$5:$N$331,'Все позиции'!$P$5:$P$331,A32)</f>
        <v>1024</v>
      </c>
      <c r="D32" s="14" t="n">
        <f aca="false">IF($C$34=0,"",C32/$C$34)</f>
        <v>-0.000155362030703118</v>
      </c>
    </row>
    <row r="33" customFormat="false" ht="15" hidden="false" customHeight="false" outlineLevel="0" collapsed="false">
      <c r="A33" s="6" t="s">
        <v>37</v>
      </c>
      <c r="B33" s="15" t="n">
        <f aca="false">COUNTIF('Все позиции'!$P$5:$P$331,A33)</f>
        <v>117</v>
      </c>
      <c r="C33" s="13" t="n">
        <f aca="false">SUMIFS('Все позиции'!$N$5:$N$331,'Все позиции'!$P$5:$P$331,A33)</f>
        <v>0</v>
      </c>
      <c r="D33" s="14" t="n">
        <f aca="false">IF($C$34=0,"",C33/$C$34)</f>
        <v>-0</v>
      </c>
    </row>
    <row r="34" customFormat="false" ht="15" hidden="false" customHeight="false" outlineLevel="0" collapsed="false">
      <c r="A34" s="4" t="s">
        <v>25</v>
      </c>
      <c r="B34" s="16" t="n">
        <f aca="false">SUM(B26:B33)</f>
        <v>319</v>
      </c>
      <c r="C34" s="5" t="n">
        <f aca="false">SUM(C26:C33)</f>
        <v>-6591057</v>
      </c>
      <c r="D34" s="11" t="n">
        <f aca="false">IF(C34=0,"",C34/C34)</f>
        <v>1</v>
      </c>
    </row>
    <row r="35" customFormat="false" ht="15" hidden="false" customHeight="false" outlineLevel="0" collapsed="false">
      <c r="A35" s="2" t="s">
        <v>38</v>
      </c>
      <c r="C35" s="2" t="str">
        <f aca="false">IF(ABS(C34-E22)&lt;0.01,"сходится","НЕ СХОДИТСЯ")</f>
        <v>сходится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48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2" min="10" style="0" width="15"/>
    <col collapsed="false" customWidth="true" hidden="false" outlineLevel="0" max="13" min="13" style="0" width="26"/>
    <col collapsed="false" customWidth="true" hidden="false" outlineLevel="0" max="14" min="14" style="0" width="40"/>
    <col collapsed="false" customWidth="true" hidden="false" outlineLevel="0" max="15" min="15" style="0" width="45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36" hidden="false" customHeight="true" outlineLevel="0" collapsed="false">
      <c r="A3" s="12" t="s">
        <v>10</v>
      </c>
      <c r="B3" s="12" t="s">
        <v>41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  <c r="J3" s="12" t="s">
        <v>49</v>
      </c>
      <c r="K3" s="12" t="s">
        <v>50</v>
      </c>
      <c r="L3" s="12" t="s">
        <v>14</v>
      </c>
      <c r="M3" s="12" t="s">
        <v>27</v>
      </c>
      <c r="N3" s="12" t="s">
        <v>51</v>
      </c>
      <c r="O3" s="12" t="s">
        <v>52</v>
      </c>
    </row>
    <row r="4" customFormat="false" ht="26.85" hidden="false" customHeight="false" outlineLevel="0" collapsed="false">
      <c r="A4" s="17" t="str">
        <f aca="false">IF('Все позиции'!A46="","",'Все позиции'!A46)</f>
        <v>2. Кондиционирование</v>
      </c>
      <c r="B4" s="17" t="str">
        <f aca="false">IF('Все позиции'!B46="","",'Все позиции'!B46)</f>
        <v>2.7</v>
      </c>
      <c r="C4" s="18" t="str">
        <f aca="false">IF('Все позиции'!C46="","",'Все позиции'!C46)</f>
        <v>Узел регулирования климатической балки 1/2 Modulator ½</v>
      </c>
      <c r="D4" s="17" t="str">
        <f aca="false">IF('Все позиции'!D46="","",'Все позиции'!D46)</f>
        <v>шт.</v>
      </c>
      <c r="E4" s="19" t="n">
        <f aca="false">IF('Все позиции'!E46="","",'Все позиции'!E46)</f>
        <v>340</v>
      </c>
      <c r="F4" s="20" t="n">
        <f aca="false">IF('Все позиции'!F46="","",'Все позиции'!F46)</f>
        <v>6650</v>
      </c>
      <c r="G4" s="19" t="n">
        <f aca="false">IF('Все позиции'!H46="","",'Все позиции'!H46)</f>
        <v>340</v>
      </c>
      <c r="H4" s="20" t="n">
        <f aca="false">IF('Все позиции'!L46="","",'Все позиции'!L46)</f>
        <v>2500</v>
      </c>
      <c r="I4" s="21" t="n">
        <f aca="false">IF('Все позиции'!O46="","",'Все позиции'!O46)</f>
        <v>-0.62406015037594</v>
      </c>
      <c r="J4" s="20" t="n">
        <f aca="false">IF('Все позиции'!G46="","",'Все позиции'!G46)</f>
        <v>2261000</v>
      </c>
      <c r="K4" s="20" t="n">
        <f aca="false">IF('Все позиции'!M46="","",'Все позиции'!M46)</f>
        <v>850000</v>
      </c>
      <c r="L4" s="22" t="n">
        <f aca="false">IF('Все позиции'!N46="","",'Все позиции'!N46)</f>
        <v>-1411000</v>
      </c>
      <c r="M4" s="17" t="str">
        <f aca="false">IF('Все позиции'!P46="","",'Все позиции'!P46)</f>
        <v>Цена снижена</v>
      </c>
      <c r="N4" s="18" t="str">
        <f aca="false">IF('Все позиции'!Q46="","",'Все позиции'!Q46)</f>
        <v>по договоренности</v>
      </c>
      <c r="O4" s="18" t="str">
        <f aca="false">IF('Все позиции'!R46="","",'Все позиции'!R46)</f>
        <v/>
      </c>
    </row>
    <row r="5" customFormat="false" ht="15" hidden="false" customHeight="false" outlineLevel="0" collapsed="false">
      <c r="A5" s="17" t="str">
        <f aca="false">IF('Все позиции'!A321="","",'Все позиции'!A321)</f>
        <v>7. Холодоснабжение 2 этаж</v>
      </c>
      <c r="B5" s="17" t="str">
        <f aca="false">IF('Все позиции'!B321="","",'Все позиции'!B321)</f>
        <v>7.1</v>
      </c>
      <c r="C5" s="18" t="str">
        <f aca="false">IF('Все позиции'!C321="","",'Все позиции'!C321)</f>
        <v>Фанкойл кассетный, 600x600 SK-12</v>
      </c>
      <c r="D5" s="17" t="str">
        <f aca="false">IF('Все позиции'!D321="","",'Все позиции'!D321)</f>
        <v>шт.</v>
      </c>
      <c r="E5" s="19" t="n">
        <f aca="false">IF('Все позиции'!E321="","",'Все позиции'!E321)</f>
        <v>31</v>
      </c>
      <c r="F5" s="20" t="n">
        <f aca="false">IF('Все позиции'!F321="","",'Все позиции'!F321)</f>
        <v>29160</v>
      </c>
      <c r="G5" s="19" t="n">
        <f aca="false">IF('Все позиции'!H321="","",'Все позиции'!H321)</f>
        <v>31</v>
      </c>
      <c r="H5" s="20" t="n">
        <f aca="false">IF('Все позиции'!L321="","",'Все позиции'!L321)</f>
        <v>14000</v>
      </c>
      <c r="I5" s="21" t="n">
        <f aca="false">IF('Все позиции'!O321="","",'Все позиции'!O321)</f>
        <v>-0.519890260631001</v>
      </c>
      <c r="J5" s="20" t="n">
        <f aca="false">IF('Все позиции'!G321="","",'Все позиции'!G321)</f>
        <v>903960</v>
      </c>
      <c r="K5" s="20" t="n">
        <f aca="false">IF('Все позиции'!M321="","",'Все позиции'!M321)</f>
        <v>434000</v>
      </c>
      <c r="L5" s="22" t="n">
        <f aca="false">IF('Все позиции'!N321="","",'Все позиции'!N321)</f>
        <v>-469960</v>
      </c>
      <c r="M5" s="17" t="str">
        <f aca="false">IF('Все позиции'!P321="","",'Все позиции'!P321)</f>
        <v>Цена снижена</v>
      </c>
      <c r="N5" s="18" t="str">
        <f aca="false">IF('Все позиции'!Q321="","",'Все позиции'!Q321)</f>
        <v/>
      </c>
      <c r="O5" s="18" t="str">
        <f aca="false">IF('Все позиции'!R321="","",'Все позиции'!R321)</f>
        <v/>
      </c>
    </row>
    <row r="6" customFormat="false" ht="26.85" hidden="false" customHeight="false" outlineLevel="0" collapsed="false">
      <c r="A6" s="17" t="str">
        <f aca="false">IF('Все позиции'!A316="","",'Все позиции'!A316)</f>
        <v>6. Дымоудаление (2 этаж)</v>
      </c>
      <c r="B6" s="17" t="str">
        <f aca="false">IF('Все позиции'!B316="","",'Все позиции'!B316)</f>
        <v>6.75</v>
      </c>
      <c r="C6" s="18" t="str">
        <f aca="false">IF('Все позиции'!C316="","",'Все позиции'!C316)</f>
        <v>Воздуховод 800*500</v>
      </c>
      <c r="D6" s="17" t="str">
        <f aca="false">IF('Все позиции'!D316="","",'Все позиции'!D316)</f>
        <v>м2</v>
      </c>
      <c r="E6" s="19" t="n">
        <f aca="false">IF('Все позиции'!E316="","",'Все позиции'!E316)</f>
        <v>168</v>
      </c>
      <c r="F6" s="20" t="n">
        <f aca="false">IF('Все позиции'!F316="","",'Все позиции'!F316)</f>
        <v>2560</v>
      </c>
      <c r="G6" s="19" t="n">
        <f aca="false">IF('Все позиции'!H316="","",'Все позиции'!H316)</f>
        <v>168</v>
      </c>
      <c r="H6" s="20" t="str">
        <f aca="false">IF('Все позиции'!L316="","",'Все позиции'!L316)</f>
        <v/>
      </c>
      <c r="I6" s="21" t="n">
        <f aca="false">IF('Все позиции'!O316="","",'Все позиции'!O316)</f>
        <v>-1</v>
      </c>
      <c r="J6" s="20" t="n">
        <f aca="false">IF('Все позиции'!G316="","",'Все позиции'!G316)</f>
        <v>430080</v>
      </c>
      <c r="K6" s="20" t="n">
        <f aca="false">IF('Все позиции'!M316="","",'Все позиции'!M316)</f>
        <v>0</v>
      </c>
      <c r="L6" s="22" t="n">
        <f aca="false">IF('Все позиции'!N316="","",'Все позиции'!N316)</f>
        <v>-430080</v>
      </c>
      <c r="M6" s="17" t="str">
        <f aca="false">IF('Все позиции'!P316="","",'Все позиции'!P316)</f>
        <v>Исключено → отдельный допник</v>
      </c>
      <c r="N6" s="18" t="str">
        <f aca="false">IF('Все позиции'!Q316="","",'Все позиции'!Q316)</f>
        <v>удалить (если будут данные позиции сделаем отдельный допник)</v>
      </c>
      <c r="O6" s="18" t="str">
        <f aca="false">IF('Все позиции'!R316="","",'Все позиции'!R316)</f>
        <v/>
      </c>
    </row>
    <row r="7" customFormat="false" ht="15" hidden="false" customHeight="false" outlineLevel="0" collapsed="false">
      <c r="A7" s="17" t="str">
        <f aca="false">IF('Все позиции'!A311="","",'Все позиции'!A311)</f>
        <v>6. Вентиляция 2 этаж</v>
      </c>
      <c r="B7" s="17" t="str">
        <f aca="false">IF('Все позиции'!B311="","",'Все позиции'!B311)</f>
        <v>6.71</v>
      </c>
      <c r="C7" s="18" t="str">
        <f aca="false">IF('Все позиции'!C311="","",'Все позиции'!C311)</f>
        <v>демонтаж воздуховодов</v>
      </c>
      <c r="D7" s="17" t="str">
        <f aca="false">IF('Все позиции'!D311="","",'Все позиции'!D311)</f>
        <v>к-т</v>
      </c>
      <c r="E7" s="19" t="n">
        <f aca="false">IF('Все позиции'!E311="","",'Все позиции'!E311)</f>
        <v>1</v>
      </c>
      <c r="F7" s="20" t="n">
        <f aca="false">IF('Все позиции'!F311="","",'Все позиции'!F311)</f>
        <v>388800</v>
      </c>
      <c r="G7" s="19" t="n">
        <f aca="false">IF('Все позиции'!H311="","",'Все позиции'!H311)</f>
        <v>0</v>
      </c>
      <c r="H7" s="20" t="str">
        <f aca="false">IF('Все позиции'!L311="","",'Все позиции'!L311)</f>
        <v/>
      </c>
      <c r="I7" s="21" t="n">
        <f aca="false">IF('Все позиции'!O311="","",'Все позиции'!O311)</f>
        <v>-1</v>
      </c>
      <c r="J7" s="20" t="n">
        <f aca="false">IF('Все позиции'!G311="","",'Все позиции'!G311)</f>
        <v>388800</v>
      </c>
      <c r="K7" s="20" t="n">
        <f aca="false">IF('Все позиции'!M311="","",'Все позиции'!M311)</f>
        <v>0</v>
      </c>
      <c r="L7" s="22" t="n">
        <f aca="false">IF('Все позиции'!N311="","",'Все позиции'!N311)</f>
        <v>-388800</v>
      </c>
      <c r="M7" s="17" t="str">
        <f aca="false">IF('Все позиции'!P311="","",'Все позиции'!P311)</f>
        <v>Удалено заказчиком без комментария</v>
      </c>
      <c r="N7" s="18" t="str">
        <f aca="false">IF('Все позиции'!Q311="","",'Все позиции'!Q311)</f>
        <v/>
      </c>
      <c r="O7" s="18" t="str">
        <f aca="false">IF('Все позиции'!R311="","",'Все позиции'!R311)</f>
        <v/>
      </c>
    </row>
    <row r="8" customFormat="false" ht="26.85" hidden="false" customHeight="false" outlineLevel="0" collapsed="false">
      <c r="A8" s="17" t="str">
        <f aca="false">IF('Все позиции'!A89="","",'Все позиции'!A89)</f>
        <v>3. Дополнительные работы 3,7,8,9 этаж</v>
      </c>
      <c r="B8" s="17" t="str">
        <f aca="false">IF('Все позиции'!B89="","",'Все позиции'!B89)</f>
        <v>3.7</v>
      </c>
      <c r="C8" s="18" t="str">
        <f aca="false">IF('Все позиции'!C89="","",'Все позиции'!C89)</f>
        <v>Изоляция изделий (отводы, тройники, переходы, клапана)</v>
      </c>
      <c r="D8" s="17" t="str">
        <f aca="false">IF('Все позиции'!D89="","",'Все позиции'!D89)</f>
        <v>шт.</v>
      </c>
      <c r="E8" s="19" t="n">
        <f aca="false">IF('Все позиции'!E89="","",'Все позиции'!E89)</f>
        <v>1195</v>
      </c>
      <c r="F8" s="20" t="n">
        <f aca="false">IF('Все позиции'!F89="","",'Все позиции'!F89)</f>
        <v>840</v>
      </c>
      <c r="G8" s="19" t="n">
        <f aca="false">IF('Все позиции'!H89="","",'Все позиции'!H89)</f>
        <v>1195</v>
      </c>
      <c r="H8" s="20" t="n">
        <f aca="false">IF('Все позиции'!L89="","",'Все позиции'!L89)</f>
        <v>570</v>
      </c>
      <c r="I8" s="21" t="n">
        <f aca="false">IF('Все позиции'!O89="","",'Все позиции'!O89)</f>
        <v>-0.321428571428571</v>
      </c>
      <c r="J8" s="20" t="n">
        <f aca="false">IF('Все позиции'!G89="","",'Все позиции'!G89)</f>
        <v>1003800</v>
      </c>
      <c r="K8" s="20" t="n">
        <f aca="false">IF('Все позиции'!M89="","",'Все позиции'!M89)</f>
        <v>681150</v>
      </c>
      <c r="L8" s="22" t="n">
        <f aca="false">IF('Все позиции'!N89="","",'Все позиции'!N89)</f>
        <v>-322650</v>
      </c>
      <c r="M8" s="17" t="str">
        <f aca="false">IF('Все позиции'!P89="","",'Все позиции'!P89)</f>
        <v>Цена снижена</v>
      </c>
      <c r="N8" s="18" t="str">
        <f aca="false">IF('Все позиции'!Q89="","",'Все позиции'!Q89)</f>
        <v/>
      </c>
      <c r="O8" s="18" t="str">
        <f aca="false">IF('Все позиции'!R89="","",'Все позиции'!R89)</f>
        <v/>
      </c>
    </row>
    <row r="9" customFormat="false" ht="26.85" hidden="false" customHeight="false" outlineLevel="0" collapsed="false">
      <c r="A9" s="17" t="str">
        <f aca="false">IF('Все позиции'!A317="","",'Все позиции'!A317)</f>
        <v>6. Дымоудаление (2 этаж)</v>
      </c>
      <c r="B9" s="17" t="str">
        <f aca="false">IF('Все позиции'!B317="","",'Все позиции'!B317)</f>
        <v>6.76</v>
      </c>
      <c r="C9" s="18" t="str">
        <f aca="false">IF('Все позиции'!C317="","",'Все позиции'!C317)</f>
        <v>Изоляция М-БОР</v>
      </c>
      <c r="D9" s="17" t="str">
        <f aca="false">IF('Все позиции'!D317="","",'Все позиции'!D317)</f>
        <v>м2</v>
      </c>
      <c r="E9" s="19" t="n">
        <f aca="false">IF('Все позиции'!E317="","",'Все позиции'!E317)</f>
        <v>186</v>
      </c>
      <c r="F9" s="20" t="n">
        <f aca="false">IF('Все позиции'!F317="","",'Все позиции'!F317)</f>
        <v>1440</v>
      </c>
      <c r="G9" s="19" t="n">
        <f aca="false">IF('Все позиции'!H317="","",'Все позиции'!H317)</f>
        <v>186</v>
      </c>
      <c r="H9" s="20" t="str">
        <f aca="false">IF('Все позиции'!L317="","",'Все позиции'!L317)</f>
        <v/>
      </c>
      <c r="I9" s="21" t="n">
        <f aca="false">IF('Все позиции'!O317="","",'Все позиции'!O317)</f>
        <v>-1</v>
      </c>
      <c r="J9" s="20" t="n">
        <f aca="false">IF('Все позиции'!G317="","",'Все позиции'!G317)</f>
        <v>267840</v>
      </c>
      <c r="K9" s="20" t="n">
        <f aca="false">IF('Все позиции'!M317="","",'Все позиции'!M317)</f>
        <v>0</v>
      </c>
      <c r="L9" s="22" t="n">
        <f aca="false">IF('Все позиции'!N317="","",'Все позиции'!N317)</f>
        <v>-267840</v>
      </c>
      <c r="M9" s="17" t="str">
        <f aca="false">IF('Все позиции'!P317="","",'Все позиции'!P317)</f>
        <v>Исключено → отдельный допник</v>
      </c>
      <c r="N9" s="18" t="str">
        <f aca="false">IF('Все позиции'!Q317="","",'Все позиции'!Q317)</f>
        <v>удалить (если будут данные позиции сделаем отдельный допник)</v>
      </c>
      <c r="O9" s="18" t="str">
        <f aca="false">IF('Все позиции'!R317="","",'Все позиции'!R317)</f>
        <v/>
      </c>
    </row>
    <row r="10" customFormat="false" ht="15" hidden="false" customHeight="false" outlineLevel="0" collapsed="false">
      <c r="A10" s="17" t="str">
        <f aca="false">IF('Все позиции'!A328="","",'Все позиции'!A328)</f>
        <v>7. Холодоснабжение 2 этаж</v>
      </c>
      <c r="B10" s="17" t="str">
        <f aca="false">IF('Все позиции'!B328="","",'Все позиции'!B328)</f>
        <v>7.8</v>
      </c>
      <c r="C10" s="18" t="str">
        <f aca="false">IF('Все позиции'!C328="","",'Все позиции'!C328)</f>
        <v>дренаж</v>
      </c>
      <c r="D10" s="17" t="str">
        <f aca="false">IF('Все позиции'!D328="","",'Все позиции'!D328)</f>
        <v>м.п.</v>
      </c>
      <c r="E10" s="19" t="n">
        <f aca="false">IF('Все позиции'!E328="","",'Все позиции'!E328)</f>
        <v>200</v>
      </c>
      <c r="F10" s="20" t="n">
        <f aca="false">IF('Все позиции'!F328="","",'Все позиции'!F328)</f>
        <v>1092</v>
      </c>
      <c r="G10" s="19" t="n">
        <f aca="false">IF('Все позиции'!H328="","",'Все позиции'!H328)</f>
        <v>0</v>
      </c>
      <c r="H10" s="20" t="str">
        <f aca="false">IF('Все позиции'!L328="","",'Все позиции'!L328)</f>
        <v/>
      </c>
      <c r="I10" s="21" t="n">
        <f aca="false">IF('Все позиции'!O328="","",'Все позиции'!O328)</f>
        <v>-1</v>
      </c>
      <c r="J10" s="20" t="n">
        <f aca="false">IF('Все позиции'!G328="","",'Все позиции'!G328)</f>
        <v>218400</v>
      </c>
      <c r="K10" s="20" t="n">
        <f aca="false">IF('Все позиции'!M328="","",'Все позиции'!M328)</f>
        <v>0</v>
      </c>
      <c r="L10" s="22" t="n">
        <f aca="false">IF('Все позиции'!N328="","",'Все позиции'!N328)</f>
        <v>-218400</v>
      </c>
      <c r="M10" s="17" t="str">
        <f aca="false">IF('Все позиции'!P328="","",'Все позиции'!P328)</f>
        <v>Удалено заказчиком без комментария</v>
      </c>
      <c r="N10" s="18" t="str">
        <f aca="false">IF('Все позиции'!Q328="","",'Все позиции'!Q328)</f>
        <v/>
      </c>
      <c r="O10" s="18" t="str">
        <f aca="false">IF('Все позиции'!R328="","",'Все позиции'!R328)</f>
        <v/>
      </c>
    </row>
    <row r="11" customFormat="false" ht="15" hidden="false" customHeight="false" outlineLevel="0" collapsed="false">
      <c r="A11" s="17" t="str">
        <f aca="false">IF('Все позиции'!A194="","",'Все позиции'!A194)</f>
        <v>4. Вентиляция 10 этаж</v>
      </c>
      <c r="B11" s="17" t="str">
        <f aca="false">IF('Все позиции'!B194="","",'Все позиции'!B194)</f>
        <v>4.81</v>
      </c>
      <c r="C11" s="18" t="str">
        <f aca="false">IF('Все позиции'!C194="","",'Все позиции'!C194)</f>
        <v>Изоляция прямоугольного изделия</v>
      </c>
      <c r="D11" s="17" t="str">
        <f aca="false">IF('Все позиции'!D194="","",'Все позиции'!D194)</f>
        <v>шт.</v>
      </c>
      <c r="E11" s="19" t="n">
        <f aca="false">IF('Все позиции'!E194="","",'Все позиции'!E194)</f>
        <v>80</v>
      </c>
      <c r="F11" s="20" t="n">
        <f aca="false">IF('Все позиции'!F194="","",'Все позиции'!F194)</f>
        <v>3240</v>
      </c>
      <c r="G11" s="19" t="n">
        <f aca="false">IF('Все позиции'!H194="","",'Все позиции'!H194)</f>
        <v>80</v>
      </c>
      <c r="H11" s="20" t="n">
        <f aca="false">IF('Все позиции'!L194="","",'Все позиции'!L194)</f>
        <v>665</v>
      </c>
      <c r="I11" s="21" t="n">
        <f aca="false">IF('Все позиции'!O194="","",'Все позиции'!O194)</f>
        <v>-0.794753086419753</v>
      </c>
      <c r="J11" s="20" t="n">
        <f aca="false">IF('Все позиции'!G194="","",'Все позиции'!G194)</f>
        <v>259200</v>
      </c>
      <c r="K11" s="20" t="n">
        <f aca="false">IF('Все позиции'!M194="","",'Все позиции'!M194)</f>
        <v>53200</v>
      </c>
      <c r="L11" s="22" t="n">
        <f aca="false">IF('Все позиции'!N194="","",'Все позиции'!N194)</f>
        <v>-206000</v>
      </c>
      <c r="M11" s="17" t="str">
        <f aca="false">IF('Все позиции'!P194="","",'Все позиции'!P194)</f>
        <v>Цена снижена</v>
      </c>
      <c r="N11" s="18" t="str">
        <f aca="false">IF('Все позиции'!Q194="","",'Все позиции'!Q194)</f>
        <v>за м2 а не за штуку</v>
      </c>
      <c r="O11" s="18" t="str">
        <f aca="false">IF('Все позиции'!R194="","",'Все позиции'!R194)</f>
        <v/>
      </c>
    </row>
    <row r="12" customFormat="false" ht="15" hidden="false" customHeight="false" outlineLevel="0" collapsed="false">
      <c r="A12" s="17" t="str">
        <f aca="false">IF('Все позиции'!A322="","",'Все позиции'!A322)</f>
        <v>7. Холодоснабжение 2 этаж</v>
      </c>
      <c r="B12" s="17" t="str">
        <f aca="false">IF('Все позиции'!B322="","",'Все позиции'!B322)</f>
        <v>7.2</v>
      </c>
      <c r="C12" s="18" t="str">
        <f aca="false">IF('Все позиции'!C322="","",'Все позиции'!C322)</f>
        <v>Подключение фанкойлов в радиусе 2,5 м</v>
      </c>
      <c r="D12" s="17" t="str">
        <f aca="false">IF('Все позиции'!D322="","",'Все позиции'!D322)</f>
        <v>шт.</v>
      </c>
      <c r="E12" s="19" t="n">
        <f aca="false">IF('Все позиции'!E322="","",'Все позиции'!E322)</f>
        <v>31</v>
      </c>
      <c r="F12" s="20" t="n">
        <f aca="false">IF('Все позиции'!F322="","",'Все позиции'!F322)</f>
        <v>5670</v>
      </c>
      <c r="G12" s="19" t="n">
        <f aca="false">IF('Все позиции'!H322="","",'Все позиции'!H322)</f>
        <v>0</v>
      </c>
      <c r="H12" s="20" t="str">
        <f aca="false">IF('Все позиции'!L322="","",'Все позиции'!L322)</f>
        <v/>
      </c>
      <c r="I12" s="21" t="n">
        <f aca="false">IF('Все позиции'!O322="","",'Все позиции'!O322)</f>
        <v>-1</v>
      </c>
      <c r="J12" s="20" t="n">
        <f aca="false">IF('Все позиции'!G322="","",'Все позиции'!G322)</f>
        <v>175770</v>
      </c>
      <c r="K12" s="20" t="n">
        <f aca="false">IF('Все позиции'!M322="","",'Все позиции'!M322)</f>
        <v>0</v>
      </c>
      <c r="L12" s="22" t="n">
        <f aca="false">IF('Все позиции'!N322="","",'Все позиции'!N322)</f>
        <v>-175770</v>
      </c>
      <c r="M12" s="17" t="str">
        <f aca="false">IF('Все позиции'!P322="","",'Все позиции'!P322)</f>
        <v>Удалено заказчиком без комментария</v>
      </c>
      <c r="N12" s="18" t="str">
        <f aca="false">IF('Все позиции'!Q322="","",'Все позиции'!Q322)</f>
        <v/>
      </c>
      <c r="O12" s="18" t="str">
        <f aca="false">IF('Все позиции'!R322="","",'Все позиции'!R322)</f>
        <v/>
      </c>
    </row>
    <row r="13" customFormat="false" ht="15" hidden="false" customHeight="false" outlineLevel="0" collapsed="false">
      <c r="A13" s="17" t="str">
        <f aca="false">IF('Все позиции'!A329="","",'Все позиции'!A329)</f>
        <v>7. Холодоснабжение 2 этаж</v>
      </c>
      <c r="B13" s="17" t="str">
        <f aca="false">IF('Все позиции'!B329="","",'Все позиции'!B329)</f>
        <v>7.9</v>
      </c>
      <c r="C13" s="18" t="str">
        <f aca="false">IF('Все позиции'!C329="","",'Все позиции'!C329)</f>
        <v>демонтаж холодоснабжения</v>
      </c>
      <c r="D13" s="17" t="str">
        <f aca="false">IF('Все позиции'!D329="","",'Все позиции'!D329)</f>
        <v>к-т</v>
      </c>
      <c r="E13" s="19" t="n">
        <f aca="false">IF('Все позиции'!E329="","",'Все позиции'!E329)</f>
        <v>1</v>
      </c>
      <c r="F13" s="20" t="n">
        <f aca="false">IF('Все позиции'!F329="","",'Все позиции'!F329)</f>
        <v>162000</v>
      </c>
      <c r="G13" s="19" t="n">
        <f aca="false">IF('Все позиции'!H329="","",'Все позиции'!H329)</f>
        <v>0</v>
      </c>
      <c r="H13" s="20" t="str">
        <f aca="false">IF('Все позиции'!L329="","",'Все позиции'!L329)</f>
        <v/>
      </c>
      <c r="I13" s="21" t="n">
        <f aca="false">IF('Все позиции'!O329="","",'Все позиции'!O329)</f>
        <v>-1</v>
      </c>
      <c r="J13" s="20" t="n">
        <f aca="false">IF('Все позиции'!G329="","",'Все позиции'!G329)</f>
        <v>162000</v>
      </c>
      <c r="K13" s="20" t="n">
        <f aca="false">IF('Все позиции'!M329="","",'Все позиции'!M329)</f>
        <v>0</v>
      </c>
      <c r="L13" s="22" t="n">
        <f aca="false">IF('Все позиции'!N329="","",'Все позиции'!N329)</f>
        <v>-162000</v>
      </c>
      <c r="M13" s="17" t="str">
        <f aca="false">IF('Все позиции'!P329="","",'Все позиции'!P329)</f>
        <v>Удалено заказчиком без комментария</v>
      </c>
      <c r="N13" s="18" t="str">
        <f aca="false">IF('Все позиции'!Q329="","",'Все позиции'!Q329)</f>
        <v/>
      </c>
      <c r="O13" s="18" t="str">
        <f aca="false">IF('Все позиции'!R329="","",'Все позиции'!R329)</f>
        <v/>
      </c>
    </row>
    <row r="14" customFormat="false" ht="26.85" hidden="false" customHeight="false" outlineLevel="0" collapsed="false">
      <c r="A14" s="17" t="str">
        <f aca="false">IF('Все позиции'!A199="","",'Все позиции'!A199)</f>
        <v>4. Дымоудаление (10 этаж)</v>
      </c>
      <c r="B14" s="17" t="str">
        <f aca="false">IF('Все позиции'!B199="","",'Все позиции'!B199)</f>
        <v>4.85</v>
      </c>
      <c r="C14" s="18" t="str">
        <f aca="false">IF('Все позиции'!C199="","",'Все позиции'!C199)</f>
        <v>Воздуховод 800*500</v>
      </c>
      <c r="D14" s="17" t="str">
        <f aca="false">IF('Все позиции'!D199="","",'Все позиции'!D199)</f>
        <v>м2</v>
      </c>
      <c r="E14" s="19" t="n">
        <f aca="false">IF('Все позиции'!E199="","",'Все позиции'!E199)</f>
        <v>52</v>
      </c>
      <c r="F14" s="20" t="n">
        <f aca="false">IF('Все позиции'!F199="","",'Все позиции'!F199)</f>
        <v>2560</v>
      </c>
      <c r="G14" s="19" t="n">
        <f aca="false">IF('Все позиции'!H199="","",'Все позиции'!H199)</f>
        <v>52</v>
      </c>
      <c r="H14" s="20" t="str">
        <f aca="false">IF('Все позиции'!L199="","",'Все позиции'!L199)</f>
        <v/>
      </c>
      <c r="I14" s="21" t="n">
        <f aca="false">IF('Все позиции'!O199="","",'Все позиции'!O199)</f>
        <v>-1</v>
      </c>
      <c r="J14" s="20" t="n">
        <f aca="false">IF('Все позиции'!G199="","",'Все позиции'!G199)</f>
        <v>133120</v>
      </c>
      <c r="K14" s="20" t="n">
        <f aca="false">IF('Все позиции'!M199="","",'Все позиции'!M199)</f>
        <v>0</v>
      </c>
      <c r="L14" s="22" t="n">
        <f aca="false">IF('Все позиции'!N199="","",'Все позиции'!N199)</f>
        <v>-133120</v>
      </c>
      <c r="M14" s="17" t="str">
        <f aca="false">IF('Все позиции'!P199="","",'Все позиции'!P199)</f>
        <v>Исключено → отдельный допник</v>
      </c>
      <c r="N14" s="18" t="str">
        <f aca="false">IF('Все позиции'!Q199="","",'Все позиции'!Q199)</f>
        <v>удалить (если будут данные позиции сделаем отдельный допник)</v>
      </c>
      <c r="O14" s="18" t="str">
        <f aca="false">IF('Все позиции'!R199="","",'Все позиции'!R199)</f>
        <v/>
      </c>
    </row>
    <row r="15" customFormat="false" ht="26.85" hidden="false" customHeight="false" outlineLevel="0" collapsed="false">
      <c r="A15" s="23" t="str">
        <f aca="false">IF('Все позиции'!A48="","",'Все позиции'!A48)</f>
        <v>2. Кондиционирование</v>
      </c>
      <c r="B15" s="23" t="str">
        <f aca="false">IF('Все позиции'!B48="","",'Все позиции'!B48)</f>
        <v>2.9</v>
      </c>
      <c r="C15" s="24" t="str">
        <f aca="false">IF('Все позиции'!C48="","",'Все позиции'!C48)</f>
        <v>Трубопровод из полимерных труб РЕХ-а, Дн25х3.5 REHAU Rautitan Flex 11303701006</v>
      </c>
      <c r="D15" s="23" t="str">
        <f aca="false">IF('Все позиции'!D48="","",'Все позиции'!D48)</f>
        <v>м.п.</v>
      </c>
      <c r="E15" s="25" t="n">
        <f aca="false">IF('Все позиции'!E48="","",'Все позиции'!E48)</f>
        <v>1280</v>
      </c>
      <c r="F15" s="26" t="n">
        <f aca="false">IF('Все позиции'!F48="","",'Все позиции'!F48)</f>
        <v>500</v>
      </c>
      <c r="G15" s="25" t="n">
        <f aca="false">IF('Все позиции'!H48="","",'Все позиции'!H48)</f>
        <v>1280</v>
      </c>
      <c r="H15" s="26" t="n">
        <f aca="false">IF('Все позиции'!L48="","",'Все позиции'!L48)</f>
        <v>400</v>
      </c>
      <c r="I15" s="27" t="n">
        <f aca="false">IF('Все позиции'!O48="","",'Все позиции'!O48)</f>
        <v>-0.2</v>
      </c>
      <c r="J15" s="26" t="n">
        <f aca="false">IF('Все позиции'!G48="","",'Все позиции'!G48)</f>
        <v>640000</v>
      </c>
      <c r="K15" s="26" t="n">
        <f aca="false">IF('Все позиции'!M48="","",'Все позиции'!M48)</f>
        <v>512000</v>
      </c>
      <c r="L15" s="28" t="n">
        <f aca="false">IF('Все позиции'!N48="","",'Все позиции'!N48)</f>
        <v>-128000</v>
      </c>
      <c r="M15" s="23" t="str">
        <f aca="false">IF('Все позиции'!P48="","",'Все позиции'!P48)</f>
        <v>Снижение согласовано, но не внесено в итог</v>
      </c>
      <c r="N15" s="24" t="str">
        <f aca="false">IF('Все позиции'!Q48="","",'Все позиции'!Q48)</f>
        <v>по договру</v>
      </c>
      <c r="O15" s="24" t="str">
        <f aca="false">IF('Все позиции'!R48="","",'Все позиции'!R48)</f>
        <v>Цена Согласована Марк</v>
      </c>
    </row>
    <row r="16" customFormat="false" ht="15" hidden="false" customHeight="false" outlineLevel="0" collapsed="false">
      <c r="A16" s="17" t="str">
        <f aca="false">IF('Все позиции'!A204="","",'Все позиции'!A204)</f>
        <v>5. Холодоснабжение 10 этаж</v>
      </c>
      <c r="B16" s="17" t="str">
        <f aca="false">IF('Все позиции'!B204="","",'Все позиции'!B204)</f>
        <v>5.1</v>
      </c>
      <c r="C16" s="18" t="str">
        <f aca="false">IF('Все позиции'!C204="","",'Все позиции'!C204)</f>
        <v>Фанкойл кассетный, 600x600 SK-32</v>
      </c>
      <c r="D16" s="17" t="str">
        <f aca="false">IF('Все позиции'!D204="","",'Все позиции'!D204)</f>
        <v>шт.</v>
      </c>
      <c r="E16" s="19" t="n">
        <f aca="false">IF('Все позиции'!E204="","",'Все позиции'!E204)</f>
        <v>10</v>
      </c>
      <c r="F16" s="20" t="n">
        <f aca="false">IF('Все позиции'!F204="","",'Все позиции'!F204)</f>
        <v>25920</v>
      </c>
      <c r="G16" s="19" t="n">
        <f aca="false">IF('Все позиции'!H204="","",'Все позиции'!H204)</f>
        <v>10</v>
      </c>
      <c r="H16" s="20" t="n">
        <f aca="false">IF('Все позиции'!L204="","",'Все позиции'!L204)</f>
        <v>14000</v>
      </c>
      <c r="I16" s="21" t="n">
        <f aca="false">IF('Все позиции'!O204="","",'Все позиции'!O204)</f>
        <v>-0.459876543209877</v>
      </c>
      <c r="J16" s="20" t="n">
        <f aca="false">IF('Все позиции'!G204="","",'Все позиции'!G204)</f>
        <v>259200</v>
      </c>
      <c r="K16" s="20" t="n">
        <f aca="false">IF('Все позиции'!M204="","",'Все позиции'!M204)</f>
        <v>140000</v>
      </c>
      <c r="L16" s="22" t="n">
        <f aca="false">IF('Все позиции'!N204="","",'Все позиции'!N204)</f>
        <v>-119200</v>
      </c>
      <c r="M16" s="17" t="str">
        <f aca="false">IF('Все позиции'!P204="","",'Все позиции'!P204)</f>
        <v>Цена снижена</v>
      </c>
      <c r="N16" s="18" t="str">
        <f aca="false">IF('Все позиции'!Q204="","",'Все позиции'!Q204)</f>
        <v>в чем разница в 2,5раза от балок?</v>
      </c>
      <c r="O16" s="18" t="str">
        <f aca="false">IF('Все позиции'!R204="","",'Все позиции'!R204)</f>
        <v/>
      </c>
    </row>
    <row r="17" customFormat="false" ht="15" hidden="false" customHeight="false" outlineLevel="0" collapsed="false">
      <c r="A17" s="17" t="str">
        <f aca="false">IF('Все позиции'!A238="","",'Все позиции'!A238)</f>
        <v>5. Холодоснабжение 10 этаж</v>
      </c>
      <c r="B17" s="17" t="str">
        <f aca="false">IF('Все позиции'!B238="","",'Все позиции'!B238)</f>
        <v>5.35</v>
      </c>
      <c r="C17" s="18" t="str">
        <f aca="false">IF('Все позиции'!C238="","",'Все позиции'!C238)</f>
        <v>Дренаж</v>
      </c>
      <c r="D17" s="17" t="str">
        <f aca="false">IF('Все позиции'!D238="","",'Все позиции'!D238)</f>
        <v>мп</v>
      </c>
      <c r="E17" s="19" t="n">
        <f aca="false">IF('Все позиции'!E238="","",'Все позиции'!E238)</f>
        <v>100</v>
      </c>
      <c r="F17" s="20" t="n">
        <f aca="false">IF('Все позиции'!F238="","",'Все позиции'!F238)</f>
        <v>1092</v>
      </c>
      <c r="G17" s="19" t="n">
        <f aca="false">IF('Все позиции'!H238="","",'Все позиции'!H238)</f>
        <v>0</v>
      </c>
      <c r="H17" s="20" t="str">
        <f aca="false">IF('Все позиции'!L238="","",'Все позиции'!L238)</f>
        <v/>
      </c>
      <c r="I17" s="21" t="n">
        <f aca="false">IF('Все позиции'!O238="","",'Все позиции'!O238)</f>
        <v>-1</v>
      </c>
      <c r="J17" s="20" t="n">
        <f aca="false">IF('Все позиции'!G238="","",'Все позиции'!G238)</f>
        <v>109200</v>
      </c>
      <c r="K17" s="20" t="n">
        <f aca="false">IF('Все позиции'!M238="","",'Все позиции'!M238)</f>
        <v>0</v>
      </c>
      <c r="L17" s="22" t="n">
        <f aca="false">IF('Все позиции'!N238="","",'Все позиции'!N238)</f>
        <v>-109200</v>
      </c>
      <c r="M17" s="17" t="str">
        <f aca="false">IF('Все позиции'!P238="","",'Все позиции'!P238)</f>
        <v>Удалено заказчиком без комментария</v>
      </c>
      <c r="N17" s="18" t="str">
        <f aca="false">IF('Все позиции'!Q238="","",'Все позиции'!Q238)</f>
        <v/>
      </c>
      <c r="O17" s="18" t="str">
        <f aca="false">IF('Все позиции'!R238="","",'Все позиции'!R238)</f>
        <v/>
      </c>
    </row>
    <row r="18" customFormat="false" ht="15" hidden="false" customHeight="false" outlineLevel="0" collapsed="false">
      <c r="A18" s="17" t="str">
        <f aca="false">IF('Все позиции'!A330="","",'Все позиции'!A330)</f>
        <v>7. Холодоснабжение 2 этаж</v>
      </c>
      <c r="B18" s="17" t="str">
        <f aca="false">IF('Все позиции'!B330="","",'Все позиции'!B330)</f>
        <v>7.10</v>
      </c>
      <c r="C18" s="18" t="str">
        <f aca="false">IF('Все позиции'!C330="","",'Все позиции'!C330)</f>
        <v>демонтаж дренажной системы</v>
      </c>
      <c r="D18" s="17" t="str">
        <f aca="false">IF('Все позиции'!D330="","",'Все позиции'!D330)</f>
        <v>к-т</v>
      </c>
      <c r="E18" s="19" t="n">
        <f aca="false">IF('Все позиции'!E330="","",'Все позиции'!E330)</f>
        <v>1</v>
      </c>
      <c r="F18" s="20" t="n">
        <f aca="false">IF('Все позиции'!F330="","",'Все позиции'!F330)</f>
        <v>97200</v>
      </c>
      <c r="G18" s="19" t="n">
        <f aca="false">IF('Все позиции'!H330="","",'Все позиции'!H330)</f>
        <v>0</v>
      </c>
      <c r="H18" s="20" t="str">
        <f aca="false">IF('Все позиции'!L330="","",'Все позиции'!L330)</f>
        <v/>
      </c>
      <c r="I18" s="21" t="n">
        <f aca="false">IF('Все позиции'!O330="","",'Все позиции'!O330)</f>
        <v>-1</v>
      </c>
      <c r="J18" s="20" t="n">
        <f aca="false">IF('Все позиции'!G330="","",'Все позиции'!G330)</f>
        <v>97200</v>
      </c>
      <c r="K18" s="20" t="n">
        <f aca="false">IF('Все позиции'!M330="","",'Все позиции'!M330)</f>
        <v>0</v>
      </c>
      <c r="L18" s="22" t="n">
        <f aca="false">IF('Все позиции'!N330="","",'Все позиции'!N330)</f>
        <v>-97200</v>
      </c>
      <c r="M18" s="17" t="str">
        <f aca="false">IF('Все позиции'!P330="","",'Все позиции'!P330)</f>
        <v>Удалено заказчиком без комментария</v>
      </c>
      <c r="N18" s="18" t="str">
        <f aca="false">IF('Все позиции'!Q330="","",'Все позиции'!Q330)</f>
        <v/>
      </c>
      <c r="O18" s="18" t="str">
        <f aca="false">IF('Все позиции'!R330="","",'Все позиции'!R330)</f>
        <v/>
      </c>
    </row>
    <row r="19" customFormat="false" ht="26.85" hidden="false" customHeight="false" outlineLevel="0" collapsed="false">
      <c r="A19" s="17" t="str">
        <f aca="false">IF('Все позиции'!A95="","",'Все позиции'!A95)</f>
        <v>3. Дополнительные работы 3,7,8,9 этаж</v>
      </c>
      <c r="B19" s="17" t="str">
        <f aca="false">IF('Все позиции'!B95="","",'Все позиции'!B95)</f>
        <v>3.13</v>
      </c>
      <c r="C19" s="18" t="str">
        <f aca="false">IF('Все позиции'!C95="","",'Все позиции'!C95)</f>
        <v>Перемонтаж щелевых диффузоров</v>
      </c>
      <c r="D19" s="17" t="str">
        <f aca="false">IF('Все позиции'!D95="","",'Все позиции'!D95)</f>
        <v>к-т</v>
      </c>
      <c r="E19" s="19" t="n">
        <f aca="false">IF('Все позиции'!E95="","",'Все позиции'!E95)</f>
        <v>8</v>
      </c>
      <c r="F19" s="20" t="n">
        <f aca="false">IF('Все позиции'!F95="","",'Все позиции'!F95)</f>
        <v>16800</v>
      </c>
      <c r="G19" s="19" t="n">
        <f aca="false">IF('Все позиции'!H95="","",'Все позиции'!H95)</f>
        <v>8</v>
      </c>
      <c r="H19" s="20" t="n">
        <f aca="false">IF('Все позиции'!L95="","",'Все позиции'!L95)</f>
        <v>4800</v>
      </c>
      <c r="I19" s="21" t="n">
        <f aca="false">IF('Все позиции'!O95="","",'Все позиции'!O95)</f>
        <v>-0.714285714285714</v>
      </c>
      <c r="J19" s="20" t="n">
        <f aca="false">IF('Все позиции'!G95="","",'Все позиции'!G95)</f>
        <v>134400</v>
      </c>
      <c r="K19" s="20" t="n">
        <f aca="false">IF('Все позиции'!M95="","",'Все позиции'!M95)</f>
        <v>38400</v>
      </c>
      <c r="L19" s="22" t="n">
        <f aca="false">IF('Все позиции'!N95="","",'Все позиции'!N95)</f>
        <v>-96000</v>
      </c>
      <c r="M19" s="17" t="str">
        <f aca="false">IF('Все позиции'!P95="","",'Все позиции'!P95)</f>
        <v>Цена снижена</v>
      </c>
      <c r="N19" s="18" t="str">
        <f aca="false">IF('Все позиции'!Q95="","",'Все позиции'!Q95)</f>
        <v>сильно завышено, что за диффузоры? С КСД? Размер?</v>
      </c>
      <c r="O19" s="18" t="str">
        <f aca="false">IF('Все позиции'!R95="","",'Все позиции'!R95)</f>
        <v>Демонтаж - монтаж щелевого диффузора. Поставь цену сама</v>
      </c>
    </row>
    <row r="20" customFormat="false" ht="26.85" hidden="false" customHeight="false" outlineLevel="0" collapsed="false">
      <c r="A20" s="17" t="str">
        <f aca="false">IF('Все позиции'!A200="","",'Все позиции'!A200)</f>
        <v>4. Дымоудаление (10 этаж)</v>
      </c>
      <c r="B20" s="17" t="str">
        <f aca="false">IF('Все позиции'!B200="","",'Все позиции'!B200)</f>
        <v>4.86</v>
      </c>
      <c r="C20" s="18" t="str">
        <f aca="false">IF('Все позиции'!C200="","",'Все позиции'!C200)</f>
        <v>Изоляция М-БОР</v>
      </c>
      <c r="D20" s="17" t="str">
        <f aca="false">IF('Все позиции'!D200="","",'Все позиции'!D200)</f>
        <v>м2</v>
      </c>
      <c r="E20" s="19" t="n">
        <f aca="false">IF('Все позиции'!E200="","",'Все позиции'!E200)</f>
        <v>66</v>
      </c>
      <c r="F20" s="20" t="n">
        <f aca="false">IF('Все позиции'!F200="","",'Все позиции'!F200)</f>
        <v>1440</v>
      </c>
      <c r="G20" s="19" t="n">
        <f aca="false">IF('Все позиции'!H200="","",'Все позиции'!H200)</f>
        <v>66</v>
      </c>
      <c r="H20" s="20" t="str">
        <f aca="false">IF('Все позиции'!L200="","",'Все позиции'!L200)</f>
        <v/>
      </c>
      <c r="I20" s="21" t="n">
        <f aca="false">IF('Все позиции'!O200="","",'Все позиции'!O200)</f>
        <v>-1</v>
      </c>
      <c r="J20" s="20" t="n">
        <f aca="false">IF('Все позиции'!G200="","",'Все позиции'!G200)</f>
        <v>95040</v>
      </c>
      <c r="K20" s="20" t="n">
        <f aca="false">IF('Все позиции'!M200="","",'Все позиции'!M200)</f>
        <v>0</v>
      </c>
      <c r="L20" s="22" t="n">
        <f aca="false">IF('Все позиции'!N200="","",'Все позиции'!N200)</f>
        <v>-95040</v>
      </c>
      <c r="M20" s="17" t="str">
        <f aca="false">IF('Все позиции'!P200="","",'Все позиции'!P200)</f>
        <v>Исключено → отдельный допник</v>
      </c>
      <c r="N20" s="18" t="str">
        <f aca="false">IF('Все позиции'!Q200="","",'Все позиции'!Q200)</f>
        <v>удалить (если будут данные позиции сделаем отдельный допник)</v>
      </c>
      <c r="O20" s="18" t="str">
        <f aca="false">IF('Все позиции'!R200="","",'Все позиции'!R200)</f>
        <v/>
      </c>
    </row>
    <row r="21" customFormat="false" ht="26.85" hidden="false" customHeight="false" outlineLevel="0" collapsed="false">
      <c r="A21" s="23" t="str">
        <f aca="false">IF('Все позиции'!A37="","",'Все позиции'!A37)</f>
        <v>1. Вентиляция</v>
      </c>
      <c r="B21" s="23" t="str">
        <f aca="false">IF('Все позиции'!B37="","",'Все позиции'!B37)</f>
        <v>1.33</v>
      </c>
      <c r="C21" s="24" t="str">
        <f aca="false">IF('Все позиции'!C37="","",'Все позиции'!C37)</f>
        <v>Универсальная теплоизоляция в виде рулонов, толщиной 6 мм K- Flex-ST</v>
      </c>
      <c r="D21" s="23" t="str">
        <f aca="false">IF('Все позиции'!D37="","",'Все позиции'!D37)</f>
        <v>м2</v>
      </c>
      <c r="E21" s="25" t="n">
        <f aca="false">IF('Все позиции'!E37="","",'Все позиции'!E37)</f>
        <v>882</v>
      </c>
      <c r="F21" s="26" t="n">
        <f aca="false">IF('Все позиции'!F37="","",'Все позиции'!F37)</f>
        <v>665.89</v>
      </c>
      <c r="G21" s="25" t="n">
        <f aca="false">IF('Все позиции'!H37="","",'Все позиции'!H37)</f>
        <v>882</v>
      </c>
      <c r="H21" s="26" t="n">
        <f aca="false">IF('Все позиции'!L37="","",'Все позиции'!L37)</f>
        <v>570</v>
      </c>
      <c r="I21" s="27" t="n">
        <f aca="false">IF('Все позиции'!O37="","",'Все позиции'!O37)</f>
        <v>-0.14400276321915</v>
      </c>
      <c r="J21" s="26" t="n">
        <f aca="false">IF('Все позиции'!G37="","",'Все позиции'!G37)</f>
        <v>587314.98</v>
      </c>
      <c r="K21" s="26" t="n">
        <f aca="false">IF('Все позиции'!M37="","",'Все позиции'!M37)</f>
        <v>502740</v>
      </c>
      <c r="L21" s="28" t="n">
        <f aca="false">IF('Все позиции'!N37="","",'Все позиции'!N37)</f>
        <v>-84574.98</v>
      </c>
      <c r="M21" s="23" t="str">
        <f aca="false">IF('Все позиции'!P37="","",'Все позиции'!P37)</f>
        <v>Снижение согласовано, но не внесено в итог</v>
      </c>
      <c r="N21" s="24" t="str">
        <f aca="false">IF('Все позиции'!Q37="","",'Все позиции'!Q37)</f>
        <v>р по договору</v>
      </c>
      <c r="O21" s="24" t="str">
        <f aca="false">IF('Все позиции'!R37="","",'Все позиции'!R37)</f>
        <v>Цена Согласована Марк</v>
      </c>
    </row>
    <row r="22" customFormat="false" ht="26.85" hidden="false" customHeight="false" outlineLevel="0" collapsed="false">
      <c r="A22" s="23" t="str">
        <f aca="false">IF('Все позиции'!A49="","",'Все позиции'!A49)</f>
        <v>2. Кондиционирование</v>
      </c>
      <c r="B22" s="23" t="str">
        <f aca="false">IF('Все позиции'!B49="","",'Все позиции'!B49)</f>
        <v>2.10</v>
      </c>
      <c r="C22" s="24" t="str">
        <f aca="false">IF('Все позиции'!C49="","",'Все позиции'!C49)</f>
        <v>Трубопровод из полимерных труб РЕХ-а, Дн32х3.5 REHAU Rautitan Flex</v>
      </c>
      <c r="D22" s="23" t="str">
        <f aca="false">IF('Все позиции'!D49="","",'Все позиции'!D49)</f>
        <v>м.п.</v>
      </c>
      <c r="E22" s="25" t="n">
        <f aca="false">IF('Все позиции'!E49="","",'Все позиции'!E49)</f>
        <v>800</v>
      </c>
      <c r="F22" s="26" t="n">
        <f aca="false">IF('Все позиции'!F49="","",'Все позиции'!F49)</f>
        <v>500</v>
      </c>
      <c r="G22" s="25" t="n">
        <f aca="false">IF('Все позиции'!H49="","",'Все позиции'!H49)</f>
        <v>800</v>
      </c>
      <c r="H22" s="26" t="n">
        <f aca="false">IF('Все позиции'!L49="","",'Все позиции'!L49)</f>
        <v>400</v>
      </c>
      <c r="I22" s="27" t="n">
        <f aca="false">IF('Все позиции'!O49="","",'Все позиции'!O49)</f>
        <v>-0.2</v>
      </c>
      <c r="J22" s="26" t="n">
        <f aca="false">IF('Все позиции'!G49="","",'Все позиции'!G49)</f>
        <v>400000</v>
      </c>
      <c r="K22" s="26" t="n">
        <f aca="false">IF('Все позиции'!M49="","",'Все позиции'!M49)</f>
        <v>320000</v>
      </c>
      <c r="L22" s="28" t="n">
        <f aca="false">IF('Все позиции'!N49="","",'Все позиции'!N49)</f>
        <v>-80000</v>
      </c>
      <c r="M22" s="23" t="str">
        <f aca="false">IF('Все позиции'!P49="","",'Все позиции'!P49)</f>
        <v>Снижение согласовано, но не внесено в итог</v>
      </c>
      <c r="N22" s="24" t="str">
        <f aca="false">IF('Все позиции'!Q49="","",'Все позиции'!Q49)</f>
        <v>по договру</v>
      </c>
      <c r="O22" s="24" t="str">
        <f aca="false">IF('Все позиции'!R49="","",'Все позиции'!R49)</f>
        <v>Цена Согласована Марк</v>
      </c>
    </row>
    <row r="23" customFormat="false" ht="15" hidden="false" customHeight="false" outlineLevel="0" collapsed="false">
      <c r="A23" s="17" t="str">
        <f aca="false">IF('Все позиции'!A91="","",'Все позиции'!A91)</f>
        <v>3. Дополнительные работы 3,7,8,9 этаж</v>
      </c>
      <c r="B23" s="17" t="str">
        <f aca="false">IF('Все позиции'!B91="","",'Все позиции'!B91)</f>
        <v>3.9</v>
      </c>
      <c r="C23" s="18" t="str">
        <f aca="false">IF('Все позиции'!C91="","",'Все позиции'!C91)</f>
        <v>Монтаж пожарного клапана</v>
      </c>
      <c r="D23" s="17" t="str">
        <f aca="false">IF('Все позиции'!D91="","",'Все позиции'!D91)</f>
        <v>к-т</v>
      </c>
      <c r="E23" s="19" t="n">
        <f aca="false">IF('Все позиции'!E91="","",'Все позиции'!E91)</f>
        <v>4</v>
      </c>
      <c r="F23" s="20" t="n">
        <f aca="false">IF('Все позиции'!F91="","",'Все позиции'!F91)</f>
        <v>21000</v>
      </c>
      <c r="G23" s="19" t="n">
        <f aca="false">IF('Все позиции'!H91="","",'Все позиции'!H91)</f>
        <v>2</v>
      </c>
      <c r="H23" s="20" t="n">
        <f aca="false">IF('Все позиции'!L91="","",'Все позиции'!L91)</f>
        <v>2900</v>
      </c>
      <c r="I23" s="21" t="n">
        <f aca="false">IF('Все позиции'!O91="","",'Все позиции'!O91)</f>
        <v>-0.861904761904762</v>
      </c>
      <c r="J23" s="20" t="n">
        <f aca="false">IF('Все позиции'!G91="","",'Все позиции'!G91)</f>
        <v>84000</v>
      </c>
      <c r="K23" s="20" t="n">
        <f aca="false">IF('Все позиции'!M91="","",'Все позиции'!M91)</f>
        <v>5800</v>
      </c>
      <c r="L23" s="22" t="n">
        <f aca="false">IF('Все позиции'!N91="","",'Все позиции'!N91)</f>
        <v>-78200</v>
      </c>
      <c r="M23" s="17" t="str">
        <f aca="false">IF('Все позиции'!P91="","",'Все позиции'!P91)</f>
        <v>Снижены цена и количество</v>
      </c>
      <c r="N23" s="18" t="str">
        <f aca="false">IF('Все позиции'!Q91="","",'Все позиции'!Q91)</f>
        <v>сильно завышена расценка</v>
      </c>
      <c r="O23" s="18" t="str">
        <f aca="false">IF('Все позиции'!R91="","",'Все позиции'!R91)</f>
        <v/>
      </c>
    </row>
    <row r="24" customFormat="false" ht="15" hidden="false" customHeight="false" outlineLevel="0" collapsed="false">
      <c r="A24" s="17" t="str">
        <f aca="false">IF('Все позиции'!A197="","",'Все позиции'!A197)</f>
        <v>4. Вентиляция 10 этаж</v>
      </c>
      <c r="B24" s="17" t="str">
        <f aca="false">IF('Все позиции'!B197="","",'Все позиции'!B197)</f>
        <v>4.84</v>
      </c>
      <c r="C24" s="18" t="str">
        <f aca="false">IF('Все позиции'!C197="","",'Все позиции'!C197)</f>
        <v>ПНР10этаж</v>
      </c>
      <c r="D24" s="17" t="str">
        <f aca="false">IF('Все позиции'!D197="","",'Все позиции'!D197)</f>
        <v>к-т</v>
      </c>
      <c r="E24" s="19" t="n">
        <f aca="false">IF('Все позиции'!E197="","",'Все позиции'!E197)</f>
        <v>1</v>
      </c>
      <c r="F24" s="20" t="n">
        <f aca="false">IF('Все позиции'!F197="","",'Все позиции'!F197)</f>
        <v>162000</v>
      </c>
      <c r="G24" s="19" t="n">
        <f aca="false">IF('Все позиции'!H197="","",'Все позиции'!H197)</f>
        <v>1</v>
      </c>
      <c r="H24" s="20" t="n">
        <f aca="false">IF('Все позиции'!L197="","",'Все позиции'!L197)</f>
        <v>95000</v>
      </c>
      <c r="I24" s="21" t="n">
        <f aca="false">IF('Все позиции'!O197="","",'Все позиции'!O197)</f>
        <v>-0.41358024691358</v>
      </c>
      <c r="J24" s="20" t="n">
        <f aca="false">IF('Все позиции'!G197="","",'Все позиции'!G197)</f>
        <v>162000</v>
      </c>
      <c r="K24" s="20" t="n">
        <f aca="false">IF('Все позиции'!M197="","",'Все позиции'!M197)</f>
        <v>95000</v>
      </c>
      <c r="L24" s="22" t="n">
        <f aca="false">IF('Все позиции'!N197="","",'Все позиции'!N197)</f>
        <v>-67000</v>
      </c>
      <c r="M24" s="17" t="str">
        <f aca="false">IF('Все позиции'!P197="","",'Все позиции'!P197)</f>
        <v>Цена снижена</v>
      </c>
      <c r="N24" s="18" t="str">
        <f aca="false">IF('Все позиции'!Q197="","",'Все позиции'!Q197)</f>
        <v>по тип.эт</v>
      </c>
      <c r="O24" s="18" t="str">
        <f aca="false">IF('Все позиции'!R197="","",'Все позиции'!R197)</f>
        <v/>
      </c>
    </row>
    <row r="25" customFormat="false" ht="15" hidden="false" customHeight="false" outlineLevel="0" collapsed="false">
      <c r="A25" s="17" t="str">
        <f aca="false">IF('Все позиции'!A314="","",'Все позиции'!A314)</f>
        <v>6. Вентиляция 2 этаж</v>
      </c>
      <c r="B25" s="17" t="str">
        <f aca="false">IF('Все позиции'!B314="","",'Все позиции'!B314)</f>
        <v>6.74</v>
      </c>
      <c r="C25" s="18" t="str">
        <f aca="false">IF('Все позиции'!C314="","",'Все позиции'!C314)</f>
        <v>ПНР 2й этаж</v>
      </c>
      <c r="D25" s="17" t="str">
        <f aca="false">IF('Все позиции'!D314="","",'Все позиции'!D314)</f>
        <v>к-т</v>
      </c>
      <c r="E25" s="19" t="n">
        <f aca="false">IF('Все позиции'!E314="","",'Все позиции'!E314)</f>
        <v>1</v>
      </c>
      <c r="F25" s="20" t="n">
        <f aca="false">IF('Все позиции'!F314="","",'Все позиции'!F314)</f>
        <v>162000</v>
      </c>
      <c r="G25" s="19" t="n">
        <f aca="false">IF('Все позиции'!H314="","",'Все позиции'!H314)</f>
        <v>1</v>
      </c>
      <c r="H25" s="20" t="n">
        <f aca="false">IF('Все позиции'!L314="","",'Все позиции'!L314)</f>
        <v>95000</v>
      </c>
      <c r="I25" s="21" t="n">
        <f aca="false">IF('Все позиции'!O314="","",'Все позиции'!O314)</f>
        <v>-0.41358024691358</v>
      </c>
      <c r="J25" s="20" t="n">
        <f aca="false">IF('Все позиции'!G314="","",'Все позиции'!G314)</f>
        <v>162000</v>
      </c>
      <c r="K25" s="20" t="n">
        <f aca="false">IF('Все позиции'!M314="","",'Все позиции'!M314)</f>
        <v>95000</v>
      </c>
      <c r="L25" s="22" t="n">
        <f aca="false">IF('Все позиции'!N314="","",'Все позиции'!N314)</f>
        <v>-67000</v>
      </c>
      <c r="M25" s="17" t="str">
        <f aca="false">IF('Все позиции'!P314="","",'Все позиции'!P314)</f>
        <v>Цена снижена</v>
      </c>
      <c r="N25" s="18" t="str">
        <f aca="false">IF('Все позиции'!Q314="","",'Все позиции'!Q314)</f>
        <v>по тип.эт</v>
      </c>
      <c r="O25" s="18" t="str">
        <f aca="false">IF('Все позиции'!R314="","",'Все позиции'!R314)</f>
        <v/>
      </c>
    </row>
    <row r="26" customFormat="false" ht="26.85" hidden="false" customHeight="false" outlineLevel="0" collapsed="false">
      <c r="A26" s="23" t="str">
        <f aca="false">IF('Все позиции'!A76="","",'Все позиции'!A76)</f>
        <v>2. Кондиционирование</v>
      </c>
      <c r="B26" s="23" t="str">
        <f aca="false">IF('Все позиции'!B76="","",'Все позиции'!B76)</f>
        <v>2.37</v>
      </c>
      <c r="C26" s="24" t="str">
        <f aca="false">IF('Все позиции'!C76="","",'Все позиции'!C76)</f>
        <v>Тепловая изоляция из вспененного каучука, толщиной 9 мм Armaflex АСЕ 28*13</v>
      </c>
      <c r="D26" s="23" t="str">
        <f aca="false">IF('Все позиции'!D76="","",'Все позиции'!D76)</f>
        <v>м.п.</v>
      </c>
      <c r="E26" s="25" t="n">
        <f aca="false">IF('Все позиции'!E76="","",'Все позиции'!E76)</f>
        <v>1280</v>
      </c>
      <c r="F26" s="26" t="n">
        <f aca="false">IF('Все позиции'!F76="","",'Все позиции'!F76)</f>
        <v>200</v>
      </c>
      <c r="G26" s="25" t="n">
        <f aca="false">IF('Все позиции'!H76="","",'Все позиции'!H76)</f>
        <v>1280</v>
      </c>
      <c r="H26" s="26" t="n">
        <f aca="false">IF('Все позиции'!L76="","",'Все позиции'!L76)</f>
        <v>150</v>
      </c>
      <c r="I26" s="27" t="n">
        <f aca="false">IF('Все позиции'!O76="","",'Все позиции'!O76)</f>
        <v>-0.25</v>
      </c>
      <c r="J26" s="26" t="n">
        <f aca="false">IF('Все позиции'!G76="","",'Все позиции'!G76)</f>
        <v>256000</v>
      </c>
      <c r="K26" s="26" t="n">
        <f aca="false">IF('Все позиции'!M76="","",'Все позиции'!M76)</f>
        <v>192000</v>
      </c>
      <c r="L26" s="28" t="n">
        <f aca="false">IF('Все позиции'!N76="","",'Все позиции'!N76)</f>
        <v>-64000</v>
      </c>
      <c r="M26" s="23" t="str">
        <f aca="false">IF('Все позиции'!P76="","",'Все позиции'!P76)</f>
        <v>Снижение согласовано, но не внесено в итог</v>
      </c>
      <c r="N26" s="24" t="str">
        <f aca="false">IF('Все позиции'!Q76="","",'Все позиции'!Q76)</f>
        <v>по договору</v>
      </c>
      <c r="O26" s="24" t="str">
        <f aca="false">IF('Все позиции'!R76="","",'Все позиции'!R76)</f>
        <v>Цена Согласована Марк</v>
      </c>
    </row>
    <row r="27" customFormat="false" ht="26.85" hidden="false" customHeight="false" outlineLevel="0" collapsed="false">
      <c r="A27" s="17" t="str">
        <f aca="false">IF('Все позиции'!A236="","",'Все позиции'!A236)</f>
        <v>5. Холодоснабжение 10 этаж</v>
      </c>
      <c r="B27" s="17" t="str">
        <f aca="false">IF('Все позиции'!B236="","",'Все позиции'!B236)</f>
        <v>5.33</v>
      </c>
      <c r="C27" s="18" t="str">
        <f aca="false">IF('Все позиции'!C236="","",'Все позиции'!C236)</f>
        <v>Трубки теплоизоляционные для трубы Ø32х5,4 толщиной 6мм</v>
      </c>
      <c r="D27" s="17" t="str">
        <f aca="false">IF('Все позиции'!D236="","",'Все позиции'!D236)</f>
        <v>шт.</v>
      </c>
      <c r="E27" s="19" t="n">
        <f aca="false">IF('Все позиции'!E236="","",'Все позиции'!E236)</f>
        <v>75</v>
      </c>
      <c r="F27" s="20" t="n">
        <f aca="false">IF('Все позиции'!F236="","",'Все позиции'!F236)</f>
        <v>1020</v>
      </c>
      <c r="G27" s="19" t="n">
        <f aca="false">IF('Все позиции'!H236="","",'Все позиции'!H236)</f>
        <v>75</v>
      </c>
      <c r="H27" s="20" t="n">
        <f aca="false">IF('Все позиции'!L236="","",'Все позиции'!L236)</f>
        <v>200</v>
      </c>
      <c r="I27" s="21" t="n">
        <f aca="false">IF('Все позиции'!O236="","",'Все позиции'!O236)</f>
        <v>-0.803921568627451</v>
      </c>
      <c r="J27" s="20" t="n">
        <f aca="false">IF('Все позиции'!G236="","",'Все позиции'!G236)</f>
        <v>76500</v>
      </c>
      <c r="K27" s="20" t="n">
        <f aca="false">IF('Все позиции'!M236="","",'Все позиции'!M236)</f>
        <v>15000</v>
      </c>
      <c r="L27" s="22" t="n">
        <f aca="false">IF('Все позиции'!N236="","",'Все позиции'!N236)</f>
        <v>-61500</v>
      </c>
      <c r="M27" s="17" t="str">
        <f aca="false">IF('Все позиции'!P236="","",'Все позиции'!P236)</f>
        <v>Цена снижена</v>
      </c>
      <c r="N27" s="18" t="str">
        <f aca="false">IF('Все позиции'!Q236="","",'Все позиции'!Q236)</f>
        <v>по договору</v>
      </c>
      <c r="O27" s="18" t="str">
        <f aca="false">IF('Все позиции'!R236="","",'Все позиции'!R236)</f>
        <v>Цена Согласована Марк</v>
      </c>
    </row>
    <row r="28" customFormat="false" ht="15" hidden="false" customHeight="false" outlineLevel="0" collapsed="false">
      <c r="A28" s="17" t="str">
        <f aca="false">IF('Все позиции'!A195="","",'Все позиции'!A195)</f>
        <v>4. Вентиляция 10 этаж</v>
      </c>
      <c r="B28" s="17" t="str">
        <f aca="false">IF('Все позиции'!B195="","",'Все позиции'!B195)</f>
        <v>4.82</v>
      </c>
      <c r="C28" s="18" t="str">
        <f aca="false">IF('Все позиции'!C195="","",'Все позиции'!C195)</f>
        <v>Изоляция прямоугольных воздуховодов</v>
      </c>
      <c r="D28" s="17" t="str">
        <f aca="false">IF('Все позиции'!D195="","",'Все позиции'!D195)</f>
        <v>м2</v>
      </c>
      <c r="E28" s="19" t="n">
        <f aca="false">IF('Все позиции'!E195="","",'Все позиции'!E195)</f>
        <v>120</v>
      </c>
      <c r="F28" s="20" t="n">
        <f aca="false">IF('Все позиции'!F195="","",'Все позиции'!F195)</f>
        <v>1092</v>
      </c>
      <c r="G28" s="19" t="n">
        <f aca="false">IF('Все позиции'!H195="","",'Все позиции'!H195)</f>
        <v>120</v>
      </c>
      <c r="H28" s="20" t="n">
        <f aca="false">IF('Все позиции'!L195="","",'Все позиции'!L195)</f>
        <v>665</v>
      </c>
      <c r="I28" s="21" t="n">
        <f aca="false">IF('Все позиции'!O195="","",'Все позиции'!O195)</f>
        <v>-0.391025641025641</v>
      </c>
      <c r="J28" s="20" t="n">
        <f aca="false">IF('Все позиции'!G195="","",'Все позиции'!G195)</f>
        <v>131040</v>
      </c>
      <c r="K28" s="20" t="n">
        <f aca="false">IF('Все позиции'!M195="","",'Все позиции'!M195)</f>
        <v>79800</v>
      </c>
      <c r="L28" s="22" t="n">
        <f aca="false">IF('Все позиции'!N195="","",'Все позиции'!N195)</f>
        <v>-51240</v>
      </c>
      <c r="M28" s="17" t="str">
        <f aca="false">IF('Все позиции'!P195="","",'Все позиции'!P195)</f>
        <v>Цена снижена</v>
      </c>
      <c r="N28" s="18" t="str">
        <f aca="false">IF('Все позиции'!Q195="","",'Все позиции'!Q195)</f>
        <v/>
      </c>
      <c r="O28" s="18" t="str">
        <f aca="false">IF('Все позиции'!R195="","",'Все позиции'!R195)</f>
        <v/>
      </c>
    </row>
    <row r="29" customFormat="false" ht="26.85" hidden="false" customHeight="false" outlineLevel="0" collapsed="false">
      <c r="A29" s="17" t="str">
        <f aca="false">IF('Все позиции'!A319="","",'Все позиции'!A319)</f>
        <v>6. Дымоудаление (2 этаж)</v>
      </c>
      <c r="B29" s="17" t="str">
        <f aca="false">IF('Все позиции'!B319="","",'Все позиции'!B319)</f>
        <v>6.78</v>
      </c>
      <c r="C29" s="18" t="str">
        <f aca="false">IF('Все позиции'!C319="","",'Все позиции'!C319)</f>
        <v>Отвод 45гр 800*500</v>
      </c>
      <c r="D29" s="17" t="str">
        <f aca="false">IF('Все позиции'!D319="","",'Все позиции'!D319)</f>
        <v>шт.</v>
      </c>
      <c r="E29" s="19" t="n">
        <f aca="false">IF('Все позиции'!E319="","",'Все позиции'!E319)</f>
        <v>6</v>
      </c>
      <c r="F29" s="20" t="n">
        <f aca="false">IF('Все позиции'!F319="","",'Все позиции'!F319)</f>
        <v>8000</v>
      </c>
      <c r="G29" s="19" t="n">
        <f aca="false">IF('Все позиции'!H319="","",'Все позиции'!H319)</f>
        <v>6</v>
      </c>
      <c r="H29" s="20" t="str">
        <f aca="false">IF('Все позиции'!L319="","",'Все позиции'!L319)</f>
        <v/>
      </c>
      <c r="I29" s="21" t="n">
        <f aca="false">IF('Все позиции'!O319="","",'Все позиции'!O319)</f>
        <v>-1</v>
      </c>
      <c r="J29" s="20" t="n">
        <f aca="false">IF('Все позиции'!G319="","",'Все позиции'!G319)</f>
        <v>48000</v>
      </c>
      <c r="K29" s="20" t="n">
        <f aca="false">IF('Все позиции'!M319="","",'Все позиции'!M319)</f>
        <v>0</v>
      </c>
      <c r="L29" s="22" t="n">
        <f aca="false">IF('Все позиции'!N319="","",'Все позиции'!N319)</f>
        <v>-48000</v>
      </c>
      <c r="M29" s="17" t="str">
        <f aca="false">IF('Все позиции'!P319="","",'Все позиции'!P319)</f>
        <v>Исключено → отдельный допник</v>
      </c>
      <c r="N29" s="18" t="str">
        <f aca="false">IF('Все позиции'!Q319="","",'Все позиции'!Q319)</f>
        <v>удалить (если будут данные позиции сделаем отдельный допник)</v>
      </c>
      <c r="O29" s="18" t="str">
        <f aca="false">IF('Все позиции'!R319="","",'Все позиции'!R319)</f>
        <v/>
      </c>
    </row>
    <row r="30" customFormat="false" ht="15" hidden="false" customHeight="false" outlineLevel="0" collapsed="false">
      <c r="A30" s="23" t="str">
        <f aca="false">IF('Все позиции'!A243="","",'Все позиции'!A243)</f>
        <v>6. Вентиляция 2 этаж</v>
      </c>
      <c r="B30" s="23" t="str">
        <f aca="false">IF('Все позиции'!B243="","",'Все позиции'!B243)</f>
        <v>6.3</v>
      </c>
      <c r="C30" s="24" t="str">
        <f aca="false">IF('Все позиции'!C243="","",'Все позиции'!C243)</f>
        <v>Решетка защитная круглая, Ø200 БСК 200</v>
      </c>
      <c r="D30" s="23" t="str">
        <f aca="false">IF('Все позиции'!D243="","",'Все позиции'!D243)</f>
        <v>шт.</v>
      </c>
      <c r="E30" s="25" t="n">
        <f aca="false">IF('Все позиции'!E243="","",'Все позиции'!E243)</f>
        <v>44</v>
      </c>
      <c r="F30" s="26" t="n">
        <f aca="false">IF('Все позиции'!F243="","",'Все позиции'!F243)</f>
        <v>1296</v>
      </c>
      <c r="G30" s="25" t="n">
        <f aca="false">IF('Все позиции'!H243="","",'Все позиции'!H243)</f>
        <v>44</v>
      </c>
      <c r="H30" s="26" t="n">
        <f aca="false">IF('Все позиции'!L243="","",'Все позиции'!L243)</f>
        <v>298.89</v>
      </c>
      <c r="I30" s="27" t="n">
        <f aca="false">IF('Все позиции'!O243="","",'Все позиции'!O243)</f>
        <v>-0.769375</v>
      </c>
      <c r="J30" s="26" t="n">
        <f aca="false">IF('Все позиции'!G243="","",'Все позиции'!G243)</f>
        <v>57024</v>
      </c>
      <c r="K30" s="26" t="n">
        <f aca="false">IF('Все позиции'!M243="","",'Все позиции'!M243)</f>
        <v>13151.16</v>
      </c>
      <c r="L30" s="28" t="n">
        <f aca="false">IF('Все позиции'!N243="","",'Все позиции'!N243)</f>
        <v>-43872.84</v>
      </c>
      <c r="M30" s="23" t="str">
        <f aca="false">IF('Все позиции'!P243="","",'Все позиции'!P243)</f>
        <v>Снижение предложено, но не внесено в итог</v>
      </c>
      <c r="N30" s="24" t="str">
        <f aca="false">IF('Все позиции'!Q243="","",'Все позиции'!Q243)</f>
        <v>по договору</v>
      </c>
      <c r="O30" s="24" t="str">
        <f aca="false">IF('Все позиции'!R243="","",'Все позиции'!R243)</f>
        <v/>
      </c>
    </row>
    <row r="31" customFormat="false" ht="15" hidden="false" customHeight="false" outlineLevel="0" collapsed="false">
      <c r="A31" s="17" t="str">
        <f aca="false">IF('Все позиции'!A312="","",'Все позиции'!A312)</f>
        <v>6. Вентиляция 2 этаж</v>
      </c>
      <c r="B31" s="17" t="str">
        <f aca="false">IF('Все позиции'!B312="","",'Все позиции'!B312)</f>
        <v>6.72</v>
      </c>
      <c r="C31" s="18" t="str">
        <f aca="false">IF('Все позиции'!C312="","",'Все позиции'!C312)</f>
        <v>Изоляция прямоугольных воздуховодов</v>
      </c>
      <c r="D31" s="17" t="str">
        <f aca="false">IF('Все позиции'!D312="","",'Все позиции'!D312)</f>
        <v>м2</v>
      </c>
      <c r="E31" s="19" t="n">
        <f aca="false">IF('Все позиции'!E312="","",'Все позиции'!E312)</f>
        <v>150</v>
      </c>
      <c r="F31" s="20" t="n">
        <f aca="false">IF('Все позиции'!F312="","",'Все позиции'!F312)</f>
        <v>1092</v>
      </c>
      <c r="G31" s="19" t="n">
        <f aca="false">IF('Все позиции'!H312="","",'Все позиции'!H312)</f>
        <v>150</v>
      </c>
      <c r="H31" s="20" t="n">
        <f aca="false">IF('Все позиции'!L312="","",'Все позиции'!L312)</f>
        <v>800</v>
      </c>
      <c r="I31" s="21" t="n">
        <f aca="false">IF('Все позиции'!O312="","",'Все позиции'!O312)</f>
        <v>-0.267399267399267</v>
      </c>
      <c r="J31" s="20" t="n">
        <f aca="false">IF('Все позиции'!G312="","",'Все позиции'!G312)</f>
        <v>163800</v>
      </c>
      <c r="K31" s="20" t="n">
        <f aca="false">IF('Все позиции'!M312="","",'Все позиции'!M312)</f>
        <v>120000</v>
      </c>
      <c r="L31" s="22" t="n">
        <f aca="false">IF('Все позиции'!N312="","",'Все позиции'!N312)</f>
        <v>-43800</v>
      </c>
      <c r="M31" s="17" t="str">
        <f aca="false">IF('Все позиции'!P312="","",'Все позиции'!P312)</f>
        <v>Цена снижена</v>
      </c>
      <c r="N31" s="18" t="str">
        <f aca="false">IF('Все позиции'!Q312="","",'Все позиции'!Q312)</f>
        <v/>
      </c>
      <c r="O31" s="18" t="str">
        <f aca="false">IF('Все позиции'!R312="","",'Все позиции'!R312)</f>
        <v/>
      </c>
    </row>
    <row r="32" customFormat="false" ht="15" hidden="false" customHeight="false" outlineLevel="0" collapsed="false">
      <c r="A32" s="17" t="str">
        <f aca="false">IF('Все позиции'!A239="","",'Все позиции'!A239)</f>
        <v>5. Холодоснабжение 10 этаж</v>
      </c>
      <c r="B32" s="17" t="str">
        <f aca="false">IF('Все позиции'!B239="","",'Все позиции'!B239)</f>
        <v>5.36</v>
      </c>
      <c r="C32" s="18" t="str">
        <f aca="false">IF('Все позиции'!C239="","",'Все позиции'!C239)</f>
        <v>ПНР 10й этаж</v>
      </c>
      <c r="D32" s="17" t="str">
        <f aca="false">IF('Все позиции'!D239="","",'Все позиции'!D239)</f>
        <v>к-т</v>
      </c>
      <c r="E32" s="19" t="n">
        <f aca="false">IF('Все позиции'!E239="","",'Все позиции'!E239)</f>
        <v>1</v>
      </c>
      <c r="F32" s="20" t="n">
        <f aca="false">IF('Все позиции'!F239="","",'Все позиции'!F239)</f>
        <v>162000</v>
      </c>
      <c r="G32" s="19" t="n">
        <f aca="false">IF('Все позиции'!H239="","",'Все позиции'!H239)</f>
        <v>1</v>
      </c>
      <c r="H32" s="20" t="n">
        <f aca="false">IF('Все позиции'!L239="","",'Все позиции'!L239)</f>
        <v>120000</v>
      </c>
      <c r="I32" s="21" t="n">
        <f aca="false">IF('Все позиции'!O239="","",'Все позиции'!O239)</f>
        <v>-0.259259259259259</v>
      </c>
      <c r="J32" s="20" t="n">
        <f aca="false">IF('Все позиции'!G239="","",'Все позиции'!G239)</f>
        <v>162000</v>
      </c>
      <c r="K32" s="20" t="n">
        <f aca="false">IF('Все позиции'!M239="","",'Все позиции'!M239)</f>
        <v>120000</v>
      </c>
      <c r="L32" s="22" t="n">
        <f aca="false">IF('Все позиции'!N239="","",'Все позиции'!N239)</f>
        <v>-42000</v>
      </c>
      <c r="M32" s="17" t="str">
        <f aca="false">IF('Все позиции'!P239="","",'Все позиции'!P239)</f>
        <v>Цена снижена</v>
      </c>
      <c r="N32" s="18" t="str">
        <f aca="false">IF('Все позиции'!Q239="","",'Все позиции'!Q239)</f>
        <v>по тип.эт</v>
      </c>
      <c r="O32" s="18" t="str">
        <f aca="false">IF('Все позиции'!R239="","",'Все позиции'!R239)</f>
        <v/>
      </c>
    </row>
    <row r="33" customFormat="false" ht="15" hidden="false" customHeight="false" outlineLevel="0" collapsed="false">
      <c r="A33" s="17" t="str">
        <f aca="false">IF('Все позиции'!A331="","",'Все позиции'!A331)</f>
        <v>7. Холодоснабжение 2 этаж</v>
      </c>
      <c r="B33" s="17" t="str">
        <f aca="false">IF('Все позиции'!B331="","",'Все позиции'!B331)</f>
        <v>7.11</v>
      </c>
      <c r="C33" s="18" t="str">
        <f aca="false">IF('Все позиции'!C331="","",'Все позиции'!C331)</f>
        <v>ПНР 2й этаж</v>
      </c>
      <c r="D33" s="17" t="str">
        <f aca="false">IF('Все позиции'!D331="","",'Все позиции'!D331)</f>
        <v>к-т</v>
      </c>
      <c r="E33" s="19" t="n">
        <f aca="false">IF('Все позиции'!E331="","",'Все позиции'!E331)</f>
        <v>1</v>
      </c>
      <c r="F33" s="20" t="n">
        <f aca="false">IF('Все позиции'!F331="","",'Все позиции'!F331)</f>
        <v>162000</v>
      </c>
      <c r="G33" s="19" t="n">
        <f aca="false">IF('Все позиции'!H331="","",'Все позиции'!H331)</f>
        <v>1</v>
      </c>
      <c r="H33" s="20" t="n">
        <f aca="false">IF('Все позиции'!L331="","",'Все позиции'!L331)</f>
        <v>120000</v>
      </c>
      <c r="I33" s="21" t="n">
        <f aca="false">IF('Все позиции'!O331="","",'Все позиции'!O331)</f>
        <v>-0.259259259259259</v>
      </c>
      <c r="J33" s="20" t="n">
        <f aca="false">IF('Все позиции'!G331="","",'Все позиции'!G331)</f>
        <v>162000</v>
      </c>
      <c r="K33" s="20" t="n">
        <f aca="false">IF('Все позиции'!M331="","",'Все позиции'!M331)</f>
        <v>120000</v>
      </c>
      <c r="L33" s="22" t="n">
        <f aca="false">IF('Все позиции'!N331="","",'Все позиции'!N331)</f>
        <v>-42000</v>
      </c>
      <c r="M33" s="17" t="str">
        <f aca="false">IF('Все позиции'!P331="","",'Все позиции'!P331)</f>
        <v>Цена снижена</v>
      </c>
      <c r="N33" s="18" t="str">
        <f aca="false">IF('Все позиции'!Q331="","",'Все позиции'!Q331)</f>
        <v>по тип.эт</v>
      </c>
      <c r="O33" s="18" t="str">
        <f aca="false">IF('Все позиции'!R331="","",'Все позиции'!R331)</f>
        <v/>
      </c>
    </row>
    <row r="34" customFormat="false" ht="39.55" hidden="false" customHeight="false" outlineLevel="0" collapsed="false">
      <c r="A34" s="17" t="str">
        <f aca="false">IF('Все позиции'!A120="","",'Все позиции'!A120)</f>
        <v>4. Вентиляция 10 этаж</v>
      </c>
      <c r="B34" s="17" t="str">
        <f aca="false">IF('Все позиции'!B120="","",'Все позиции'!B120)</f>
        <v>4.7</v>
      </c>
      <c r="C34" s="18" t="str">
        <f aca="false">IF('Все позиции'!C120="","",'Все позиции'!C120)</f>
        <v>Адаптер для щелевой решетки с регулятором расхода и увеличенным патрубком, 1000мм Адаптер для ЛРЩ 22-1-1000 y=67мм + заслонка</v>
      </c>
      <c r="D34" s="17" t="str">
        <f aca="false">IF('Все позиции'!D120="","",'Все позиции'!D120)</f>
        <v>шт.</v>
      </c>
      <c r="E34" s="19" t="n">
        <f aca="false">IF('Все позиции'!E120="","",'Все позиции'!E120)</f>
        <v>12</v>
      </c>
      <c r="F34" s="20" t="n">
        <f aca="false">IF('Все позиции'!F120="","",'Все позиции'!F120)</f>
        <v>4860</v>
      </c>
      <c r="G34" s="19" t="n">
        <f aca="false">IF('Все позиции'!H120="","",'Все позиции'!H120)</f>
        <v>12</v>
      </c>
      <c r="H34" s="20" t="n">
        <f aca="false">IF('Все позиции'!L120="","",'Все позиции'!L120)</f>
        <v>1500</v>
      </c>
      <c r="I34" s="21" t="n">
        <f aca="false">IF('Все позиции'!O120="","",'Все позиции'!O120)</f>
        <v>-0.691358024691358</v>
      </c>
      <c r="J34" s="20" t="n">
        <f aca="false">IF('Все позиции'!G120="","",'Все позиции'!G120)</f>
        <v>58320</v>
      </c>
      <c r="K34" s="20" t="n">
        <f aca="false">IF('Все позиции'!M120="","",'Все позиции'!M120)</f>
        <v>18000</v>
      </c>
      <c r="L34" s="22" t="n">
        <f aca="false">IF('Все позиции'!N120="","",'Все позиции'!N120)</f>
        <v>-40320</v>
      </c>
      <c r="M34" s="17" t="str">
        <f aca="false">IF('Все позиции'!P120="","",'Все позиции'!P120)</f>
        <v>Цена снижена</v>
      </c>
      <c r="N34" s="18" t="str">
        <f aca="false">IF('Все позиции'!Q120="","",'Все позиции'!Q120)</f>
        <v>расценка сильно завышена</v>
      </c>
      <c r="O34" s="18" t="str">
        <f aca="false">IF('Все позиции'!R120="","",'Все позиции'!R120)</f>
        <v/>
      </c>
    </row>
    <row r="35" customFormat="false" ht="26.85" hidden="false" customHeight="false" outlineLevel="0" collapsed="false">
      <c r="A35" s="23" t="str">
        <f aca="false">IF('Все позиции'!A77="","",'Все позиции'!A77)</f>
        <v>2. Кондиционирование</v>
      </c>
      <c r="B35" s="23" t="str">
        <f aca="false">IF('Все позиции'!B77="","",'Все позиции'!B77)</f>
        <v>2.38</v>
      </c>
      <c r="C35" s="24" t="str">
        <f aca="false">IF('Все позиции'!C77="","",'Все позиции'!C77)</f>
        <v>Тепловая изоляция из вспененного каучука, толщиной 9 мм Armaflex АСЕ 35*13</v>
      </c>
      <c r="D35" s="23" t="str">
        <f aca="false">IF('Все позиции'!D77="","",'Все позиции'!D77)</f>
        <v>м.п.</v>
      </c>
      <c r="E35" s="25" t="n">
        <f aca="false">IF('Все позиции'!E77="","",'Все позиции'!E77)</f>
        <v>800</v>
      </c>
      <c r="F35" s="26" t="n">
        <f aca="false">IF('Все позиции'!F77="","",'Все позиции'!F77)</f>
        <v>200</v>
      </c>
      <c r="G35" s="25" t="n">
        <f aca="false">IF('Все позиции'!H77="","",'Все позиции'!H77)</f>
        <v>800</v>
      </c>
      <c r="H35" s="26" t="n">
        <f aca="false">IF('Все позиции'!L77="","",'Все позиции'!L77)</f>
        <v>150</v>
      </c>
      <c r="I35" s="27" t="n">
        <f aca="false">IF('Все позиции'!O77="","",'Все позиции'!O77)</f>
        <v>-0.25</v>
      </c>
      <c r="J35" s="26" t="n">
        <f aca="false">IF('Все позиции'!G77="","",'Все позиции'!G77)</f>
        <v>160000</v>
      </c>
      <c r="K35" s="26" t="n">
        <f aca="false">IF('Все позиции'!M77="","",'Все позиции'!M77)</f>
        <v>120000</v>
      </c>
      <c r="L35" s="28" t="n">
        <f aca="false">IF('Все позиции'!N77="","",'Все позиции'!N77)</f>
        <v>-40000</v>
      </c>
      <c r="M35" s="23" t="str">
        <f aca="false">IF('Все позиции'!P77="","",'Все позиции'!P77)</f>
        <v>Снижение согласовано, но не внесено в итог</v>
      </c>
      <c r="N35" s="24" t="str">
        <f aca="false">IF('Все позиции'!Q77="","",'Все позиции'!Q77)</f>
        <v>по договору</v>
      </c>
      <c r="O35" s="24" t="str">
        <f aca="false">IF('Все позиции'!R77="","",'Все позиции'!R77)</f>
        <v>Цена Согласована Марк</v>
      </c>
    </row>
    <row r="36" customFormat="false" ht="15" hidden="false" customHeight="false" outlineLevel="0" collapsed="false">
      <c r="A36" s="17" t="str">
        <f aca="false">IF('Все позиции'!A211="","",'Все позиции'!A211)</f>
        <v>5. Холодоснабжение 10 этаж</v>
      </c>
      <c r="B36" s="17" t="str">
        <f aca="false">IF('Все позиции'!B211="","",'Все позиции'!B211)</f>
        <v>5.8</v>
      </c>
      <c r="C36" s="18" t="str">
        <f aca="false">IF('Все позиции'!C211="","",'Все позиции'!C211)</f>
        <v>Ниппель 3/4"</v>
      </c>
      <c r="D36" s="17" t="str">
        <f aca="false">IF('Все позиции'!D211="","",'Все позиции'!D211)</f>
        <v>шт.</v>
      </c>
      <c r="E36" s="19" t="n">
        <f aca="false">IF('Все позиции'!E211="","",'Все позиции'!E211)</f>
        <v>62</v>
      </c>
      <c r="F36" s="20" t="n">
        <f aca="false">IF('Все позиции'!F211="","",'Все позиции'!F211)</f>
        <v>1296</v>
      </c>
      <c r="G36" s="19" t="n">
        <f aca="false">IF('Все позиции'!H211="","",'Все позиции'!H211)</f>
        <v>62</v>
      </c>
      <c r="H36" s="20" t="n">
        <f aca="false">IF('Все позиции'!L211="","",'Все позиции'!L211)</f>
        <v>700</v>
      </c>
      <c r="I36" s="21" t="n">
        <f aca="false">IF('Все позиции'!O211="","",'Все позиции'!O211)</f>
        <v>-0.459876543209877</v>
      </c>
      <c r="J36" s="20" t="n">
        <f aca="false">IF('Все позиции'!G211="","",'Все позиции'!G211)</f>
        <v>80352</v>
      </c>
      <c r="K36" s="20" t="n">
        <f aca="false">IF('Все позиции'!M211="","",'Все позиции'!M211)</f>
        <v>43400</v>
      </c>
      <c r="L36" s="22" t="n">
        <f aca="false">IF('Все позиции'!N211="","",'Все позиции'!N211)</f>
        <v>-36952</v>
      </c>
      <c r="M36" s="17" t="str">
        <f aca="false">IF('Все позиции'!P211="","",'Все позиции'!P211)</f>
        <v>Цена снижена</v>
      </c>
      <c r="N36" s="18" t="str">
        <f aca="false">IF('Все позиции'!Q211="","",'Все позиции'!Q211)</f>
        <v/>
      </c>
      <c r="O36" s="18" t="str">
        <f aca="false">IF('Все позиции'!R211="","",'Все позиции'!R211)</f>
        <v>Цена Согласована Марк</v>
      </c>
    </row>
    <row r="37" customFormat="false" ht="15" hidden="false" customHeight="false" outlineLevel="0" collapsed="false">
      <c r="A37" s="17" t="str">
        <f aca="false">IF('Все позиции'!A212="","",'Все позиции'!A212)</f>
        <v>5. Холодоснабжение 10 этаж</v>
      </c>
      <c r="B37" s="17" t="str">
        <f aca="false">IF('Все позиции'!B212="","",'Все позиции'!B212)</f>
        <v>5.9</v>
      </c>
      <c r="C37" s="18" t="str">
        <f aca="false">IF('Все позиции'!C212="","",'Все позиции'!C212)</f>
        <v>Муфта переходная 3/4"x 1/2"</v>
      </c>
      <c r="D37" s="17" t="str">
        <f aca="false">IF('Все позиции'!D212="","",'Все позиции'!D212)</f>
        <v>шт.</v>
      </c>
      <c r="E37" s="19" t="n">
        <f aca="false">IF('Все позиции'!E212="","",'Все позиции'!E212)</f>
        <v>62</v>
      </c>
      <c r="F37" s="20" t="n">
        <f aca="false">IF('Все позиции'!F212="","",'Все позиции'!F212)</f>
        <v>1296</v>
      </c>
      <c r="G37" s="19" t="n">
        <f aca="false">IF('Все позиции'!H212="","",'Все позиции'!H212)</f>
        <v>62</v>
      </c>
      <c r="H37" s="20" t="n">
        <f aca="false">IF('Все позиции'!L212="","",'Все позиции'!L212)</f>
        <v>700</v>
      </c>
      <c r="I37" s="21" t="n">
        <f aca="false">IF('Все позиции'!O212="","",'Все позиции'!O212)</f>
        <v>-0.459876543209877</v>
      </c>
      <c r="J37" s="20" t="n">
        <f aca="false">IF('Все позиции'!G212="","",'Все позиции'!G212)</f>
        <v>80352</v>
      </c>
      <c r="K37" s="20" t="n">
        <f aca="false">IF('Все позиции'!M212="","",'Все позиции'!M212)</f>
        <v>43400</v>
      </c>
      <c r="L37" s="22" t="n">
        <f aca="false">IF('Все позиции'!N212="","",'Все позиции'!N212)</f>
        <v>-36952</v>
      </c>
      <c r="M37" s="17" t="str">
        <f aca="false">IF('Все позиции'!P212="","",'Все позиции'!P212)</f>
        <v>Цена снижена</v>
      </c>
      <c r="N37" s="18" t="str">
        <f aca="false">IF('Все позиции'!Q212="","",'Все позиции'!Q212)</f>
        <v/>
      </c>
      <c r="O37" s="18" t="str">
        <f aca="false">IF('Все позиции'!R212="","",'Все позиции'!R212)</f>
        <v>Цена Согласована Марк</v>
      </c>
    </row>
    <row r="38" customFormat="false" ht="26.85" hidden="false" customHeight="false" outlineLevel="0" collapsed="false">
      <c r="A38" s="17" t="str">
        <f aca="false">IF('Все позиции'!A213="","",'Все позиции'!A213)</f>
        <v>5. Холодоснабжение 10 этаж</v>
      </c>
      <c r="B38" s="17" t="str">
        <f aca="false">IF('Все позиции'!B213="","",'Все позиции'!B213)</f>
        <v>5.10</v>
      </c>
      <c r="C38" s="18" t="str">
        <f aca="false">IF('Все позиции'!C213="","",'Все позиции'!C213)</f>
        <v>Гибкая подводка 3/4" гайка/штуцер, длиной 500мм</v>
      </c>
      <c r="D38" s="17" t="str">
        <f aca="false">IF('Все позиции'!D213="","",'Все позиции'!D213)</f>
        <v>шт.</v>
      </c>
      <c r="E38" s="19" t="n">
        <f aca="false">IF('Все позиции'!E213="","",'Все позиции'!E213)</f>
        <v>62</v>
      </c>
      <c r="F38" s="20" t="n">
        <f aca="false">IF('Все позиции'!F213="","",'Все позиции'!F213)</f>
        <v>1296</v>
      </c>
      <c r="G38" s="19" t="n">
        <f aca="false">IF('Все позиции'!H213="","",'Все позиции'!H213)</f>
        <v>62</v>
      </c>
      <c r="H38" s="20" t="n">
        <f aca="false">IF('Все позиции'!L213="","",'Все позиции'!L213)</f>
        <v>700</v>
      </c>
      <c r="I38" s="21" t="n">
        <f aca="false">IF('Все позиции'!O213="","",'Все позиции'!O213)</f>
        <v>-0.459876543209877</v>
      </c>
      <c r="J38" s="20" t="n">
        <f aca="false">IF('Все позиции'!G213="","",'Все позиции'!G213)</f>
        <v>80352</v>
      </c>
      <c r="K38" s="20" t="n">
        <f aca="false">IF('Все позиции'!M213="","",'Все позиции'!M213)</f>
        <v>43400</v>
      </c>
      <c r="L38" s="22" t="n">
        <f aca="false">IF('Все позиции'!N213="","",'Все позиции'!N213)</f>
        <v>-36952</v>
      </c>
      <c r="M38" s="17" t="str">
        <f aca="false">IF('Все позиции'!P213="","",'Все позиции'!P213)</f>
        <v>Цена снижена</v>
      </c>
      <c r="N38" s="18" t="str">
        <f aca="false">IF('Все позиции'!Q213="","",'Все позиции'!Q213)</f>
        <v/>
      </c>
      <c r="O38" s="18" t="str">
        <f aca="false">IF('Все позиции'!R213="","",'Все позиции'!R213)</f>
        <v>Цена Согласована Марк</v>
      </c>
    </row>
    <row r="39" customFormat="false" ht="15" hidden="false" customHeight="false" outlineLevel="0" collapsed="false">
      <c r="A39" s="17" t="str">
        <f aca="false">IF('Все позиции'!A214="","",'Все позиции'!A214)</f>
        <v>5. Холодоснабжение 10 этаж</v>
      </c>
      <c r="B39" s="17" t="str">
        <f aca="false">IF('Все позиции'!B214="","",'Все позиции'!B214)</f>
        <v>5.11</v>
      </c>
      <c r="C39" s="18" t="str">
        <f aca="false">IF('Все позиции'!C214="","",'Все позиции'!C214)</f>
        <v>Ниппель переходной 3/4"</v>
      </c>
      <c r="D39" s="17" t="str">
        <f aca="false">IF('Все позиции'!D214="","",'Все позиции'!D214)</f>
        <v>шт.</v>
      </c>
      <c r="E39" s="19" t="n">
        <f aca="false">IF('Все позиции'!E214="","",'Все позиции'!E214)</f>
        <v>62</v>
      </c>
      <c r="F39" s="20" t="n">
        <f aca="false">IF('Все позиции'!F214="","",'Все позиции'!F214)</f>
        <v>1296</v>
      </c>
      <c r="G39" s="19" t="n">
        <f aca="false">IF('Все позиции'!H214="","",'Все позиции'!H214)</f>
        <v>62</v>
      </c>
      <c r="H39" s="20" t="n">
        <f aca="false">IF('Все позиции'!L214="","",'Все позиции'!L214)</f>
        <v>700</v>
      </c>
      <c r="I39" s="21" t="n">
        <f aca="false">IF('Все позиции'!O214="","",'Все позиции'!O214)</f>
        <v>-0.459876543209877</v>
      </c>
      <c r="J39" s="20" t="n">
        <f aca="false">IF('Все позиции'!G214="","",'Все позиции'!G214)</f>
        <v>80352</v>
      </c>
      <c r="K39" s="20" t="n">
        <f aca="false">IF('Все позиции'!M214="","",'Все позиции'!M214)</f>
        <v>43400</v>
      </c>
      <c r="L39" s="22" t="n">
        <f aca="false">IF('Все позиции'!N214="","",'Все позиции'!N214)</f>
        <v>-36952</v>
      </c>
      <c r="M39" s="17" t="str">
        <f aca="false">IF('Все позиции'!P214="","",'Все позиции'!P214)</f>
        <v>Цена снижена</v>
      </c>
      <c r="N39" s="18" t="str">
        <f aca="false">IF('Все позиции'!Q214="","",'Все позиции'!Q214)</f>
        <v/>
      </c>
      <c r="O39" s="18" t="str">
        <f aca="false">IF('Все позиции'!R214="","",'Все позиции'!R214)</f>
        <v>Цена Согласована Марк</v>
      </c>
    </row>
    <row r="40" customFormat="false" ht="15" hidden="false" customHeight="false" outlineLevel="0" collapsed="false">
      <c r="A40" s="17" t="str">
        <f aca="false">IF('Все позиции'!A215="","",'Все позиции'!A215)</f>
        <v>5. Холодоснабжение 10 этаж</v>
      </c>
      <c r="B40" s="17" t="str">
        <f aca="false">IF('Все позиции'!B215="","",'Все позиции'!B215)</f>
        <v>5.12</v>
      </c>
      <c r="C40" s="18" t="str">
        <f aca="false">IF('Все позиции'!C215="","",'Все позиции'!C215)</f>
        <v>Переходник 32-R 3/4</v>
      </c>
      <c r="D40" s="17" t="str">
        <f aca="false">IF('Все позиции'!D215="","",'Все позиции'!D215)</f>
        <v>шт.</v>
      </c>
      <c r="E40" s="19" t="n">
        <f aca="false">IF('Все позиции'!E215="","",'Все позиции'!E215)</f>
        <v>62</v>
      </c>
      <c r="F40" s="20" t="n">
        <f aca="false">IF('Все позиции'!F215="","",'Все позиции'!F215)</f>
        <v>1296</v>
      </c>
      <c r="G40" s="19" t="n">
        <f aca="false">IF('Все позиции'!H215="","",'Все позиции'!H215)</f>
        <v>62</v>
      </c>
      <c r="H40" s="20" t="n">
        <f aca="false">IF('Все позиции'!L215="","",'Все позиции'!L215)</f>
        <v>700</v>
      </c>
      <c r="I40" s="21" t="n">
        <f aca="false">IF('Все позиции'!O215="","",'Все позиции'!O215)</f>
        <v>-0.459876543209877</v>
      </c>
      <c r="J40" s="20" t="n">
        <f aca="false">IF('Все позиции'!G215="","",'Все позиции'!G215)</f>
        <v>80352</v>
      </c>
      <c r="K40" s="20" t="n">
        <f aca="false">IF('Все позиции'!M215="","",'Все позиции'!M215)</f>
        <v>43400</v>
      </c>
      <c r="L40" s="22" t="n">
        <f aca="false">IF('Все позиции'!N215="","",'Все позиции'!N215)</f>
        <v>-36952</v>
      </c>
      <c r="M40" s="17" t="str">
        <f aca="false">IF('Все позиции'!P215="","",'Все позиции'!P215)</f>
        <v>Цена снижена</v>
      </c>
      <c r="N40" s="18" t="str">
        <f aca="false">IF('Все позиции'!Q215="","",'Все позиции'!Q215)</f>
        <v/>
      </c>
      <c r="O40" s="18" t="str">
        <f aca="false">IF('Все позиции'!R215="","",'Все позиции'!R215)</f>
        <v>Цена Согласована Марк</v>
      </c>
    </row>
    <row r="41" customFormat="false" ht="15" hidden="false" customHeight="false" outlineLevel="0" collapsed="false">
      <c r="A41" s="17" t="str">
        <f aca="false">IF('Все позиции'!A216="","",'Все позиции'!A216)</f>
        <v>5. Холодоснабжение 10 этаж</v>
      </c>
      <c r="B41" s="17" t="str">
        <f aca="false">IF('Все позиции'!B216="","",'Все позиции'!B216)</f>
        <v>5.13</v>
      </c>
      <c r="C41" s="18" t="str">
        <f aca="false">IF('Все позиции'!C216="","",'Все позиции'!C216)</f>
        <v>Монтажная гильза 32 LX</v>
      </c>
      <c r="D41" s="17" t="str">
        <f aca="false">IF('Все позиции'!D216="","",'Все позиции'!D216)</f>
        <v>шт.</v>
      </c>
      <c r="E41" s="19" t="n">
        <f aca="false">IF('Все позиции'!E216="","",'Все позиции'!E216)</f>
        <v>62</v>
      </c>
      <c r="F41" s="20" t="n">
        <f aca="false">IF('Все позиции'!F216="","",'Все позиции'!F216)</f>
        <v>1296</v>
      </c>
      <c r="G41" s="19" t="n">
        <f aca="false">IF('Все позиции'!H216="","",'Все позиции'!H216)</f>
        <v>62</v>
      </c>
      <c r="H41" s="20" t="n">
        <f aca="false">IF('Все позиции'!L216="","",'Все позиции'!L216)</f>
        <v>700</v>
      </c>
      <c r="I41" s="21" t="n">
        <f aca="false">IF('Все позиции'!O216="","",'Все позиции'!O216)</f>
        <v>-0.459876543209877</v>
      </c>
      <c r="J41" s="20" t="n">
        <f aca="false">IF('Все позиции'!G216="","",'Все позиции'!G216)</f>
        <v>80352</v>
      </c>
      <c r="K41" s="20" t="n">
        <f aca="false">IF('Все позиции'!M216="","",'Все позиции'!M216)</f>
        <v>43400</v>
      </c>
      <c r="L41" s="22" t="n">
        <f aca="false">IF('Все позиции'!N216="","",'Все позиции'!N216)</f>
        <v>-36952</v>
      </c>
      <c r="M41" s="17" t="str">
        <f aca="false">IF('Все позиции'!P216="","",'Все позиции'!P216)</f>
        <v>Цена снижена</v>
      </c>
      <c r="N41" s="18" t="str">
        <f aca="false">IF('Все позиции'!Q216="","",'Все позиции'!Q216)</f>
        <v/>
      </c>
      <c r="O41" s="18" t="str">
        <f aca="false">IF('Все позиции'!R216="","",'Все позиции'!R216)</f>
        <v>Цена Согласована Марк</v>
      </c>
    </row>
    <row r="42" customFormat="false" ht="26.85" hidden="false" customHeight="false" outlineLevel="0" collapsed="false">
      <c r="A42" s="17" t="str">
        <f aca="false">IF('Все позиции'!A258="","",'Все позиции'!A258)</f>
        <v>6. Вентиляция 2 этаж</v>
      </c>
      <c r="B42" s="17" t="str">
        <f aca="false">IF('Все позиции'!B258="","",'Все позиции'!B258)</f>
        <v>6.18</v>
      </c>
      <c r="C42" s="18" t="str">
        <f aca="false">IF('Все позиции'!C258="","",'Все позиции'!C258)</f>
        <v>Воздуховод из оцинкованной стали толщиной 0,5мм, класса «В», Ø200</v>
      </c>
      <c r="D42" s="17" t="str">
        <f aca="false">IF('Все позиции'!D258="","",'Все позиции'!D258)</f>
        <v>мп</v>
      </c>
      <c r="E42" s="19" t="n">
        <f aca="false">IF('Все позиции'!E258="","",'Все позиции'!E258)</f>
        <v>55</v>
      </c>
      <c r="F42" s="20" t="n">
        <f aca="false">IF('Все позиции'!F258="","",'Все позиции'!F258)</f>
        <v>1393.2</v>
      </c>
      <c r="G42" s="19" t="n">
        <f aca="false">IF('Все позиции'!H258="","",'Все позиции'!H258)</f>
        <v>55</v>
      </c>
      <c r="H42" s="20" t="n">
        <f aca="false">IF('Все позиции'!L258="","",'Все позиции'!L258)</f>
        <v>862.23</v>
      </c>
      <c r="I42" s="21" t="n">
        <f aca="false">IF('Все позиции'!O258="","",'Все позиции'!O258)</f>
        <v>-0.381115417743325</v>
      </c>
      <c r="J42" s="20" t="n">
        <f aca="false">IF('Все позиции'!G258="","",'Все позиции'!G258)</f>
        <v>76626</v>
      </c>
      <c r="K42" s="20" t="n">
        <f aca="false">IF('Все позиции'!M258="","",'Все позиции'!M258)</f>
        <v>47422.65</v>
      </c>
      <c r="L42" s="22" t="n">
        <f aca="false">IF('Все позиции'!N258="","",'Все позиции'!N258)</f>
        <v>-29203.35</v>
      </c>
      <c r="M42" s="17" t="str">
        <f aca="false">IF('Все позиции'!P258="","",'Все позиции'!P258)</f>
        <v>Цена снижена</v>
      </c>
      <c r="N42" s="18" t="str">
        <f aca="false">IF('Все позиции'!Q258="","",'Все позиции'!Q258)</f>
        <v>по договору</v>
      </c>
      <c r="O42" s="18" t="str">
        <f aca="false">IF('Все позиции'!R258="","",'Все позиции'!R258)</f>
        <v/>
      </c>
    </row>
    <row r="43" customFormat="false" ht="26.85" hidden="false" customHeight="false" outlineLevel="0" collapsed="false">
      <c r="A43" s="17" t="str">
        <f aca="false">IF('Все позиции'!A318="","",'Все позиции'!A318)</f>
        <v>6. Дымоудаление (2 этаж)</v>
      </c>
      <c r="B43" s="17" t="str">
        <f aca="false">IF('Все позиции'!B318="","",'Все позиции'!B318)</f>
        <v>6.77</v>
      </c>
      <c r="C43" s="18" t="str">
        <f aca="false">IF('Все позиции'!C318="","",'Все позиции'!C318)</f>
        <v>Отвод 90гр 800*500</v>
      </c>
      <c r="D43" s="17" t="str">
        <f aca="false">IF('Все позиции'!D318="","",'Все позиции'!D318)</f>
        <v>шт.</v>
      </c>
      <c r="E43" s="19" t="n">
        <f aca="false">IF('Все позиции'!E318="","",'Все позиции'!E318)</f>
        <v>3</v>
      </c>
      <c r="F43" s="20" t="n">
        <f aca="false">IF('Все позиции'!F318="","",'Все позиции'!F318)</f>
        <v>9600</v>
      </c>
      <c r="G43" s="19" t="n">
        <f aca="false">IF('Все позиции'!H318="","",'Все позиции'!H318)</f>
        <v>3</v>
      </c>
      <c r="H43" s="20" t="str">
        <f aca="false">IF('Все позиции'!L318="","",'Все позиции'!L318)</f>
        <v/>
      </c>
      <c r="I43" s="21" t="n">
        <f aca="false">IF('Все позиции'!O318="","",'Все позиции'!O318)</f>
        <v>-1</v>
      </c>
      <c r="J43" s="20" t="n">
        <f aca="false">IF('Все позиции'!G318="","",'Все позиции'!G318)</f>
        <v>28800</v>
      </c>
      <c r="K43" s="20" t="n">
        <f aca="false">IF('Все позиции'!M318="","",'Все позиции'!M318)</f>
        <v>0</v>
      </c>
      <c r="L43" s="22" t="n">
        <f aca="false">IF('Все позиции'!N318="","",'Все позиции'!N318)</f>
        <v>-28800</v>
      </c>
      <c r="M43" s="17" t="str">
        <f aca="false">IF('Все позиции'!P318="","",'Все позиции'!P318)</f>
        <v>Исключено → отдельный допник</v>
      </c>
      <c r="N43" s="18" t="str">
        <f aca="false">IF('Все позиции'!Q318="","",'Все позиции'!Q318)</f>
        <v>удалить (если будут данные позиции сделаем отдельный допник)</v>
      </c>
      <c r="O43" s="18" t="str">
        <f aca="false">IF('Все позиции'!R318="","",'Все позиции'!R318)</f>
        <v/>
      </c>
    </row>
    <row r="44" customFormat="false" ht="15" hidden="false" customHeight="false" outlineLevel="0" collapsed="false">
      <c r="A44" s="17" t="str">
        <f aca="false">IF('Все позиции'!A196="","",'Все позиции'!A196)</f>
        <v>4. Вентиляция 10 этаж</v>
      </c>
      <c r="B44" s="17" t="str">
        <f aca="false">IF('Все позиции'!B196="","",'Все позиции'!B196)</f>
        <v>4.83</v>
      </c>
      <c r="C44" s="18" t="str">
        <f aca="false">IF('Все позиции'!C196="","",'Все позиции'!C196)</f>
        <v>Изоляция круглых воздуховодов</v>
      </c>
      <c r="D44" s="17" t="str">
        <f aca="false">IF('Все позиции'!D196="","",'Все позиции'!D196)</f>
        <v>мп</v>
      </c>
      <c r="E44" s="19" t="n">
        <f aca="false">IF('Все позиции'!E196="","",'Все позиции'!E196)</f>
        <v>81</v>
      </c>
      <c r="F44" s="20" t="n">
        <f aca="false">IF('Все позиции'!F196="","",'Все позиции'!F196)</f>
        <v>1020</v>
      </c>
      <c r="G44" s="19" t="n">
        <f aca="false">IF('Все позиции'!H196="","",'Все позиции'!H196)</f>
        <v>81</v>
      </c>
      <c r="H44" s="20" t="n">
        <f aca="false">IF('Все позиции'!L196="","",'Все позиции'!L196)</f>
        <v>665</v>
      </c>
      <c r="I44" s="21" t="n">
        <f aca="false">IF('Все позиции'!O196="","",'Все позиции'!O196)</f>
        <v>-0.348039215686275</v>
      </c>
      <c r="J44" s="20" t="n">
        <f aca="false">IF('Все позиции'!G196="","",'Все позиции'!G196)</f>
        <v>82620</v>
      </c>
      <c r="K44" s="20" t="n">
        <f aca="false">IF('Все позиции'!M196="","",'Все позиции'!M196)</f>
        <v>53865</v>
      </c>
      <c r="L44" s="22" t="n">
        <f aca="false">IF('Все позиции'!N196="","",'Все позиции'!N196)</f>
        <v>-28755</v>
      </c>
      <c r="M44" s="17" t="str">
        <f aca="false">IF('Все позиции'!P196="","",'Все позиции'!P196)</f>
        <v>Цена снижена</v>
      </c>
      <c r="N44" s="18" t="str">
        <f aca="false">IF('Все позиции'!Q196="","",'Все позиции'!Q196)</f>
        <v>за м2</v>
      </c>
      <c r="O44" s="18" t="str">
        <f aca="false">IF('Все позиции'!R196="","",'Все позиции'!R196)</f>
        <v/>
      </c>
    </row>
    <row r="45" customFormat="false" ht="15" hidden="false" customHeight="false" outlineLevel="0" collapsed="false">
      <c r="A45" s="17" t="str">
        <f aca="false">IF('Все позиции'!A193="","",'Все позиции'!A193)</f>
        <v>4. Вентиляция 10 этаж</v>
      </c>
      <c r="B45" s="17" t="str">
        <f aca="false">IF('Все позиции'!B193="","",'Все позиции'!B193)</f>
        <v>4.80</v>
      </c>
      <c r="C45" s="18" t="str">
        <f aca="false">IF('Все позиции'!C193="","",'Все позиции'!C193)</f>
        <v>Изоляция круглого изделия от Ф100-ф250</v>
      </c>
      <c r="D45" s="17" t="str">
        <f aca="false">IF('Все позиции'!D193="","",'Все позиции'!D193)</f>
        <v>шт.</v>
      </c>
      <c r="E45" s="19" t="n">
        <f aca="false">IF('Все позиции'!E193="","",'Все позиции'!E193)</f>
        <v>30</v>
      </c>
      <c r="F45" s="20" t="n">
        <f aca="false">IF('Все позиции'!F193="","",'Все позиции'!F193)</f>
        <v>1296</v>
      </c>
      <c r="G45" s="19" t="n">
        <f aca="false">IF('Все позиции'!H193="","",'Все позиции'!H193)</f>
        <v>30</v>
      </c>
      <c r="H45" s="20" t="n">
        <f aca="false">IF('Все позиции'!L193="","",'Все позиции'!L193)</f>
        <v>450</v>
      </c>
      <c r="I45" s="21" t="n">
        <f aca="false">IF('Все позиции'!O193="","",'Все позиции'!O193)</f>
        <v>-0.652777777777778</v>
      </c>
      <c r="J45" s="20" t="n">
        <f aca="false">IF('Все позиции'!G193="","",'Все позиции'!G193)</f>
        <v>38880</v>
      </c>
      <c r="K45" s="20" t="n">
        <f aca="false">IF('Все позиции'!M193="","",'Все позиции'!M193)</f>
        <v>13500</v>
      </c>
      <c r="L45" s="22" t="n">
        <f aca="false">IF('Все позиции'!N193="","",'Все позиции'!N193)</f>
        <v>-25380</v>
      </c>
      <c r="M45" s="17" t="str">
        <f aca="false">IF('Все позиции'!P193="","",'Все позиции'!P193)</f>
        <v>Цена снижена</v>
      </c>
      <c r="N45" s="18" t="str">
        <f aca="false">IF('Все позиции'!Q193="","",'Все позиции'!Q193)</f>
        <v>по договору</v>
      </c>
      <c r="O45" s="18" t="str">
        <f aca="false">IF('Все позиции'!R193="","",'Все позиции'!R193)</f>
        <v/>
      </c>
    </row>
    <row r="46" customFormat="false" ht="15" hidden="false" customHeight="false" outlineLevel="0" collapsed="false">
      <c r="A46" s="17" t="str">
        <f aca="false">IF('Все позиции'!A219="","",'Все позиции'!A219)</f>
        <v>5. Холодоснабжение 10 этаж</v>
      </c>
      <c r="B46" s="17" t="str">
        <f aca="false">IF('Все позиции'!B219="","",'Все позиции'!B219)</f>
        <v>5.16</v>
      </c>
      <c r="C46" s="18" t="str">
        <f aca="false">IF('Все позиции'!C219="","",'Все позиции'!C219)</f>
        <v>Труба из сшитого полиэтилена PEX-a, Ø32х4,4</v>
      </c>
      <c r="D46" s="17" t="str">
        <f aca="false">IF('Все позиции'!D219="","",'Все позиции'!D219)</f>
        <v>мп</v>
      </c>
      <c r="E46" s="19" t="n">
        <f aca="false">IF('Все позиции'!E219="","",'Все позиции'!E219)</f>
        <v>90</v>
      </c>
      <c r="F46" s="20" t="n">
        <f aca="false">IF('Все позиции'!F219="","",'Все позиции'!F219)</f>
        <v>1020</v>
      </c>
      <c r="G46" s="19" t="n">
        <f aca="false">IF('Все позиции'!H219="","",'Все позиции'!H219)</f>
        <v>90</v>
      </c>
      <c r="H46" s="20" t="n">
        <f aca="false">IF('Все позиции'!L219="","",'Все позиции'!L219)</f>
        <v>750</v>
      </c>
      <c r="I46" s="21" t="n">
        <f aca="false">IF('Все позиции'!O219="","",'Все позиции'!O219)</f>
        <v>-0.264705882352941</v>
      </c>
      <c r="J46" s="20" t="n">
        <f aca="false">IF('Все позиции'!G219="","",'Все позиции'!G219)</f>
        <v>91800</v>
      </c>
      <c r="K46" s="20" t="n">
        <f aca="false">IF('Все позиции'!M219="","",'Все позиции'!M219)</f>
        <v>67500</v>
      </c>
      <c r="L46" s="22" t="n">
        <f aca="false">IF('Все позиции'!N219="","",'Все позиции'!N219)</f>
        <v>-24300</v>
      </c>
      <c r="M46" s="17" t="str">
        <f aca="false">IF('Все позиции'!P219="","",'Все позиции'!P219)</f>
        <v>Цена снижена</v>
      </c>
      <c r="N46" s="18" t="str">
        <f aca="false">IF('Все позиции'!Q219="","",'Все позиции'!Q219)</f>
        <v>по договору</v>
      </c>
      <c r="O46" s="18" t="str">
        <f aca="false">IF('Все позиции'!R219="","",'Все позиции'!R219)</f>
        <v>Цена Согласована Марк</v>
      </c>
    </row>
    <row r="47" customFormat="false" ht="15" hidden="false" customHeight="false" outlineLevel="0" collapsed="false">
      <c r="A47" s="17" t="str">
        <f aca="false">IF('Все позиции'!A234="","",'Все позиции'!A234)</f>
        <v>5. Холодоснабжение 10 этаж</v>
      </c>
      <c r="B47" s="17" t="str">
        <f aca="false">IF('Все позиции'!B234="","",'Все позиции'!B234)</f>
        <v>5.31</v>
      </c>
      <c r="C47" s="18" t="str">
        <f aca="false">IF('Все позиции'!C234="","",'Все позиции'!C234)</f>
        <v>Труба полипропиленовая, Ø32х5,4</v>
      </c>
      <c r="D47" s="17" t="str">
        <f aca="false">IF('Все позиции'!D234="","",'Все позиции'!D234)</f>
        <v>шт.</v>
      </c>
      <c r="E47" s="19" t="n">
        <f aca="false">IF('Все позиции'!E234="","",'Все позиции'!E234)</f>
        <v>75</v>
      </c>
      <c r="F47" s="20" t="n">
        <f aca="false">IF('Все позиции'!F234="","",'Все позиции'!F234)</f>
        <v>1020</v>
      </c>
      <c r="G47" s="19" t="n">
        <f aca="false">IF('Все позиции'!H234="","",'Все позиции'!H234)</f>
        <v>75</v>
      </c>
      <c r="H47" s="20" t="n">
        <f aca="false">IF('Все позиции'!L234="","",'Все позиции'!L234)</f>
        <v>740</v>
      </c>
      <c r="I47" s="21" t="n">
        <f aca="false">IF('Все позиции'!O234="","",'Все позиции'!O234)</f>
        <v>-0.274509803921569</v>
      </c>
      <c r="J47" s="20" t="n">
        <f aca="false">IF('Все позиции'!G234="","",'Все позиции'!G234)</f>
        <v>76500</v>
      </c>
      <c r="K47" s="20" t="n">
        <f aca="false">IF('Все позиции'!M234="","",'Все позиции'!M234)</f>
        <v>55500</v>
      </c>
      <c r="L47" s="22" t="n">
        <f aca="false">IF('Все позиции'!N234="","",'Все позиции'!N234)</f>
        <v>-21000</v>
      </c>
      <c r="M47" s="17" t="str">
        <f aca="false">IF('Все позиции'!P234="","",'Все позиции'!P234)</f>
        <v>Цена снижена</v>
      </c>
      <c r="N47" s="18" t="str">
        <f aca="false">IF('Все позиции'!Q234="","",'Все позиции'!Q234)</f>
        <v/>
      </c>
      <c r="O47" s="18" t="str">
        <f aca="false">IF('Все позиции'!R234="","",'Все позиции'!R234)</f>
        <v>Цена Согласована Марк</v>
      </c>
    </row>
    <row r="48" customFormat="false" ht="26.85" hidden="false" customHeight="false" outlineLevel="0" collapsed="false">
      <c r="A48" s="17" t="str">
        <f aca="false">IF('Все позиции'!A256="","",'Все позиции'!A256)</f>
        <v>6. Вентиляция 2 этаж</v>
      </c>
      <c r="B48" s="17" t="str">
        <f aca="false">IF('Все позиции'!B256="","",'Все позиции'!B256)</f>
        <v>6.16</v>
      </c>
      <c r="C48" s="18" t="str">
        <f aca="false">IF('Все позиции'!C256="","",'Все позиции'!C256)</f>
        <v>Воздуховод из оцинкованной стали толщиной 0,5мм, класса «В», Ø125</v>
      </c>
      <c r="D48" s="17" t="str">
        <f aca="false">IF('Все позиции'!D256="","",'Все позиции'!D256)</f>
        <v>мп</v>
      </c>
      <c r="E48" s="19" t="n">
        <f aca="false">IF('Все позиции'!E256="","",'Все позиции'!E256)</f>
        <v>30</v>
      </c>
      <c r="F48" s="20" t="n">
        <f aca="false">IF('Все позиции'!F256="","",'Все позиции'!F256)</f>
        <v>1360.8</v>
      </c>
      <c r="G48" s="19" t="n">
        <f aca="false">IF('Все позиции'!H256="","",'Все позиции'!H256)</f>
        <v>30</v>
      </c>
      <c r="H48" s="20" t="n">
        <f aca="false">IF('Все позиции'!L256="","",'Все позиции'!L256)</f>
        <v>689.79</v>
      </c>
      <c r="I48" s="21" t="n">
        <f aca="false">IF('Все позиции'!O256="","",'Все позиции'!O256)</f>
        <v>-0.493099647266314</v>
      </c>
      <c r="J48" s="20" t="n">
        <f aca="false">IF('Все позиции'!G256="","",'Все позиции'!G256)</f>
        <v>40824</v>
      </c>
      <c r="K48" s="20" t="n">
        <f aca="false">IF('Все позиции'!M256="","",'Все позиции'!M256)</f>
        <v>20693.7</v>
      </c>
      <c r="L48" s="22" t="n">
        <f aca="false">IF('Все позиции'!N256="","",'Все позиции'!N256)</f>
        <v>-20130.3</v>
      </c>
      <c r="M48" s="17" t="str">
        <f aca="false">IF('Все позиции'!P256="","",'Все позиции'!P256)</f>
        <v>Цена снижена</v>
      </c>
      <c r="N48" s="18" t="str">
        <f aca="false">IF('Все позиции'!Q256="","",'Все позиции'!Q256)</f>
        <v>по договору</v>
      </c>
      <c r="O48" s="18" t="str">
        <f aca="false">IF('Все позиции'!R256="","",'Все позиции'!R256)</f>
        <v/>
      </c>
    </row>
    <row r="49" customFormat="false" ht="26.85" hidden="false" customHeight="false" outlineLevel="0" collapsed="false">
      <c r="A49" s="17" t="str">
        <f aca="false">IF('Все позиции'!A138="","",'Все позиции'!A138)</f>
        <v>4. Вентиляция 10 этаж</v>
      </c>
      <c r="B49" s="17" t="str">
        <f aca="false">IF('Все позиции'!B138="","",'Все позиции'!B138)</f>
        <v>4.25</v>
      </c>
      <c r="C49" s="18" t="str">
        <f aca="false">IF('Все позиции'!C138="","",'Все позиции'!C138)</f>
        <v>Воздуховод из оцинкованной стали толщиной 0,5мм, класса «В», Ø160</v>
      </c>
      <c r="D49" s="17" t="str">
        <f aca="false">IF('Все позиции'!D138="","",'Все позиции'!D138)</f>
        <v>мп</v>
      </c>
      <c r="E49" s="19" t="n">
        <f aca="false">IF('Все позиции'!E138="","",'Все позиции'!E138)</f>
        <v>40</v>
      </c>
      <c r="F49" s="20" t="n">
        <f aca="false">IF('Все позиции'!F138="","",'Все позиции'!F138)</f>
        <v>1360.8</v>
      </c>
      <c r="G49" s="19" t="n">
        <f aca="false">IF('Все позиции'!H138="","",'Все позиции'!H138)</f>
        <v>40</v>
      </c>
      <c r="H49" s="20" t="n">
        <f aca="false">IF('Все позиции'!L138="","",'Все позиции'!L138)</f>
        <v>862.23</v>
      </c>
      <c r="I49" s="21" t="n">
        <f aca="false">IF('Все позиции'!O138="","",'Все позиции'!O138)</f>
        <v>-0.366380070546737</v>
      </c>
      <c r="J49" s="20" t="n">
        <f aca="false">IF('Все позиции'!G138="","",'Все позиции'!G138)</f>
        <v>54432</v>
      </c>
      <c r="K49" s="20" t="n">
        <f aca="false">IF('Все позиции'!M138="","",'Все позиции'!M138)</f>
        <v>34489.2</v>
      </c>
      <c r="L49" s="22" t="n">
        <f aca="false">IF('Все позиции'!N138="","",'Все позиции'!N138)</f>
        <v>-19942.8</v>
      </c>
      <c r="M49" s="17" t="str">
        <f aca="false">IF('Все позиции'!P138="","",'Все позиции'!P138)</f>
        <v>Цена снижена</v>
      </c>
      <c r="N49" s="18" t="str">
        <f aca="false">IF('Все позиции'!Q138="","",'Все позиции'!Q138)</f>
        <v>по договору</v>
      </c>
      <c r="O49" s="18" t="str">
        <f aca="false">IF('Все позиции'!R138="","",'Все позиции'!R138)</f>
        <v/>
      </c>
    </row>
    <row r="50" customFormat="false" ht="15" hidden="false" customHeight="false" outlineLevel="0" collapsed="false">
      <c r="A50" s="17" t="str">
        <f aca="false">IF('Все позиции'!A313="","",'Все позиции'!A313)</f>
        <v>6. Вентиляция 2 этаж</v>
      </c>
      <c r="B50" s="17" t="str">
        <f aca="false">IF('Все позиции'!B313="","",'Все позиции'!B313)</f>
        <v>6.73</v>
      </c>
      <c r="C50" s="18" t="str">
        <f aca="false">IF('Все позиции'!C313="","",'Все позиции'!C313)</f>
        <v>Изоляция круглых воздуховодов</v>
      </c>
      <c r="D50" s="17" t="str">
        <f aca="false">IF('Все позиции'!D313="","",'Все позиции'!D313)</f>
        <v>мп</v>
      </c>
      <c r="E50" s="19" t="n">
        <f aca="false">IF('Все позиции'!E313="","",'Все позиции'!E313)</f>
        <v>80</v>
      </c>
      <c r="F50" s="20" t="n">
        <f aca="false">IF('Все позиции'!F313="","",'Все позиции'!F313)</f>
        <v>1020</v>
      </c>
      <c r="G50" s="19" t="n">
        <f aca="false">IF('Все позиции'!H313="","",'Все позиции'!H313)</f>
        <v>80</v>
      </c>
      <c r="H50" s="20" t="n">
        <f aca="false">IF('Все позиции'!L313="","",'Все позиции'!L313)</f>
        <v>800</v>
      </c>
      <c r="I50" s="21" t="n">
        <f aca="false">IF('Все позиции'!O313="","",'Все позиции'!O313)</f>
        <v>-0.215686274509804</v>
      </c>
      <c r="J50" s="20" t="n">
        <f aca="false">IF('Все позиции'!G313="","",'Все позиции'!G313)</f>
        <v>81600</v>
      </c>
      <c r="K50" s="20" t="n">
        <f aca="false">IF('Все позиции'!M313="","",'Все позиции'!M313)</f>
        <v>64000</v>
      </c>
      <c r="L50" s="22" t="n">
        <f aca="false">IF('Все позиции'!N313="","",'Все позиции'!N313)</f>
        <v>-17600</v>
      </c>
      <c r="M50" s="17" t="str">
        <f aca="false">IF('Все позиции'!P313="","",'Все позиции'!P313)</f>
        <v>Цена снижена</v>
      </c>
      <c r="N50" s="18" t="str">
        <f aca="false">IF('Все позиции'!Q313="","",'Все позиции'!Q313)</f>
        <v>за м2</v>
      </c>
      <c r="O50" s="18" t="str">
        <f aca="false">IF('Все позиции'!R313="","",'Все позиции'!R313)</f>
        <v/>
      </c>
    </row>
    <row r="51" customFormat="false" ht="77.6" hidden="false" customHeight="false" outlineLevel="0" collapsed="false">
      <c r="A51" s="17" t="str">
        <f aca="false">IF('Все позиции'!A97="","",'Все позиции'!A97)</f>
        <v>3. Дополнительные работы 3,7,8,9 этаж</v>
      </c>
      <c r="B51" s="17" t="str">
        <f aca="false">IF('Все позиции'!B97="","",'Все позиции'!B97)</f>
        <v>3.15</v>
      </c>
      <c r="C51" s="18" t="str">
        <f aca="false">IF('Все позиции'!C97="","",'Все позиции'!C97)</f>
        <v>Демонтаж диффузора, монтаж гибкой подводки</v>
      </c>
      <c r="D51" s="17" t="str">
        <f aca="false">IF('Все позиции'!D97="","",'Все позиции'!D97)</f>
        <v>к-т</v>
      </c>
      <c r="E51" s="19" t="n">
        <f aca="false">IF('Все позиции'!E97="","",'Все позиции'!E97)</f>
        <v>6</v>
      </c>
      <c r="F51" s="20" t="n">
        <f aca="false">IF('Все позиции'!F97="","",'Все позиции'!F97)</f>
        <v>4200</v>
      </c>
      <c r="G51" s="19" t="n">
        <f aca="false">IF('Все позиции'!H97="","",'Все позиции'!H97)</f>
        <v>6</v>
      </c>
      <c r="H51" s="20" t="n">
        <f aca="false">IF('Все позиции'!L97="","",'Все позиции'!L97)</f>
        <v>1500</v>
      </c>
      <c r="I51" s="21" t="n">
        <f aca="false">IF('Все позиции'!O97="","",'Все позиции'!O97)</f>
        <v>-0.642857142857143</v>
      </c>
      <c r="J51" s="20" t="n">
        <f aca="false">IF('Все позиции'!G97="","",'Все позиции'!G97)</f>
        <v>25200</v>
      </c>
      <c r="K51" s="20" t="n">
        <f aca="false">IF('Все позиции'!M97="","",'Все позиции'!M97)</f>
        <v>9000</v>
      </c>
      <c r="L51" s="22" t="n">
        <f aca="false">IF('Все позиции'!N97="","",'Все позиции'!N97)</f>
        <v>-16200</v>
      </c>
      <c r="M51" s="17" t="str">
        <f aca="false">IF('Все позиции'!P97="","",'Все позиции'!P97)</f>
        <v>Цена снижена</v>
      </c>
      <c r="N51" s="18" t="str">
        <f aca="false">IF('Все позиции'!Q97="","",'Все позиции'!Q97)</f>
        <v>Расписать какой диффузор, какая гибкая подводка?</v>
      </c>
      <c r="O51" s="18" t="str">
        <f aca="false">IF('Все позиции'!R97="","",'Все позиции'!R97)</f>
        <v>демонтаж существующего диффузора, монтаж гибкой подводки временно, после зашивке ГКЛ будет монтаж данного диффузора в ГКЛ; Наименование изменено на: «Демонтаж диффузора, монтаж гибкой подводки, монтаж диффузора в гкл»</v>
      </c>
    </row>
    <row r="52" customFormat="false" ht="26.85" hidden="false" customHeight="false" outlineLevel="0" collapsed="false">
      <c r="A52" s="17" t="str">
        <f aca="false">IF('Все позиции'!A202="","",'Все позиции'!A202)</f>
        <v>4. Дымоудаление (10 этаж)</v>
      </c>
      <c r="B52" s="17" t="str">
        <f aca="false">IF('Все позиции'!B202="","",'Все позиции'!B202)</f>
        <v>4.88</v>
      </c>
      <c r="C52" s="18" t="str">
        <f aca="false">IF('Все позиции'!C202="","",'Все позиции'!C202)</f>
        <v>Отвод 45гр 800*500</v>
      </c>
      <c r="D52" s="17" t="str">
        <f aca="false">IF('Все позиции'!D202="","",'Все позиции'!D202)</f>
        <v>шт.</v>
      </c>
      <c r="E52" s="19" t="n">
        <f aca="false">IF('Все позиции'!E202="","",'Все позиции'!E202)</f>
        <v>2</v>
      </c>
      <c r="F52" s="20" t="n">
        <f aca="false">IF('Все позиции'!F202="","",'Все позиции'!F202)</f>
        <v>8000</v>
      </c>
      <c r="G52" s="19" t="n">
        <f aca="false">IF('Все позиции'!H202="","",'Все позиции'!H202)</f>
        <v>2</v>
      </c>
      <c r="H52" s="20" t="str">
        <f aca="false">IF('Все позиции'!L202="","",'Все позиции'!L202)</f>
        <v/>
      </c>
      <c r="I52" s="21" t="n">
        <f aca="false">IF('Все позиции'!O202="","",'Все позиции'!O202)</f>
        <v>-1</v>
      </c>
      <c r="J52" s="20" t="n">
        <f aca="false">IF('Все позиции'!G202="","",'Все позиции'!G202)</f>
        <v>16000</v>
      </c>
      <c r="K52" s="20" t="n">
        <f aca="false">IF('Все позиции'!M202="","",'Все позиции'!M202)</f>
        <v>0</v>
      </c>
      <c r="L52" s="22" t="n">
        <f aca="false">IF('Все позиции'!N202="","",'Все позиции'!N202)</f>
        <v>-16000</v>
      </c>
      <c r="M52" s="17" t="str">
        <f aca="false">IF('Все позиции'!P202="","",'Все позиции'!P202)</f>
        <v>Исключено → отдельный допник</v>
      </c>
      <c r="N52" s="18" t="str">
        <f aca="false">IF('Все позиции'!Q202="","",'Все позиции'!Q202)</f>
        <v>удалить (если будут данные позиции сделаем отдельный допник)</v>
      </c>
      <c r="O52" s="18" t="str">
        <f aca="false">IF('Все позиции'!R202="","",'Все позиции'!R202)</f>
        <v/>
      </c>
    </row>
    <row r="53" customFormat="false" ht="15" hidden="false" customHeight="false" outlineLevel="0" collapsed="false">
      <c r="A53" s="17" t="str">
        <f aca="false">IF('Все позиции'!A230="","",'Все позиции'!A230)</f>
        <v>5. Холодоснабжение 10 этаж</v>
      </c>
      <c r="B53" s="17" t="str">
        <f aca="false">IF('Все позиции'!B230="","",'Все позиции'!B230)</f>
        <v>5.27</v>
      </c>
      <c r="C53" s="18" t="str">
        <f aca="false">IF('Все позиции'!C230="","",'Все позиции'!C230)</f>
        <v>Угольник 900 полипропиленовый, 32</v>
      </c>
      <c r="D53" s="17" t="str">
        <f aca="false">IF('Все позиции'!D230="","",'Все позиции'!D230)</f>
        <v>шт.</v>
      </c>
      <c r="E53" s="19" t="n">
        <f aca="false">IF('Все позиции'!E230="","",'Все позиции'!E230)</f>
        <v>30</v>
      </c>
      <c r="F53" s="20" t="n">
        <f aca="false">IF('Все позиции'!F230="","",'Все позиции'!F230)</f>
        <v>1020</v>
      </c>
      <c r="G53" s="19" t="n">
        <f aca="false">IF('Все позиции'!H230="","",'Все позиции'!H230)</f>
        <v>30</v>
      </c>
      <c r="H53" s="20" t="n">
        <f aca="false">IF('Все позиции'!L230="","",'Все позиции'!L230)</f>
        <v>520</v>
      </c>
      <c r="I53" s="21" t="n">
        <f aca="false">IF('Все позиции'!O230="","",'Все позиции'!O230)</f>
        <v>-0.490196078431373</v>
      </c>
      <c r="J53" s="20" t="n">
        <f aca="false">IF('Все позиции'!G230="","",'Все позиции'!G230)</f>
        <v>30600</v>
      </c>
      <c r="K53" s="20" t="n">
        <f aca="false">IF('Все позиции'!M230="","",'Все позиции'!M230)</f>
        <v>15600</v>
      </c>
      <c r="L53" s="22" t="n">
        <f aca="false">IF('Все позиции'!N230="","",'Все позиции'!N230)</f>
        <v>-15000</v>
      </c>
      <c r="M53" s="17" t="str">
        <f aca="false">IF('Все позиции'!P230="","",'Все позиции'!P230)</f>
        <v>Цена снижена</v>
      </c>
      <c r="N53" s="18" t="str">
        <f aca="false">IF('Все позиции'!Q230="","",'Все позиции'!Q230)</f>
        <v/>
      </c>
      <c r="O53" s="18" t="str">
        <f aca="false">IF('Все позиции'!R230="","",'Все позиции'!R230)</f>
        <v>Цена Согласована Марк</v>
      </c>
    </row>
    <row r="54" customFormat="false" ht="26.85" hidden="false" customHeight="false" outlineLevel="0" collapsed="false">
      <c r="A54" s="17" t="str">
        <f aca="false">IF('Все позиции'!A255="","",'Все позиции'!A255)</f>
        <v>6. Вентиляция 2 этаж</v>
      </c>
      <c r="B54" s="17" t="str">
        <f aca="false">IF('Все позиции'!B255="","",'Все позиции'!B255)</f>
        <v>6.15</v>
      </c>
      <c r="C54" s="18" t="str">
        <f aca="false">IF('Все позиции'!C255="","",'Все позиции'!C255)</f>
        <v>Воздуховод из оцинкованной стали толщиной 0,5мм, класса «В», Ø100</v>
      </c>
      <c r="D54" s="17" t="str">
        <f aca="false">IF('Все позиции'!D255="","",'Все позиции'!D255)</f>
        <v>мп</v>
      </c>
      <c r="E54" s="19" t="n">
        <f aca="false">IF('Все позиции'!E255="","",'Все позиции'!E255)</f>
        <v>36</v>
      </c>
      <c r="F54" s="20" t="n">
        <f aca="false">IF('Все позиции'!F255="","",'Все позиции'!F255)</f>
        <v>1360.8</v>
      </c>
      <c r="G54" s="19" t="n">
        <f aca="false">IF('Все позиции'!H255="","",'Все позиции'!H255)</f>
        <v>36</v>
      </c>
      <c r="H54" s="20" t="n">
        <f aca="false">IF('Все позиции'!L255="","",'Все позиции'!L255)</f>
        <v>950</v>
      </c>
      <c r="I54" s="21" t="n">
        <f aca="false">IF('Все позиции'!O255="","",'Все позиции'!O255)</f>
        <v>-0.301881246325691</v>
      </c>
      <c r="J54" s="20" t="n">
        <f aca="false">IF('Все позиции'!G255="","",'Все позиции'!G255)</f>
        <v>48988.8</v>
      </c>
      <c r="K54" s="20" t="n">
        <f aca="false">IF('Все позиции'!M255="","",'Все позиции'!M255)</f>
        <v>34200</v>
      </c>
      <c r="L54" s="22" t="n">
        <f aca="false">IF('Все позиции'!N255="","",'Все позиции'!N255)</f>
        <v>-14788.8</v>
      </c>
      <c r="M54" s="17" t="str">
        <f aca="false">IF('Все позиции'!P255="","",'Все позиции'!P255)</f>
        <v>Цена снижена</v>
      </c>
      <c r="N54" s="18" t="str">
        <f aca="false">IF('Все позиции'!Q255="","",'Все позиции'!Q255)</f>
        <v>по договору</v>
      </c>
      <c r="O54" s="18" t="str">
        <f aca="false">IF('Все позиции'!R255="","",'Все позиции'!R255)</f>
        <v/>
      </c>
    </row>
    <row r="55" customFormat="false" ht="26.85" hidden="false" customHeight="false" outlineLevel="0" collapsed="false">
      <c r="A55" s="17" t="str">
        <f aca="false">IF('Все позиции'!A101="","",'Все позиции'!A101)</f>
        <v>3. Дополнительные работы 3,7,8,9 этаж</v>
      </c>
      <c r="B55" s="17" t="str">
        <f aca="false">IF('Все позиции'!B101="","",'Все позиции'!B101)</f>
        <v>3.19</v>
      </c>
      <c r="C55" s="18" t="str">
        <f aca="false">IF('Все позиции'!C101="","",'Все позиции'!C101)</f>
        <v>Демонтаж короба щелевой решетки</v>
      </c>
      <c r="D55" s="17" t="str">
        <f aca="false">IF('Все позиции'!D101="","",'Все позиции'!D101)</f>
        <v>шт</v>
      </c>
      <c r="E55" s="19" t="n">
        <f aca="false">IF('Все позиции'!E101="","",'Все позиции'!E101)</f>
        <v>8</v>
      </c>
      <c r="F55" s="20" t="n">
        <f aca="false">IF('Все позиции'!F101="","",'Все позиции'!F101)</f>
        <v>4200</v>
      </c>
      <c r="G55" s="19" t="n">
        <f aca="false">IF('Все позиции'!H101="","",'Все позиции'!H101)</f>
        <v>8</v>
      </c>
      <c r="H55" s="20" t="n">
        <f aca="false">IF('Все позиции'!L101="","",'Все позиции'!L101)</f>
        <v>2400</v>
      </c>
      <c r="I55" s="21" t="n">
        <f aca="false">IF('Все позиции'!O101="","",'Все позиции'!O101)</f>
        <v>-0.428571428571429</v>
      </c>
      <c r="J55" s="20" t="n">
        <f aca="false">IF('Все позиции'!G101="","",'Все позиции'!G101)</f>
        <v>33600</v>
      </c>
      <c r="K55" s="20" t="n">
        <f aca="false">IF('Все позиции'!M101="","",'Все позиции'!M101)</f>
        <v>19200</v>
      </c>
      <c r="L55" s="22" t="n">
        <f aca="false">IF('Все позиции'!N101="","",'Все позиции'!N101)</f>
        <v>-14400</v>
      </c>
      <c r="M55" s="17" t="str">
        <f aca="false">IF('Все позиции'!P101="","",'Все позиции'!P101)</f>
        <v>Цена снижена</v>
      </c>
      <c r="N55" s="18" t="str">
        <f aca="false">IF('Все позиции'!Q101="","",'Все позиции'!Q101)</f>
        <v>непонятно что за работа, расписать</v>
      </c>
      <c r="O55" s="18" t="str">
        <f aca="false">IF('Все позиции'!R101="","",'Все позиции'!R101)</f>
        <v>щелевой диффузор достать из металлической плитки армстронга.</v>
      </c>
    </row>
    <row r="56" customFormat="false" ht="15" hidden="false" customHeight="false" outlineLevel="0" collapsed="false">
      <c r="A56" s="17" t="str">
        <f aca="false">IF('Все позиции'!A220="","",'Все позиции'!A220)</f>
        <v>5. Холодоснабжение 10 этаж</v>
      </c>
      <c r="B56" s="17" t="str">
        <f aca="false">IF('Все позиции'!B220="","",'Все позиции'!B220)</f>
        <v>5.17</v>
      </c>
      <c r="C56" s="18" t="str">
        <f aca="false">IF('Все позиции'!C220="","",'Все позиции'!C220)</f>
        <v>Труба из сшитого полиэтилена PEX-a, Ø40х5,5</v>
      </c>
      <c r="D56" s="17" t="str">
        <f aca="false">IF('Все позиции'!D220="","",'Все позиции'!D220)</f>
        <v>мп</v>
      </c>
      <c r="E56" s="19" t="n">
        <f aca="false">IF('Все позиции'!E220="","",'Все позиции'!E220)</f>
        <v>35</v>
      </c>
      <c r="F56" s="20" t="n">
        <f aca="false">IF('Все позиции'!F220="","",'Все позиции'!F220)</f>
        <v>1296</v>
      </c>
      <c r="G56" s="19" t="n">
        <f aca="false">IF('Все позиции'!H220="","",'Все позиции'!H220)</f>
        <v>35</v>
      </c>
      <c r="H56" s="20" t="n">
        <f aca="false">IF('Все позиции'!L220="","",'Все позиции'!L220)</f>
        <v>900</v>
      </c>
      <c r="I56" s="21" t="n">
        <f aca="false">IF('Все позиции'!O220="","",'Все позиции'!O220)</f>
        <v>-0.305555555555556</v>
      </c>
      <c r="J56" s="20" t="n">
        <f aca="false">IF('Все позиции'!G220="","",'Все позиции'!G220)</f>
        <v>45360</v>
      </c>
      <c r="K56" s="20" t="n">
        <f aca="false">IF('Все позиции'!M220="","",'Все позиции'!M220)</f>
        <v>31500</v>
      </c>
      <c r="L56" s="22" t="n">
        <f aca="false">IF('Все позиции'!N220="","",'Все позиции'!N220)</f>
        <v>-13860</v>
      </c>
      <c r="M56" s="17" t="str">
        <f aca="false">IF('Все позиции'!P220="","",'Все позиции'!P220)</f>
        <v>Цена снижена</v>
      </c>
      <c r="N56" s="18" t="str">
        <f aca="false">IF('Все позиции'!Q220="","",'Все позиции'!Q220)</f>
        <v>по договору</v>
      </c>
      <c r="O56" s="18" t="str">
        <f aca="false">IF('Все позиции'!R220="","",'Все позиции'!R220)</f>
        <v>Цена Согласована Марк</v>
      </c>
    </row>
    <row r="57" customFormat="false" ht="15" hidden="false" customHeight="false" outlineLevel="0" collapsed="false">
      <c r="A57" s="17" t="str">
        <f aca="false">IF('Все позиции'!A221="","",'Все позиции'!A221)</f>
        <v>5. Холодоснабжение 10 этаж</v>
      </c>
      <c r="B57" s="17" t="str">
        <f aca="false">IF('Все позиции'!B221="","",'Все позиции'!B221)</f>
        <v>5.18</v>
      </c>
      <c r="C57" s="18" t="str">
        <f aca="false">IF('Все позиции'!C221="","",'Все позиции'!C221)</f>
        <v>Труба из сшитого полиэтилена PEX-a, Ø50х6,9</v>
      </c>
      <c r="D57" s="17" t="str">
        <f aca="false">IF('Все позиции'!D221="","",'Все позиции'!D221)</f>
        <v>мп</v>
      </c>
      <c r="E57" s="19" t="n">
        <f aca="false">IF('Все позиции'!E221="","",'Все позиции'!E221)</f>
        <v>40</v>
      </c>
      <c r="F57" s="20" t="n">
        <f aca="false">IF('Все позиции'!F221="","",'Все позиции'!F221)</f>
        <v>1296</v>
      </c>
      <c r="G57" s="19" t="n">
        <f aca="false">IF('Все позиции'!H221="","",'Все позиции'!H221)</f>
        <v>40</v>
      </c>
      <c r="H57" s="20" t="n">
        <f aca="false">IF('Все позиции'!L221="","",'Все позиции'!L221)</f>
        <v>950</v>
      </c>
      <c r="I57" s="21" t="n">
        <f aca="false">IF('Все позиции'!O221="","",'Все позиции'!O221)</f>
        <v>-0.266975308641975</v>
      </c>
      <c r="J57" s="20" t="n">
        <f aca="false">IF('Все позиции'!G221="","",'Все позиции'!G221)</f>
        <v>51840</v>
      </c>
      <c r="K57" s="20" t="n">
        <f aca="false">IF('Все позиции'!M221="","",'Все позиции'!M221)</f>
        <v>38000</v>
      </c>
      <c r="L57" s="22" t="n">
        <f aca="false">IF('Все позиции'!N221="","",'Все позиции'!N221)</f>
        <v>-13840</v>
      </c>
      <c r="M57" s="17" t="str">
        <f aca="false">IF('Все позиции'!P221="","",'Все позиции'!P221)</f>
        <v>Цена снижена</v>
      </c>
      <c r="N57" s="18" t="str">
        <f aca="false">IF('Все позиции'!Q221="","",'Все позиции'!Q221)</f>
        <v>по договору</v>
      </c>
      <c r="O57" s="18" t="str">
        <f aca="false">IF('Все позиции'!R221="","",'Все позиции'!R221)</f>
        <v>Цена Согласована Марк</v>
      </c>
    </row>
    <row r="58" customFormat="false" ht="26.85" hidden="false" customHeight="false" outlineLevel="0" collapsed="false">
      <c r="A58" s="17" t="str">
        <f aca="false">IF('Все позиции'!A305="","",'Все позиции'!A305)</f>
        <v>6. Вентиляция 2 этаж</v>
      </c>
      <c r="B58" s="17" t="str">
        <f aca="false">IF('Все позиции'!B305="","",'Все позиции'!B305)</f>
        <v>6.65</v>
      </c>
      <c r="C58" s="18" t="str">
        <f aca="false">IF('Все позиции'!C305="","",'Все позиции'!C305)</f>
        <v>Ниппель из оцинкованной стали толщиной 0,5мм, класса «В», Ø100</v>
      </c>
      <c r="D58" s="17" t="str">
        <f aca="false">IF('Все позиции'!D305="","",'Все позиции'!D305)</f>
        <v>шт.</v>
      </c>
      <c r="E58" s="19" t="n">
        <f aca="false">IF('Все позиции'!E305="","",'Все позиции'!E305)</f>
        <v>20</v>
      </c>
      <c r="F58" s="20" t="n">
        <f aca="false">IF('Все позиции'!F305="","",'Все позиции'!F305)</f>
        <v>1020</v>
      </c>
      <c r="G58" s="19" t="n">
        <f aca="false">IF('Все позиции'!H305="","",'Все позиции'!H305)</f>
        <v>20</v>
      </c>
      <c r="H58" s="20" t="n">
        <f aca="false">IF('Все позиции'!L305="","",'Все позиции'!L305)</f>
        <v>370</v>
      </c>
      <c r="I58" s="21" t="n">
        <f aca="false">IF('Все позиции'!O305="","",'Все позиции'!O305)</f>
        <v>-0.637254901960784</v>
      </c>
      <c r="J58" s="20" t="n">
        <f aca="false">IF('Все позиции'!G305="","",'Все позиции'!G305)</f>
        <v>20400</v>
      </c>
      <c r="K58" s="20" t="n">
        <f aca="false">IF('Все позиции'!M305="","",'Все позиции'!M305)</f>
        <v>7400</v>
      </c>
      <c r="L58" s="22" t="n">
        <f aca="false">IF('Все позиции'!N305="","",'Все позиции'!N305)</f>
        <v>-13000</v>
      </c>
      <c r="M58" s="17" t="str">
        <f aca="false">IF('Все позиции'!P305="","",'Все позиции'!P305)</f>
        <v>Цена снижена</v>
      </c>
      <c r="N58" s="18" t="str">
        <f aca="false">IF('Все позиции'!Q305="","",'Все позиции'!Q305)</f>
        <v/>
      </c>
      <c r="O58" s="18" t="str">
        <f aca="false">IF('Все позиции'!R305="","",'Все позиции'!R305)</f>
        <v/>
      </c>
    </row>
    <row r="59" customFormat="false" ht="26.85" hidden="false" customHeight="false" outlineLevel="0" collapsed="false">
      <c r="A59" s="17" t="str">
        <f aca="false">IF('Все позиции'!A306="","",'Все позиции'!A306)</f>
        <v>6. Вентиляция 2 этаж</v>
      </c>
      <c r="B59" s="17" t="str">
        <f aca="false">IF('Все позиции'!B306="","",'Все позиции'!B306)</f>
        <v>6.66</v>
      </c>
      <c r="C59" s="18" t="str">
        <f aca="false">IF('Все позиции'!C306="","",'Все позиции'!C306)</f>
        <v>Ниппель из оцинкованной стали толщиной 0,5мм, класса «В», Ø125</v>
      </c>
      <c r="D59" s="17" t="str">
        <f aca="false">IF('Все позиции'!D306="","",'Все позиции'!D306)</f>
        <v>шт.</v>
      </c>
      <c r="E59" s="19" t="n">
        <f aca="false">IF('Все позиции'!E306="","",'Все позиции'!E306)</f>
        <v>20</v>
      </c>
      <c r="F59" s="20" t="n">
        <f aca="false">IF('Все позиции'!F306="","",'Все позиции'!F306)</f>
        <v>1020</v>
      </c>
      <c r="G59" s="19" t="n">
        <f aca="false">IF('Все позиции'!H306="","",'Все позиции'!H306)</f>
        <v>20</v>
      </c>
      <c r="H59" s="20" t="n">
        <f aca="false">IF('Все позиции'!L306="","",'Все позиции'!L306)</f>
        <v>370</v>
      </c>
      <c r="I59" s="21" t="n">
        <f aca="false">IF('Все позиции'!O306="","",'Все позиции'!O306)</f>
        <v>-0.637254901960784</v>
      </c>
      <c r="J59" s="20" t="n">
        <f aca="false">IF('Все позиции'!G306="","",'Все позиции'!G306)</f>
        <v>20400</v>
      </c>
      <c r="K59" s="20" t="n">
        <f aca="false">IF('Все позиции'!M306="","",'Все позиции'!M306)</f>
        <v>7400</v>
      </c>
      <c r="L59" s="22" t="n">
        <f aca="false">IF('Все позиции'!N306="","",'Все позиции'!N306)</f>
        <v>-13000</v>
      </c>
      <c r="M59" s="17" t="str">
        <f aca="false">IF('Все позиции'!P306="","",'Все позиции'!P306)</f>
        <v>Цена снижена</v>
      </c>
      <c r="N59" s="18" t="str">
        <f aca="false">IF('Все позиции'!Q306="","",'Все позиции'!Q306)</f>
        <v/>
      </c>
      <c r="O59" s="18" t="str">
        <f aca="false">IF('Все позиции'!R306="","",'Все позиции'!R306)</f>
        <v/>
      </c>
    </row>
    <row r="60" customFormat="false" ht="15" hidden="false" customHeight="false" outlineLevel="0" collapsed="false">
      <c r="A60" s="17" t="str">
        <f aca="false">IF('Все позиции'!A96="","",'Все позиции'!A96)</f>
        <v>3. Дополнительные работы 3,7,8,9 этаж</v>
      </c>
      <c r="B60" s="17" t="str">
        <f aca="false">IF('Все позиции'!B96="","",'Все позиции'!B96)</f>
        <v>3.14</v>
      </c>
      <c r="C60" s="18" t="str">
        <f aca="false">IF('Все позиции'!C96="","",'Все позиции'!C96)</f>
        <v>Перемонтаж вентканалов</v>
      </c>
      <c r="D60" s="17" t="str">
        <f aca="false">IF('Все позиции'!D96="","",'Все позиции'!D96)</f>
        <v>мп</v>
      </c>
      <c r="E60" s="19" t="n">
        <f aca="false">IF('Все позиции'!E96="","",'Все позиции'!E96)</f>
        <v>61.6</v>
      </c>
      <c r="F60" s="20" t="n">
        <f aca="false">IF('Все позиции'!F96="","",'Все позиции'!F96)</f>
        <v>1120</v>
      </c>
      <c r="G60" s="19" t="n">
        <f aca="false">IF('Все позиции'!H96="","",'Все позиции'!H96)</f>
        <v>61.6</v>
      </c>
      <c r="H60" s="20" t="n">
        <f aca="false">IF('Все позиции'!L96="","",'Все позиции'!L96)</f>
        <v>920</v>
      </c>
      <c r="I60" s="21" t="n">
        <f aca="false">IF('Все позиции'!O96="","",'Все позиции'!O96)</f>
        <v>-0.178571428571429</v>
      </c>
      <c r="J60" s="20" t="n">
        <f aca="false">IF('Все позиции'!G96="","",'Все позиции'!G96)</f>
        <v>68992</v>
      </c>
      <c r="K60" s="20" t="n">
        <f aca="false">IF('Все позиции'!M96="","",'Все позиции'!M96)</f>
        <v>56672</v>
      </c>
      <c r="L60" s="22" t="n">
        <f aca="false">IF('Все позиции'!N96="","",'Все позиции'!N96)</f>
        <v>-12320</v>
      </c>
      <c r="M60" s="17" t="str">
        <f aca="false">IF('Все позиции'!P96="","",'Все позиции'!P96)</f>
        <v>Цена снижена</v>
      </c>
      <c r="N60" s="18" t="str">
        <f aca="false">IF('Все позиции'!Q96="","",'Все позиции'!Q96)</f>
        <v>Какие размеры?</v>
      </c>
      <c r="O60" s="18" t="str">
        <f aca="false">IF('Все позиции'!R96="","",'Все позиции'!R96)</f>
        <v>Цена Согласована Марк</v>
      </c>
    </row>
    <row r="61" customFormat="false" ht="26.85" hidden="false" customHeight="false" outlineLevel="0" collapsed="false">
      <c r="A61" s="17" t="str">
        <f aca="false">IF('Все позиции'!A191="","",'Все позиции'!A191)</f>
        <v>4. Вентиляция 10 этаж</v>
      </c>
      <c r="B61" s="17" t="str">
        <f aca="false">IF('Все позиции'!B191="","",'Все позиции'!B191)</f>
        <v>4.78</v>
      </c>
      <c r="C61" s="18" t="str">
        <f aca="false">IF('Все позиции'!C191="","",'Все позиции'!C191)</f>
        <v>Ниппель из оцинкованной стали толщиной 0,5мм, класса «В», Ø160</v>
      </c>
      <c r="D61" s="17" t="str">
        <f aca="false">IF('Все позиции'!D191="","",'Все позиции'!D191)</f>
        <v>шт.</v>
      </c>
      <c r="E61" s="19" t="n">
        <f aca="false">IF('Все позиции'!E191="","",'Все позиции'!E191)</f>
        <v>17</v>
      </c>
      <c r="F61" s="20" t="n">
        <f aca="false">IF('Все позиции'!F191="","",'Все позиции'!F191)</f>
        <v>1020</v>
      </c>
      <c r="G61" s="19" t="n">
        <f aca="false">IF('Все позиции'!H191="","",'Все позиции'!H191)</f>
        <v>17</v>
      </c>
      <c r="H61" s="20" t="n">
        <f aca="false">IF('Все позиции'!L191="","",'Все позиции'!L191)</f>
        <v>370</v>
      </c>
      <c r="I61" s="21" t="n">
        <f aca="false">IF('Все позиции'!O191="","",'Все позиции'!O191)</f>
        <v>-0.637254901960784</v>
      </c>
      <c r="J61" s="20" t="n">
        <f aca="false">IF('Все позиции'!G191="","",'Все позиции'!G191)</f>
        <v>17340</v>
      </c>
      <c r="K61" s="20" t="n">
        <f aca="false">IF('Все позиции'!M191="","",'Все позиции'!M191)</f>
        <v>6290</v>
      </c>
      <c r="L61" s="22" t="n">
        <f aca="false">IF('Все позиции'!N191="","",'Все позиции'!N191)</f>
        <v>-11050</v>
      </c>
      <c r="M61" s="17" t="str">
        <f aca="false">IF('Все позиции'!P191="","",'Все позиции'!P191)</f>
        <v>Цена снижена</v>
      </c>
      <c r="N61" s="18" t="str">
        <f aca="false">IF('Все позиции'!Q191="","",'Все позиции'!Q191)</f>
        <v/>
      </c>
      <c r="O61" s="18" t="str">
        <f aca="false">IF('Все позиции'!R191="","",'Все позиции'!R191)</f>
        <v/>
      </c>
    </row>
    <row r="62" customFormat="false" ht="15" hidden="false" customHeight="false" outlineLevel="0" collapsed="false">
      <c r="A62" s="17" t="str">
        <f aca="false">IF('Все позиции'!A225="","",'Все позиции'!A225)</f>
        <v>5. Холодоснабжение 10 этаж</v>
      </c>
      <c r="B62" s="17" t="str">
        <f aca="false">IF('Все позиции'!B225="","",'Все позиции'!B225)</f>
        <v>5.22</v>
      </c>
      <c r="C62" s="18" t="str">
        <f aca="false">IF('Все позиции'!C225="","",'Все позиции'!C225)</f>
        <v>Муфта полипропиленовая, 32</v>
      </c>
      <c r="D62" s="17" t="str">
        <f aca="false">IF('Все позиции'!D225="","",'Все позиции'!D225)</f>
        <v>шт.</v>
      </c>
      <c r="E62" s="19" t="n">
        <f aca="false">IF('Все позиции'!E225="","",'Все позиции'!E225)</f>
        <v>20</v>
      </c>
      <c r="F62" s="20" t="n">
        <f aca="false">IF('Все позиции'!F225="","",'Все позиции'!F225)</f>
        <v>1020</v>
      </c>
      <c r="G62" s="19" t="n">
        <f aca="false">IF('Все позиции'!H225="","",'Все позиции'!H225)</f>
        <v>20</v>
      </c>
      <c r="H62" s="20" t="n">
        <f aca="false">IF('Все позиции'!L225="","",'Все позиции'!L225)</f>
        <v>520</v>
      </c>
      <c r="I62" s="21" t="n">
        <f aca="false">IF('Все позиции'!O225="","",'Все позиции'!O225)</f>
        <v>-0.490196078431373</v>
      </c>
      <c r="J62" s="20" t="n">
        <f aca="false">IF('Все позиции'!G225="","",'Все позиции'!G225)</f>
        <v>20400</v>
      </c>
      <c r="K62" s="20" t="n">
        <f aca="false">IF('Все позиции'!M225="","",'Все позиции'!M225)</f>
        <v>10400</v>
      </c>
      <c r="L62" s="22" t="n">
        <f aca="false">IF('Все позиции'!N225="","",'Все позиции'!N225)</f>
        <v>-10000</v>
      </c>
      <c r="M62" s="17" t="str">
        <f aca="false">IF('Все позиции'!P225="","",'Все позиции'!P225)</f>
        <v>Цена снижена</v>
      </c>
      <c r="N62" s="18" t="str">
        <f aca="false">IF('Все позиции'!Q225="","",'Все позиции'!Q225)</f>
        <v/>
      </c>
      <c r="O62" s="18" t="str">
        <f aca="false">IF('Все позиции'!R225="","",'Все позиции'!R225)</f>
        <v>Цена Согласована Марк</v>
      </c>
    </row>
    <row r="63" customFormat="false" ht="26.85" hidden="false" customHeight="false" outlineLevel="0" collapsed="false">
      <c r="A63" s="17" t="str">
        <f aca="false">IF('Все позиции'!A201="","",'Все позиции'!A201)</f>
        <v>4. Дымоудаление (10 этаж)</v>
      </c>
      <c r="B63" s="17" t="str">
        <f aca="false">IF('Все позиции'!B201="","",'Все позиции'!B201)</f>
        <v>4.87</v>
      </c>
      <c r="C63" s="18" t="str">
        <f aca="false">IF('Все позиции'!C201="","",'Все позиции'!C201)</f>
        <v>Отвод 90гр 800*500</v>
      </c>
      <c r="D63" s="17" t="str">
        <f aca="false">IF('Все позиции'!D201="","",'Все позиции'!D201)</f>
        <v>шт.</v>
      </c>
      <c r="E63" s="19" t="n">
        <f aca="false">IF('Все позиции'!E201="","",'Все позиции'!E201)</f>
        <v>1</v>
      </c>
      <c r="F63" s="20" t="n">
        <f aca="false">IF('Все позиции'!F201="","",'Все позиции'!F201)</f>
        <v>9600</v>
      </c>
      <c r="G63" s="19" t="n">
        <f aca="false">IF('Все позиции'!H201="","",'Все позиции'!H201)</f>
        <v>1</v>
      </c>
      <c r="H63" s="20" t="str">
        <f aca="false">IF('Все позиции'!L201="","",'Все позиции'!L201)</f>
        <v/>
      </c>
      <c r="I63" s="21" t="n">
        <f aca="false">IF('Все позиции'!O201="","",'Все позиции'!O201)</f>
        <v>-1</v>
      </c>
      <c r="J63" s="20" t="n">
        <f aca="false">IF('Все позиции'!G201="","",'Все позиции'!G201)</f>
        <v>9600</v>
      </c>
      <c r="K63" s="20" t="n">
        <f aca="false">IF('Все позиции'!M201="","",'Все позиции'!M201)</f>
        <v>0</v>
      </c>
      <c r="L63" s="22" t="n">
        <f aca="false">IF('Все позиции'!N201="","",'Все позиции'!N201)</f>
        <v>-9600</v>
      </c>
      <c r="M63" s="17" t="str">
        <f aca="false">IF('Все позиции'!P201="","",'Все позиции'!P201)</f>
        <v>Исключено → отдельный допник</v>
      </c>
      <c r="N63" s="18" t="str">
        <f aca="false">IF('Все позиции'!Q201="","",'Все позиции'!Q201)</f>
        <v>удалить (если будут данные позиции сделаем отдельный допник)</v>
      </c>
      <c r="O63" s="18" t="str">
        <f aca="false">IF('Все позиции'!R201="","",'Все позиции'!R201)</f>
        <v/>
      </c>
    </row>
    <row r="64" customFormat="false" ht="26.85" hidden="false" customHeight="false" outlineLevel="0" collapsed="false">
      <c r="A64" s="17" t="str">
        <f aca="false">IF('Все позиции'!A170="","",'Все позиции'!A170)</f>
        <v>4. Вентиляция 10 этаж</v>
      </c>
      <c r="B64" s="17" t="str">
        <f aca="false">IF('Все позиции'!B170="","",'Все позиции'!B170)</f>
        <v>4.57</v>
      </c>
      <c r="C64" s="18" t="str">
        <f aca="false">IF('Все позиции'!C170="","",'Все позиции'!C170)</f>
        <v>Врезка плоская из оцинкованной стали толщиной 0,5мм, класса «В», Ø160</v>
      </c>
      <c r="D64" s="17" t="str">
        <f aca="false">IF('Все позиции'!D170="","",'Все позиции'!D170)</f>
        <v>шт.</v>
      </c>
      <c r="E64" s="19" t="n">
        <f aca="false">IF('Все позиции'!E170="","",'Все позиции'!E170)</f>
        <v>14</v>
      </c>
      <c r="F64" s="20" t="n">
        <f aca="false">IF('Все позиции'!F170="","",'Все позиции'!F170)</f>
        <v>1020</v>
      </c>
      <c r="G64" s="19" t="n">
        <f aca="false">IF('Все позиции'!H170="","",'Все позиции'!H170)</f>
        <v>14</v>
      </c>
      <c r="H64" s="20" t="n">
        <f aca="false">IF('Все позиции'!L170="","",'Все позиции'!L170)</f>
        <v>370</v>
      </c>
      <c r="I64" s="21" t="n">
        <f aca="false">IF('Все позиции'!O170="","",'Все позиции'!O170)</f>
        <v>-0.637254901960784</v>
      </c>
      <c r="J64" s="20" t="n">
        <f aca="false">IF('Все позиции'!G170="","",'Все позиции'!G170)</f>
        <v>14280</v>
      </c>
      <c r="K64" s="20" t="n">
        <f aca="false">IF('Все позиции'!M170="","",'Все позиции'!M170)</f>
        <v>5180</v>
      </c>
      <c r="L64" s="22" t="n">
        <f aca="false">IF('Все позиции'!N170="","",'Все позиции'!N170)</f>
        <v>-9100</v>
      </c>
      <c r="M64" s="17" t="str">
        <f aca="false">IF('Все позиции'!P170="","",'Все позиции'!P170)</f>
        <v>Цена снижена</v>
      </c>
      <c r="N64" s="18" t="str">
        <f aca="false">IF('Все позиции'!Q170="","",'Все позиции'!Q170)</f>
        <v/>
      </c>
      <c r="O64" s="18" t="str">
        <f aca="false">IF('Все позиции'!R170="","",'Все позиции'!R170)</f>
        <v/>
      </c>
    </row>
    <row r="65" customFormat="false" ht="26.85" hidden="false" customHeight="false" outlineLevel="0" collapsed="false">
      <c r="A65" s="17" t="str">
        <f aca="false">IF('Все позиции'!A147="","",'Все позиции'!A147)</f>
        <v>4. Вентиляция 10 этаж</v>
      </c>
      <c r="B65" s="17" t="str">
        <f aca="false">IF('Все позиции'!B147="","",'Все позиции'!B147)</f>
        <v>4.34</v>
      </c>
      <c r="C65" s="18" t="str">
        <f aca="false">IF('Все позиции'!C147="","",'Все позиции'!C147)</f>
        <v>Воздуховод из оцинкованной стали толщиной 0,7мм, класса «В», 700x250</v>
      </c>
      <c r="D65" s="17" t="str">
        <f aca="false">IF('Все позиции'!D147="","",'Все позиции'!D147)</f>
        <v>мп</v>
      </c>
      <c r="E65" s="19" t="n">
        <f aca="false">IF('Все позиции'!E147="","",'Все позиции'!E147)</f>
        <v>18</v>
      </c>
      <c r="F65" s="20" t="n">
        <f aca="false">IF('Все позиции'!F147="","",'Все позиции'!F147)</f>
        <v>3726</v>
      </c>
      <c r="G65" s="19" t="n">
        <f aca="false">IF('Все позиции'!H147="","",'Все позиции'!H147)</f>
        <v>18</v>
      </c>
      <c r="H65" s="20" t="n">
        <f aca="false">IF('Все позиции'!L147="","",'Все позиции'!L147)</f>
        <v>3230</v>
      </c>
      <c r="I65" s="21" t="n">
        <f aca="false">IF('Все позиции'!O147="","",'Все позиции'!O147)</f>
        <v>-0.133118625872249</v>
      </c>
      <c r="J65" s="20" t="n">
        <f aca="false">IF('Все позиции'!G147="","",'Все позиции'!G147)</f>
        <v>67068</v>
      </c>
      <c r="K65" s="20" t="n">
        <f aca="false">IF('Все позиции'!M147="","",'Все позиции'!M147)</f>
        <v>58140</v>
      </c>
      <c r="L65" s="22" t="n">
        <f aca="false">IF('Все позиции'!N147="","",'Все позиции'!N147)</f>
        <v>-8928</v>
      </c>
      <c r="M65" s="17" t="str">
        <f aca="false">IF('Все позиции'!P147="","",'Все позиции'!P147)</f>
        <v>Цена снижена</v>
      </c>
      <c r="N65" s="18" t="str">
        <f aca="false">IF('Все позиции'!Q147="","",'Все позиции'!Q147)</f>
        <v/>
      </c>
      <c r="O65" s="18" t="str">
        <f aca="false">IF('Все позиции'!R147="","",'Все позиции'!R147)</f>
        <v/>
      </c>
    </row>
    <row r="66" customFormat="false" ht="26.85" hidden="false" customHeight="false" outlineLevel="0" collapsed="false">
      <c r="A66" s="17" t="str">
        <f aca="false">IF('Все позиции'!A325="","",'Все позиции'!A325)</f>
        <v>7. Холодоснабжение 2 этаж</v>
      </c>
      <c r="B66" s="17" t="str">
        <f aca="false">IF('Все позиции'!B325="","",'Все позиции'!B325)</f>
        <v>7.5</v>
      </c>
      <c r="C66" s="18" t="str">
        <f aca="false">IF('Все позиции'!C325="","",'Все позиции'!C325)</f>
        <v>Комбинированный балансировочный клапан, Ду20</v>
      </c>
      <c r="D66" s="17" t="str">
        <f aca="false">IF('Все позиции'!D325="","",'Все позиции'!D325)</f>
        <v>шт.</v>
      </c>
      <c r="E66" s="19" t="n">
        <f aca="false">IF('Все позиции'!E325="","",'Все позиции'!E325)</f>
        <v>31</v>
      </c>
      <c r="F66" s="20" t="n">
        <f aca="false">IF('Все позиции'!F325="","",'Все позиции'!F325)</f>
        <v>2268</v>
      </c>
      <c r="G66" s="19" t="n">
        <f aca="false">IF('Все позиции'!H325="","",'Все позиции'!H325)</f>
        <v>31</v>
      </c>
      <c r="H66" s="20" t="n">
        <f aca="false">IF('Все позиции'!L325="","",'Все позиции'!L325)</f>
        <v>1994</v>
      </c>
      <c r="I66" s="21" t="n">
        <f aca="false">IF('Все позиции'!O325="","",'Все позиции'!O325)</f>
        <v>-0.120811287477954</v>
      </c>
      <c r="J66" s="20" t="n">
        <f aca="false">IF('Все позиции'!G325="","",'Все позиции'!G325)</f>
        <v>70308</v>
      </c>
      <c r="K66" s="20" t="n">
        <f aca="false">IF('Все позиции'!M325="","",'Все позиции'!M325)</f>
        <v>61814</v>
      </c>
      <c r="L66" s="22" t="n">
        <f aca="false">IF('Все позиции'!N325="","",'Все позиции'!N325)</f>
        <v>-8494</v>
      </c>
      <c r="M66" s="17" t="str">
        <f aca="false">IF('Все позиции'!P325="","",'Все позиции'!P325)</f>
        <v>Цена снижена</v>
      </c>
      <c r="N66" s="18" t="str">
        <f aca="false">IF('Все позиции'!Q325="","",'Все позиции'!Q325)</f>
        <v>в п.5.5 стоит 1944</v>
      </c>
      <c r="O66" s="18" t="str">
        <f aca="false">IF('Все позиции'!R325="","",'Все позиции'!R325)</f>
        <v/>
      </c>
    </row>
    <row r="67" customFormat="false" ht="26.85" hidden="false" customHeight="false" outlineLevel="0" collapsed="false">
      <c r="A67" s="17" t="str">
        <f aca="false">IF('Все позиции'!A326="","",'Все позиции'!A326)</f>
        <v>7. Холодоснабжение 2 этаж</v>
      </c>
      <c r="B67" s="17" t="str">
        <f aca="false">IF('Все позиции'!B326="","",'Все позиции'!B326)</f>
        <v>7.6</v>
      </c>
      <c r="C67" s="18" t="str">
        <f aca="false">IF('Все позиции'!C326="","",'Все позиции'!C326)</f>
        <v>Комплект трехходовой клапан, запорные краны, медные патрубки</v>
      </c>
      <c r="D67" s="17" t="str">
        <f aca="false">IF('Все позиции'!D326="","",'Все позиции'!D326)</f>
        <v>шт.</v>
      </c>
      <c r="E67" s="19" t="n">
        <f aca="false">IF('Все позиции'!E326="","",'Все позиции'!E326)</f>
        <v>31</v>
      </c>
      <c r="F67" s="20" t="n">
        <f aca="false">IF('Все позиции'!F326="","",'Все позиции'!F326)</f>
        <v>2268</v>
      </c>
      <c r="G67" s="19" t="n">
        <f aca="false">IF('Все позиции'!H326="","",'Все позиции'!H326)</f>
        <v>31</v>
      </c>
      <c r="H67" s="20" t="n">
        <f aca="false">IF('Все позиции'!L326="","",'Все позиции'!L326)</f>
        <v>1994</v>
      </c>
      <c r="I67" s="21" t="n">
        <f aca="false">IF('Все позиции'!O326="","",'Все позиции'!O326)</f>
        <v>-0.120811287477954</v>
      </c>
      <c r="J67" s="20" t="n">
        <f aca="false">IF('Все позиции'!G326="","",'Все позиции'!G326)</f>
        <v>70308</v>
      </c>
      <c r="K67" s="20" t="n">
        <f aca="false">IF('Все позиции'!M326="","",'Все позиции'!M326)</f>
        <v>61814</v>
      </c>
      <c r="L67" s="22" t="n">
        <f aca="false">IF('Все позиции'!N326="","",'Все позиции'!N326)</f>
        <v>-8494</v>
      </c>
      <c r="M67" s="17" t="str">
        <f aca="false">IF('Все позиции'!P326="","",'Все позиции'!P326)</f>
        <v>Цена снижена</v>
      </c>
      <c r="N67" s="18" t="str">
        <f aca="false">IF('Все позиции'!Q326="","",'Все позиции'!Q326)</f>
        <v>в п.5.5 стоит 1944</v>
      </c>
      <c r="O67" s="18" t="str">
        <f aca="false">IF('Все позиции'!R326="","",'Все позиции'!R326)</f>
        <v/>
      </c>
    </row>
    <row r="68" customFormat="false" ht="26.85" hidden="false" customHeight="false" outlineLevel="0" collapsed="false">
      <c r="A68" s="17" t="str">
        <f aca="false">IF('Все позиции'!A222="","",'Все позиции'!A222)</f>
        <v>5. Холодоснабжение 10 этаж</v>
      </c>
      <c r="B68" s="17" t="str">
        <f aca="false">IF('Все позиции'!B222="","",'Все позиции'!B222)</f>
        <v>5.19</v>
      </c>
      <c r="C68" s="18" t="str">
        <f aca="false">IF('Все позиции'!C222="","",'Все позиции'!C222)</f>
        <v>Трубки теплоизоляционные для трубы Ø32х4,4 толщиной 9мм</v>
      </c>
      <c r="D68" s="17" t="str">
        <f aca="false">IF('Все позиции'!D222="","",'Все позиции'!D222)</f>
        <v>мп</v>
      </c>
      <c r="E68" s="19" t="n">
        <f aca="false">IF('Все позиции'!E222="","",'Все позиции'!E222)</f>
        <v>90</v>
      </c>
      <c r="F68" s="20" t="n">
        <f aca="false">IF('Все позиции'!F222="","",'Все позиции'!F222)</f>
        <v>291.6</v>
      </c>
      <c r="G68" s="19" t="n">
        <f aca="false">IF('Все позиции'!H222="","",'Все позиции'!H222)</f>
        <v>90</v>
      </c>
      <c r="H68" s="20" t="n">
        <f aca="false">IF('Все позиции'!L222="","",'Все позиции'!L222)</f>
        <v>200</v>
      </c>
      <c r="I68" s="21" t="n">
        <f aca="false">IF('Все позиции'!O222="","",'Все позиции'!O222)</f>
        <v>-0.314128943758574</v>
      </c>
      <c r="J68" s="20" t="n">
        <f aca="false">IF('Все позиции'!G222="","",'Все позиции'!G222)</f>
        <v>26244</v>
      </c>
      <c r="K68" s="20" t="n">
        <f aca="false">IF('Все позиции'!M222="","",'Все позиции'!M222)</f>
        <v>18000</v>
      </c>
      <c r="L68" s="22" t="n">
        <f aca="false">IF('Все позиции'!N222="","",'Все позиции'!N222)</f>
        <v>-8244</v>
      </c>
      <c r="M68" s="17" t="str">
        <f aca="false">IF('Все позиции'!P222="","",'Все позиции'!P222)</f>
        <v>Цена снижена</v>
      </c>
      <c r="N68" s="18" t="str">
        <f aca="false">IF('Все позиции'!Q222="","",'Все позиции'!Q222)</f>
        <v>по договору</v>
      </c>
      <c r="O68" s="18" t="str">
        <f aca="false">IF('Все позиции'!R222="","",'Все позиции'!R222)</f>
        <v>Цена Согласована Марк</v>
      </c>
    </row>
    <row r="69" customFormat="false" ht="26.85" hidden="false" customHeight="false" outlineLevel="0" collapsed="false">
      <c r="A69" s="17" t="str">
        <f aca="false">IF('Все позиции'!A136="","",'Все позиции'!A136)</f>
        <v>4. Вентиляция 10 этаж</v>
      </c>
      <c r="B69" s="17" t="str">
        <f aca="false">IF('Все позиции'!B136="","",'Все позиции'!B136)</f>
        <v>4.23</v>
      </c>
      <c r="C69" s="18" t="str">
        <f aca="false">IF('Все позиции'!C136="","",'Все позиции'!C136)</f>
        <v>Воздуховод из оцинкованной стали толщиной 0,5мм, класса «В», Ø100</v>
      </c>
      <c r="D69" s="17" t="str">
        <f aca="false">IF('Все позиции'!D136="","",'Все позиции'!D136)</f>
        <v>мп</v>
      </c>
      <c r="E69" s="19" t="n">
        <f aca="false">IF('Все позиции'!E136="","",'Все позиции'!E136)</f>
        <v>19</v>
      </c>
      <c r="F69" s="20" t="n">
        <f aca="false">IF('Все позиции'!F136="","",'Все позиции'!F136)</f>
        <v>1360.8</v>
      </c>
      <c r="G69" s="19" t="n">
        <f aca="false">IF('Все позиции'!H136="","",'Все позиции'!H136)</f>
        <v>19</v>
      </c>
      <c r="H69" s="20" t="n">
        <f aca="false">IF('Все позиции'!L136="","",'Все позиции'!L136)</f>
        <v>950</v>
      </c>
      <c r="I69" s="21" t="n">
        <f aca="false">IF('Все позиции'!O136="","",'Все позиции'!O136)</f>
        <v>-0.301881246325691</v>
      </c>
      <c r="J69" s="20" t="n">
        <f aca="false">IF('Все позиции'!G136="","",'Все позиции'!G136)</f>
        <v>25855.2</v>
      </c>
      <c r="K69" s="20" t="n">
        <f aca="false">IF('Все позиции'!M136="","",'Все позиции'!M136)</f>
        <v>18050</v>
      </c>
      <c r="L69" s="22" t="n">
        <f aca="false">IF('Все позиции'!N136="","",'Все позиции'!N136)</f>
        <v>-7805.2</v>
      </c>
      <c r="M69" s="17" t="str">
        <f aca="false">IF('Все позиции'!P136="","",'Все позиции'!P136)</f>
        <v>Цена снижена</v>
      </c>
      <c r="N69" s="18" t="str">
        <f aca="false">IF('Все позиции'!Q136="","",'Все позиции'!Q136)</f>
        <v>по договору</v>
      </c>
      <c r="O69" s="18" t="str">
        <f aca="false">IF('Все позиции'!R136="","",'Все позиции'!R136)</f>
        <v/>
      </c>
    </row>
    <row r="70" customFormat="false" ht="26.85" hidden="false" customHeight="false" outlineLevel="0" collapsed="false">
      <c r="A70" s="17" t="str">
        <f aca="false">IF('Все позиции'!A171="","",'Все позиции'!A171)</f>
        <v>4. Вентиляция 10 этаж</v>
      </c>
      <c r="B70" s="17" t="str">
        <f aca="false">IF('Все позиции'!B171="","",'Все позиции'!B171)</f>
        <v>4.58</v>
      </c>
      <c r="C70" s="18" t="str">
        <f aca="false">IF('Все позиции'!C171="","",'Все позиции'!C171)</f>
        <v>Врезка плоская из оцинкованной стали толщиной 0,5мм, класса «В», Ø200</v>
      </c>
      <c r="D70" s="17" t="str">
        <f aca="false">IF('Все позиции'!D171="","",'Все позиции'!D171)</f>
        <v>шт.</v>
      </c>
      <c r="E70" s="19" t="n">
        <f aca="false">IF('Все позиции'!E171="","",'Все позиции'!E171)</f>
        <v>12</v>
      </c>
      <c r="F70" s="20" t="n">
        <f aca="false">IF('Все позиции'!F171="","",'Все позиции'!F171)</f>
        <v>1020</v>
      </c>
      <c r="G70" s="19" t="n">
        <f aca="false">IF('Все позиции'!H171="","",'Все позиции'!H171)</f>
        <v>12</v>
      </c>
      <c r="H70" s="20" t="n">
        <f aca="false">IF('Все позиции'!L171="","",'Все позиции'!L171)</f>
        <v>370</v>
      </c>
      <c r="I70" s="21" t="n">
        <f aca="false">IF('Все позиции'!O171="","",'Все позиции'!O171)</f>
        <v>-0.637254901960784</v>
      </c>
      <c r="J70" s="20" t="n">
        <f aca="false">IF('Все позиции'!G171="","",'Все позиции'!G171)</f>
        <v>12240</v>
      </c>
      <c r="K70" s="20" t="n">
        <f aca="false">IF('Все позиции'!M171="","",'Все позиции'!M171)</f>
        <v>4440</v>
      </c>
      <c r="L70" s="22" t="n">
        <f aca="false">IF('Все позиции'!N171="","",'Все позиции'!N171)</f>
        <v>-7800</v>
      </c>
      <c r="M70" s="17" t="str">
        <f aca="false">IF('Все позиции'!P171="","",'Все позиции'!P171)</f>
        <v>Цена снижена</v>
      </c>
      <c r="N70" s="18" t="str">
        <f aca="false">IF('Все позиции'!Q171="","",'Все позиции'!Q171)</f>
        <v/>
      </c>
      <c r="O70" s="18" t="str">
        <f aca="false">IF('Все позиции'!R171="","",'Все позиции'!R171)</f>
        <v/>
      </c>
    </row>
    <row r="71" customFormat="false" ht="26.85" hidden="false" customHeight="false" outlineLevel="0" collapsed="false">
      <c r="A71" s="17" t="str">
        <f aca="false">IF('Все позиции'!A192="","",'Все позиции'!A192)</f>
        <v>4. Вентиляция 10 этаж</v>
      </c>
      <c r="B71" s="17" t="str">
        <f aca="false">IF('Все позиции'!B192="","",'Все позиции'!B192)</f>
        <v>4.79</v>
      </c>
      <c r="C71" s="18" t="str">
        <f aca="false">IF('Все позиции'!C192="","",'Все позиции'!C192)</f>
        <v>Ниппель из оцинкованной стали толщиной 0,5мм, класса «В», Ø200</v>
      </c>
      <c r="D71" s="17" t="str">
        <f aca="false">IF('Все позиции'!D192="","",'Все позиции'!D192)</f>
        <v>шт.</v>
      </c>
      <c r="E71" s="19" t="n">
        <f aca="false">IF('Все позиции'!E192="","",'Все позиции'!E192)</f>
        <v>12</v>
      </c>
      <c r="F71" s="20" t="n">
        <f aca="false">IF('Все позиции'!F192="","",'Все позиции'!F192)</f>
        <v>1020</v>
      </c>
      <c r="G71" s="19" t="n">
        <f aca="false">IF('Все позиции'!H192="","",'Все позиции'!H192)</f>
        <v>12</v>
      </c>
      <c r="H71" s="20" t="n">
        <f aca="false">IF('Все позиции'!L192="","",'Все позиции'!L192)</f>
        <v>370</v>
      </c>
      <c r="I71" s="21" t="n">
        <f aca="false">IF('Все позиции'!O192="","",'Все позиции'!O192)</f>
        <v>-0.637254901960784</v>
      </c>
      <c r="J71" s="20" t="n">
        <f aca="false">IF('Все позиции'!G192="","",'Все позиции'!G192)</f>
        <v>12240</v>
      </c>
      <c r="K71" s="20" t="n">
        <f aca="false">IF('Все позиции'!M192="","",'Все позиции'!M192)</f>
        <v>4440</v>
      </c>
      <c r="L71" s="22" t="n">
        <f aca="false">IF('Все позиции'!N192="","",'Все позиции'!N192)</f>
        <v>-7800</v>
      </c>
      <c r="M71" s="17" t="str">
        <f aca="false">IF('Все позиции'!P192="","",'Все позиции'!P192)</f>
        <v>Цена снижена</v>
      </c>
      <c r="N71" s="18" t="str">
        <f aca="false">IF('Все позиции'!Q192="","",'Все позиции'!Q192)</f>
        <v/>
      </c>
      <c r="O71" s="18" t="str">
        <f aca="false">IF('Все позиции'!R192="","",'Все позиции'!R192)</f>
        <v/>
      </c>
    </row>
    <row r="72" customFormat="false" ht="15" hidden="false" customHeight="false" outlineLevel="0" collapsed="false">
      <c r="A72" s="23" t="str">
        <f aca="false">IF('Все позиции'!A327="","",'Все позиции'!A327)</f>
        <v>7. Холодоснабжение 2 этаж</v>
      </c>
      <c r="B72" s="23" t="str">
        <f aca="false">IF('Все позиции'!B327="","",'Все позиции'!B327)</f>
        <v>7.7</v>
      </c>
      <c r="C72" s="24" t="str">
        <f aca="false">IF('Все позиции'!C327="","",'Все позиции'!C327)</f>
        <v>теплоизоляция труб</v>
      </c>
      <c r="D72" s="23" t="str">
        <f aca="false">IF('Все позиции'!D327="","",'Все позиции'!D327)</f>
        <v>м.п.</v>
      </c>
      <c r="E72" s="25" t="n">
        <f aca="false">IF('Все позиции'!E327="","",'Все позиции'!E327)</f>
        <v>30</v>
      </c>
      <c r="F72" s="26" t="n">
        <f aca="false">IF('Все позиции'!F327="","",'Все позиции'!F327)</f>
        <v>486</v>
      </c>
      <c r="G72" s="25" t="n">
        <f aca="false">IF('Все позиции'!H327="","",'Все позиции'!H327)</f>
        <v>30</v>
      </c>
      <c r="H72" s="26" t="n">
        <f aca="false">IF('Все позиции'!L327="","",'Все позиции'!L327)</f>
        <v>228</v>
      </c>
      <c r="I72" s="27" t="n">
        <f aca="false">IF('Все позиции'!O327="","",'Все позиции'!O327)</f>
        <v>-0.530864197530864</v>
      </c>
      <c r="J72" s="26" t="n">
        <f aca="false">IF('Все позиции'!G327="","",'Все позиции'!G327)</f>
        <v>14580</v>
      </c>
      <c r="K72" s="26" t="n">
        <f aca="false">IF('Все позиции'!M327="","",'Все позиции'!M327)</f>
        <v>6840</v>
      </c>
      <c r="L72" s="28" t="n">
        <f aca="false">IF('Все позиции'!N327="","",'Все позиции'!N327)</f>
        <v>-7740</v>
      </c>
      <c r="M72" s="23" t="str">
        <f aca="false">IF('Все позиции'!P327="","",'Все позиции'!P327)</f>
        <v>Снижение согласовано, но не внесено в итог</v>
      </c>
      <c r="N72" s="24" t="str">
        <f aca="false">IF('Все позиции'!Q327="","",'Все позиции'!Q327)</f>
        <v>по договору</v>
      </c>
      <c r="O72" s="24" t="str">
        <f aca="false">IF('Все позиции'!R327="","",'Все позиции'!R327)</f>
        <v>Цена Согласована Марк</v>
      </c>
    </row>
    <row r="73" customFormat="false" ht="15" hidden="false" customHeight="false" outlineLevel="0" collapsed="false">
      <c r="A73" s="17" t="str">
        <f aca="false">IF('Все позиции'!A228="","",'Все позиции'!A228)</f>
        <v>5. Холодоснабжение 10 этаж</v>
      </c>
      <c r="B73" s="17" t="str">
        <f aca="false">IF('Все позиции'!B228="","",'Все позиции'!B228)</f>
        <v>5.25</v>
      </c>
      <c r="C73" s="18" t="str">
        <f aca="false">IF('Все позиции'!C228="","",'Все позиции'!C228)</f>
        <v>Угольник 450 полипропиленовый, 32</v>
      </c>
      <c r="D73" s="17" t="str">
        <f aca="false">IF('Все позиции'!D228="","",'Все позиции'!D228)</f>
        <v>шт.</v>
      </c>
      <c r="E73" s="19" t="n">
        <f aca="false">IF('Все позиции'!E228="","",'Все позиции'!E228)</f>
        <v>15</v>
      </c>
      <c r="F73" s="20" t="n">
        <f aca="false">IF('Все позиции'!F228="","",'Все позиции'!F228)</f>
        <v>1020</v>
      </c>
      <c r="G73" s="19" t="n">
        <f aca="false">IF('Все позиции'!H228="","",'Все позиции'!H228)</f>
        <v>15</v>
      </c>
      <c r="H73" s="20" t="n">
        <f aca="false">IF('Все позиции'!L228="","",'Все позиции'!L228)</f>
        <v>520</v>
      </c>
      <c r="I73" s="21" t="n">
        <f aca="false">IF('Все позиции'!O228="","",'Все позиции'!O228)</f>
        <v>-0.490196078431373</v>
      </c>
      <c r="J73" s="20" t="n">
        <f aca="false">IF('Все позиции'!G228="","",'Все позиции'!G228)</f>
        <v>15300</v>
      </c>
      <c r="K73" s="20" t="n">
        <f aca="false">IF('Все позиции'!M228="","",'Все позиции'!M228)</f>
        <v>7800</v>
      </c>
      <c r="L73" s="22" t="n">
        <f aca="false">IF('Все позиции'!N228="","",'Все позиции'!N228)</f>
        <v>-7500</v>
      </c>
      <c r="M73" s="17" t="str">
        <f aca="false">IF('Все позиции'!P228="","",'Все позиции'!P228)</f>
        <v>Цена снижена</v>
      </c>
      <c r="N73" s="18" t="str">
        <f aca="false">IF('Все позиции'!Q228="","",'Все позиции'!Q228)</f>
        <v/>
      </c>
      <c r="O73" s="18" t="str">
        <f aca="false">IF('Все позиции'!R228="","",'Все позиции'!R228)</f>
        <v>Цена Согласована Марк</v>
      </c>
    </row>
    <row r="74" customFormat="false" ht="26.85" hidden="false" customHeight="false" outlineLevel="0" collapsed="false">
      <c r="A74" s="17" t="str">
        <f aca="false">IF('Все позиции'!A307="","",'Все позиции'!A307)</f>
        <v>6. Вентиляция 2 этаж</v>
      </c>
      <c r="B74" s="17" t="str">
        <f aca="false">IF('Все позиции'!B307="","",'Все позиции'!B307)</f>
        <v>6.67</v>
      </c>
      <c r="C74" s="18" t="str">
        <f aca="false">IF('Все позиции'!C307="","",'Все позиции'!C307)</f>
        <v>Ниппель из оцинкованной стали толщиной 0,5мм, класса «В», Ø160</v>
      </c>
      <c r="D74" s="17" t="str">
        <f aca="false">IF('Все позиции'!D307="","",'Все позиции'!D307)</f>
        <v>шт.</v>
      </c>
      <c r="E74" s="19" t="n">
        <f aca="false">IF('Все позиции'!E307="","",'Все позиции'!E307)</f>
        <v>10</v>
      </c>
      <c r="F74" s="20" t="n">
        <f aca="false">IF('Все позиции'!F307="","",'Все позиции'!F307)</f>
        <v>1020</v>
      </c>
      <c r="G74" s="19" t="n">
        <f aca="false">IF('Все позиции'!H307="","",'Все позиции'!H307)</f>
        <v>10</v>
      </c>
      <c r="H74" s="20" t="n">
        <f aca="false">IF('Все позиции'!L307="","",'Все позиции'!L307)</f>
        <v>370</v>
      </c>
      <c r="I74" s="21" t="n">
        <f aca="false">IF('Все позиции'!O307="","",'Все позиции'!O307)</f>
        <v>-0.637254901960784</v>
      </c>
      <c r="J74" s="20" t="n">
        <f aca="false">IF('Все позиции'!G307="","",'Все позиции'!G307)</f>
        <v>10200</v>
      </c>
      <c r="K74" s="20" t="n">
        <f aca="false">IF('Все позиции'!M307="","",'Все позиции'!M307)</f>
        <v>3700</v>
      </c>
      <c r="L74" s="22" t="n">
        <f aca="false">IF('Все позиции'!N307="","",'Все позиции'!N307)</f>
        <v>-6500</v>
      </c>
      <c r="M74" s="17" t="str">
        <f aca="false">IF('Все позиции'!P307="","",'Все позиции'!P307)</f>
        <v>Цена снижена</v>
      </c>
      <c r="N74" s="18" t="str">
        <f aca="false">IF('Все позиции'!Q307="","",'Все позиции'!Q307)</f>
        <v/>
      </c>
      <c r="O74" s="18" t="str">
        <f aca="false">IF('Все позиции'!R307="","",'Все позиции'!R307)</f>
        <v/>
      </c>
    </row>
    <row r="75" customFormat="false" ht="26.85" hidden="false" customHeight="false" outlineLevel="0" collapsed="false">
      <c r="A75" s="17" t="str">
        <f aca="false">IF('Все позиции'!A308="","",'Все позиции'!A308)</f>
        <v>6. Вентиляция 2 этаж</v>
      </c>
      <c r="B75" s="17" t="str">
        <f aca="false">IF('Все позиции'!B308="","",'Все позиции'!B308)</f>
        <v>6.68</v>
      </c>
      <c r="C75" s="18" t="str">
        <f aca="false">IF('Все позиции'!C308="","",'Все позиции'!C308)</f>
        <v>Ниппель из оцинкованной стали толщиной 0,5мм, класса «В», Ø200</v>
      </c>
      <c r="D75" s="17" t="str">
        <f aca="false">IF('Все позиции'!D308="","",'Все позиции'!D308)</f>
        <v>шт.</v>
      </c>
      <c r="E75" s="19" t="n">
        <f aca="false">IF('Все позиции'!E308="","",'Все позиции'!E308)</f>
        <v>10</v>
      </c>
      <c r="F75" s="20" t="n">
        <f aca="false">IF('Все позиции'!F308="","",'Все позиции'!F308)</f>
        <v>1020</v>
      </c>
      <c r="G75" s="19" t="n">
        <f aca="false">IF('Все позиции'!H308="","",'Все позиции'!H308)</f>
        <v>10</v>
      </c>
      <c r="H75" s="20" t="n">
        <f aca="false">IF('Все позиции'!L308="","",'Все позиции'!L308)</f>
        <v>370</v>
      </c>
      <c r="I75" s="21" t="n">
        <f aca="false">IF('Все позиции'!O308="","",'Все позиции'!O308)</f>
        <v>-0.637254901960784</v>
      </c>
      <c r="J75" s="20" t="n">
        <f aca="false">IF('Все позиции'!G308="","",'Все позиции'!G308)</f>
        <v>10200</v>
      </c>
      <c r="K75" s="20" t="n">
        <f aca="false">IF('Все позиции'!M308="","",'Все позиции'!M308)</f>
        <v>3700</v>
      </c>
      <c r="L75" s="22" t="n">
        <f aca="false">IF('Все позиции'!N308="","",'Все позиции'!N308)</f>
        <v>-6500</v>
      </c>
      <c r="M75" s="17" t="str">
        <f aca="false">IF('Все позиции'!P308="","",'Все позиции'!P308)</f>
        <v>Цена снижена</v>
      </c>
      <c r="N75" s="18" t="str">
        <f aca="false">IF('Все позиции'!Q308="","",'Все позиции'!Q308)</f>
        <v/>
      </c>
      <c r="O75" s="18" t="str">
        <f aca="false">IF('Все позиции'!R308="","",'Все позиции'!R308)</f>
        <v/>
      </c>
    </row>
    <row r="76" customFormat="false" ht="15" hidden="false" customHeight="false" outlineLevel="0" collapsed="false">
      <c r="A76" s="17" t="str">
        <f aca="false">IF('Все позиции'!A245="","",'Все позиции'!A245)</f>
        <v>6. Вентиляция 2 этаж</v>
      </c>
      <c r="B76" s="17" t="str">
        <f aca="false">IF('Все позиции'!B245="","",'Все позиции'!B245)</f>
        <v>6.5</v>
      </c>
      <c r="C76" s="18" t="str">
        <f aca="false">IF('Все позиции'!C245="","",'Все позиции'!C245)</f>
        <v>Диффузор круглый, Ø125 ЛК 125</v>
      </c>
      <c r="D76" s="17" t="str">
        <f aca="false">IF('Все позиции'!D245="","",'Все позиции'!D245)</f>
        <v>шт.</v>
      </c>
      <c r="E76" s="19" t="n">
        <f aca="false">IF('Все позиции'!E245="","",'Все позиции'!E245)</f>
        <v>9</v>
      </c>
      <c r="F76" s="20" t="n">
        <f aca="false">IF('Все позиции'!F245="","",'Все позиции'!F245)</f>
        <v>1296</v>
      </c>
      <c r="G76" s="19" t="n">
        <f aca="false">IF('Все позиции'!H245="","",'Все позиции'!H245)</f>
        <v>9</v>
      </c>
      <c r="H76" s="20" t="n">
        <f aca="false">IF('Все позиции'!L245="","",'Все позиции'!L245)</f>
        <v>600</v>
      </c>
      <c r="I76" s="21" t="n">
        <f aca="false">IF('Все позиции'!O245="","",'Все позиции'!O245)</f>
        <v>-0.537037037037037</v>
      </c>
      <c r="J76" s="20" t="n">
        <f aca="false">IF('Все позиции'!G245="","",'Все позиции'!G245)</f>
        <v>11664</v>
      </c>
      <c r="K76" s="20" t="n">
        <f aca="false">IF('Все позиции'!M245="","",'Все позиции'!M245)</f>
        <v>5400</v>
      </c>
      <c r="L76" s="22" t="n">
        <f aca="false">IF('Все позиции'!N245="","",'Все позиции'!N245)</f>
        <v>-6264</v>
      </c>
      <c r="M76" s="17" t="str">
        <f aca="false">IF('Все позиции'!P245="","",'Все позиции'!P245)</f>
        <v>Цена снижена</v>
      </c>
      <c r="N76" s="18" t="str">
        <f aca="false">IF('Все позиции'!Q245="","",'Все позиции'!Q245)</f>
        <v>по договору</v>
      </c>
      <c r="O76" s="18" t="str">
        <f aca="false">IF('Все позиции'!R245="","",'Все позиции'!R245)</f>
        <v/>
      </c>
    </row>
    <row r="77" customFormat="false" ht="26.85" hidden="false" customHeight="false" outlineLevel="0" collapsed="false">
      <c r="A77" s="17" t="str">
        <f aca="false">IF('Все позиции'!A237="","",'Все позиции'!A237)</f>
        <v>5. Холодоснабжение 10 этаж</v>
      </c>
      <c r="B77" s="17" t="str">
        <f aca="false">IF('Все позиции'!B237="","",'Все позиции'!B237)</f>
        <v>5.34</v>
      </c>
      <c r="C77" s="18" t="str">
        <f aca="false">IF('Все позиции'!C237="","",'Все позиции'!C237)</f>
        <v>Трубки теплоизоляционные для трубы Ø40х6,7 толщиной 6мм</v>
      </c>
      <c r="D77" s="17" t="str">
        <f aca="false">IF('Все позиции'!D237="","",'Все позиции'!D237)</f>
        <v>шт.</v>
      </c>
      <c r="E77" s="19" t="n">
        <f aca="false">IF('Все позиции'!E237="","",'Все позиции'!E237)</f>
        <v>8</v>
      </c>
      <c r="F77" s="20" t="n">
        <f aca="false">IF('Все позиции'!F237="","",'Все позиции'!F237)</f>
        <v>1020</v>
      </c>
      <c r="G77" s="19" t="n">
        <f aca="false">IF('Все позиции'!H237="","",'Все позиции'!H237)</f>
        <v>8</v>
      </c>
      <c r="H77" s="20" t="n">
        <f aca="false">IF('Все позиции'!L237="","",'Все позиции'!L237)</f>
        <v>260</v>
      </c>
      <c r="I77" s="21" t="n">
        <f aca="false">IF('Все позиции'!O237="","",'Все позиции'!O237)</f>
        <v>-0.745098039215686</v>
      </c>
      <c r="J77" s="20" t="n">
        <f aca="false">IF('Все позиции'!G237="","",'Все позиции'!G237)</f>
        <v>8160</v>
      </c>
      <c r="K77" s="20" t="n">
        <f aca="false">IF('Все позиции'!M237="","",'Все позиции'!M237)</f>
        <v>2080</v>
      </c>
      <c r="L77" s="22" t="n">
        <f aca="false">IF('Все позиции'!N237="","",'Все позиции'!N237)</f>
        <v>-6080</v>
      </c>
      <c r="M77" s="17" t="str">
        <f aca="false">IF('Все позиции'!P237="","",'Все позиции'!P237)</f>
        <v>Цена снижена</v>
      </c>
      <c r="N77" s="18" t="str">
        <f aca="false">IF('Все позиции'!Q237="","",'Все позиции'!Q237)</f>
        <v>по договору</v>
      </c>
      <c r="O77" s="18" t="str">
        <f aca="false">IF('Все позиции'!R237="","",'Все позиции'!R237)</f>
        <v>Цена Согласована Марк</v>
      </c>
    </row>
    <row r="78" customFormat="false" ht="15" hidden="false" customHeight="false" outlineLevel="0" collapsed="false">
      <c r="A78" s="17" t="str">
        <f aca="false">IF('Все позиции'!A217="","",'Все позиции'!A217)</f>
        <v>5. Холодоснабжение 10 этаж</v>
      </c>
      <c r="B78" s="17" t="str">
        <f aca="false">IF('Все позиции'!B217="","",'Все позиции'!B217)</f>
        <v>5.14</v>
      </c>
      <c r="C78" s="18" t="str">
        <f aca="false">IF('Все позиции'!C217="","",'Все позиции'!C217)</f>
        <v>Муфта полипропиленовая 32 x 1/2"</v>
      </c>
      <c r="D78" s="17" t="str">
        <f aca="false">IF('Все позиции'!D217="","",'Все позиции'!D217)</f>
        <v>шт.</v>
      </c>
      <c r="E78" s="19" t="n">
        <f aca="false">IF('Все позиции'!E217="","",'Все позиции'!E217)</f>
        <v>10</v>
      </c>
      <c r="F78" s="20" t="n">
        <f aca="false">IF('Все позиции'!F217="","",'Все позиции'!F217)</f>
        <v>1296</v>
      </c>
      <c r="G78" s="19" t="n">
        <f aca="false">IF('Все позиции'!H217="","",'Все позиции'!H217)</f>
        <v>10</v>
      </c>
      <c r="H78" s="20" t="n">
        <f aca="false">IF('Все позиции'!L217="","",'Все позиции'!L217)</f>
        <v>700</v>
      </c>
      <c r="I78" s="21" t="n">
        <f aca="false">IF('Все позиции'!O217="","",'Все позиции'!O217)</f>
        <v>-0.459876543209877</v>
      </c>
      <c r="J78" s="20" t="n">
        <f aca="false">IF('Все позиции'!G217="","",'Все позиции'!G217)</f>
        <v>12960</v>
      </c>
      <c r="K78" s="20" t="n">
        <f aca="false">IF('Все позиции'!M217="","",'Все позиции'!M217)</f>
        <v>7000</v>
      </c>
      <c r="L78" s="22" t="n">
        <f aca="false">IF('Все позиции'!N217="","",'Все позиции'!N217)</f>
        <v>-5960</v>
      </c>
      <c r="M78" s="17" t="str">
        <f aca="false">IF('Все позиции'!P217="","",'Все позиции'!P217)</f>
        <v>Цена снижена</v>
      </c>
      <c r="N78" s="18" t="str">
        <f aca="false">IF('Все позиции'!Q217="","",'Все позиции'!Q217)</f>
        <v/>
      </c>
      <c r="O78" s="18" t="str">
        <f aca="false">IF('Все позиции'!R217="","",'Все позиции'!R217)</f>
        <v>Цена Согласована Марк</v>
      </c>
    </row>
    <row r="79" customFormat="false" ht="15" hidden="false" customHeight="false" outlineLevel="0" collapsed="false">
      <c r="A79" s="17" t="str">
        <f aca="false">IF('Все позиции'!A218="","",'Все позиции'!A218)</f>
        <v>5. Холодоснабжение 10 этаж</v>
      </c>
      <c r="B79" s="17" t="str">
        <f aca="false">IF('Все позиции'!B218="","",'Все позиции'!B218)</f>
        <v>5.15</v>
      </c>
      <c r="C79" s="18" t="str">
        <f aca="false">IF('Все позиции'!C218="","",'Все позиции'!C218)</f>
        <v>Штуцер 1/2" x 14мм</v>
      </c>
      <c r="D79" s="17" t="str">
        <f aca="false">IF('Все позиции'!D218="","",'Все позиции'!D218)</f>
        <v>шт.</v>
      </c>
      <c r="E79" s="19" t="n">
        <f aca="false">IF('Все позиции'!E218="","",'Все позиции'!E218)</f>
        <v>10</v>
      </c>
      <c r="F79" s="20" t="n">
        <f aca="false">IF('Все позиции'!F218="","",'Все позиции'!F218)</f>
        <v>1296</v>
      </c>
      <c r="G79" s="19" t="n">
        <f aca="false">IF('Все позиции'!H218="","",'Все позиции'!H218)</f>
        <v>10</v>
      </c>
      <c r="H79" s="20" t="n">
        <f aca="false">IF('Все позиции'!L218="","",'Все позиции'!L218)</f>
        <v>700</v>
      </c>
      <c r="I79" s="21" t="n">
        <f aca="false">IF('Все позиции'!O218="","",'Все позиции'!O218)</f>
        <v>-0.459876543209877</v>
      </c>
      <c r="J79" s="20" t="n">
        <f aca="false">IF('Все позиции'!G218="","",'Все позиции'!G218)</f>
        <v>12960</v>
      </c>
      <c r="K79" s="20" t="n">
        <f aca="false">IF('Все позиции'!M218="","",'Все позиции'!M218)</f>
        <v>7000</v>
      </c>
      <c r="L79" s="22" t="n">
        <f aca="false">IF('Все позиции'!N218="","",'Все позиции'!N218)</f>
        <v>-5960</v>
      </c>
      <c r="M79" s="17" t="str">
        <f aca="false">IF('Все позиции'!P218="","",'Все позиции'!P218)</f>
        <v>Цена снижена</v>
      </c>
      <c r="N79" s="18" t="str">
        <f aca="false">IF('Все позиции'!Q218="","",'Все позиции'!Q218)</f>
        <v/>
      </c>
      <c r="O79" s="18" t="str">
        <f aca="false">IF('Все позиции'!R218="","",'Все позиции'!R218)</f>
        <v>Цена Согласована Марк</v>
      </c>
    </row>
    <row r="80" customFormat="false" ht="15" hidden="false" customHeight="false" outlineLevel="0" collapsed="false">
      <c r="A80" s="17" t="str">
        <f aca="false">IF('Все позиции'!A244="","",'Все позиции'!A244)</f>
        <v>6. Вентиляция 2 этаж</v>
      </c>
      <c r="B80" s="17" t="str">
        <f aca="false">IF('Все позиции'!B244="","",'Все позиции'!B244)</f>
        <v>6.4</v>
      </c>
      <c r="C80" s="18" t="str">
        <f aca="false">IF('Все позиции'!C244="","",'Все позиции'!C244)</f>
        <v>Диффузор круглый, Ø100 ЛК 100</v>
      </c>
      <c r="D80" s="17" t="str">
        <f aca="false">IF('Все позиции'!D244="","",'Все позиции'!D244)</f>
        <v>шт.</v>
      </c>
      <c r="E80" s="19" t="n">
        <f aca="false">IF('Все позиции'!E244="","",'Все позиции'!E244)</f>
        <v>8</v>
      </c>
      <c r="F80" s="20" t="n">
        <f aca="false">IF('Все позиции'!F244="","",'Все позиции'!F244)</f>
        <v>1296</v>
      </c>
      <c r="G80" s="19" t="n">
        <f aca="false">IF('Все позиции'!H244="","",'Все позиции'!H244)</f>
        <v>8</v>
      </c>
      <c r="H80" s="20" t="n">
        <f aca="false">IF('Все позиции'!L244="","",'Все позиции'!L244)</f>
        <v>600</v>
      </c>
      <c r="I80" s="21" t="n">
        <f aca="false">IF('Все позиции'!O244="","",'Все позиции'!O244)</f>
        <v>-0.537037037037037</v>
      </c>
      <c r="J80" s="20" t="n">
        <f aca="false">IF('Все позиции'!G244="","",'Все позиции'!G244)</f>
        <v>10368</v>
      </c>
      <c r="K80" s="20" t="n">
        <f aca="false">IF('Все позиции'!M244="","",'Все позиции'!M244)</f>
        <v>4800</v>
      </c>
      <c r="L80" s="22" t="n">
        <f aca="false">IF('Все позиции'!N244="","",'Все позиции'!N244)</f>
        <v>-5568</v>
      </c>
      <c r="M80" s="17" t="str">
        <f aca="false">IF('Все позиции'!P244="","",'Все позиции'!P244)</f>
        <v>Цена снижена</v>
      </c>
      <c r="N80" s="18" t="str">
        <f aca="false">IF('Все позиции'!Q244="","",'Все позиции'!Q244)</f>
        <v>по договору</v>
      </c>
      <c r="O80" s="18" t="str">
        <f aca="false">IF('Все позиции'!R244="","",'Все позиции'!R244)</f>
        <v/>
      </c>
    </row>
    <row r="81" customFormat="false" ht="26.85" hidden="false" customHeight="false" outlineLevel="0" collapsed="false">
      <c r="A81" s="17" t="str">
        <f aca="false">IF('Все позиции'!A137="","",'Все позиции'!A137)</f>
        <v>4. Вентиляция 10 этаж</v>
      </c>
      <c r="B81" s="17" t="str">
        <f aca="false">IF('Все позиции'!B137="","",'Все позиции'!B137)</f>
        <v>4.24</v>
      </c>
      <c r="C81" s="18" t="str">
        <f aca="false">IF('Все позиции'!C137="","",'Все позиции'!C137)</f>
        <v>Воздуховод из оцинкованной стали толщиной 0,5мм, класса «В», Ø125</v>
      </c>
      <c r="D81" s="17" t="str">
        <f aca="false">IF('Все позиции'!D137="","",'Все позиции'!D137)</f>
        <v>мп</v>
      </c>
      <c r="E81" s="19" t="n">
        <f aca="false">IF('Все позиции'!E137="","",'Все позиции'!E137)</f>
        <v>7</v>
      </c>
      <c r="F81" s="20" t="n">
        <f aca="false">IF('Все позиции'!F137="","",'Все позиции'!F137)</f>
        <v>1360.8</v>
      </c>
      <c r="G81" s="19" t="n">
        <f aca="false">IF('Все позиции'!H137="","",'Все позиции'!H137)</f>
        <v>7</v>
      </c>
      <c r="H81" s="20" t="n">
        <f aca="false">IF('Все позиции'!L137="","",'Все позиции'!L137)</f>
        <v>689.79</v>
      </c>
      <c r="I81" s="21" t="n">
        <f aca="false">IF('Все позиции'!O137="","",'Все позиции'!O137)</f>
        <v>-0.493099647266314</v>
      </c>
      <c r="J81" s="20" t="n">
        <f aca="false">IF('Все позиции'!G137="","",'Все позиции'!G137)</f>
        <v>9525.6</v>
      </c>
      <c r="K81" s="20" t="n">
        <f aca="false">IF('Все позиции'!M137="","",'Все позиции'!M137)</f>
        <v>4828.53</v>
      </c>
      <c r="L81" s="22" t="n">
        <f aca="false">IF('Все позиции'!N137="","",'Все позиции'!N137)</f>
        <v>-4697.07</v>
      </c>
      <c r="M81" s="17" t="str">
        <f aca="false">IF('Все позиции'!P137="","",'Все позиции'!P137)</f>
        <v>Цена снижена</v>
      </c>
      <c r="N81" s="18" t="str">
        <f aca="false">IF('Все позиции'!Q137="","",'Все позиции'!Q137)</f>
        <v>по договору</v>
      </c>
      <c r="O81" s="18" t="str">
        <f aca="false">IF('Все позиции'!R137="","",'Все позиции'!R137)</f>
        <v/>
      </c>
    </row>
    <row r="82" customFormat="false" ht="15" hidden="false" customHeight="false" outlineLevel="0" collapsed="false">
      <c r="A82" s="17" t="str">
        <f aca="false">IF('Все позиции'!A248="","",'Все позиции'!A248)</f>
        <v>6. Вентиляция 2 этаж</v>
      </c>
      <c r="B82" s="17" t="str">
        <f aca="false">IF('Все позиции'!B248="","",'Все позиции'!B248)</f>
        <v>6.8</v>
      </c>
      <c r="C82" s="18" t="str">
        <f aca="false">IF('Все позиции'!C248="","",'Все позиции'!C248)</f>
        <v>Регулятор расхода воздуха, Ø100 КВК 100</v>
      </c>
      <c r="D82" s="17" t="str">
        <f aca="false">IF('Все позиции'!D248="","",'Все позиции'!D248)</f>
        <v>шт.</v>
      </c>
      <c r="E82" s="19" t="n">
        <f aca="false">IF('Все позиции'!E248="","",'Все позиции'!E248)</f>
        <v>11</v>
      </c>
      <c r="F82" s="20" t="n">
        <f aca="false">IF('Все позиции'!F248="","",'Все позиции'!F248)</f>
        <v>1377</v>
      </c>
      <c r="G82" s="19" t="n">
        <f aca="false">IF('Все позиции'!H248="","",'Все позиции'!H248)</f>
        <v>11</v>
      </c>
      <c r="H82" s="20" t="n">
        <f aca="false">IF('Все позиции'!L248="","",'Все позиции'!L248)</f>
        <v>950</v>
      </c>
      <c r="I82" s="21" t="n">
        <f aca="false">IF('Все позиции'!O248="","",'Все позиции'!O248)</f>
        <v>-0.310094408133624</v>
      </c>
      <c r="J82" s="20" t="n">
        <f aca="false">IF('Все позиции'!G248="","",'Все позиции'!G248)</f>
        <v>15147</v>
      </c>
      <c r="K82" s="20" t="n">
        <f aca="false">IF('Все позиции'!M248="","",'Все позиции'!M248)</f>
        <v>10450</v>
      </c>
      <c r="L82" s="22" t="n">
        <f aca="false">IF('Все позиции'!N248="","",'Все позиции'!N248)</f>
        <v>-4697</v>
      </c>
      <c r="M82" s="17" t="str">
        <f aca="false">IF('Все позиции'!P248="","",'Все позиции'!P248)</f>
        <v>Цена снижена</v>
      </c>
      <c r="N82" s="18" t="str">
        <f aca="false">IF('Все позиции'!Q248="","",'Все позиции'!Q248)</f>
        <v>по договору</v>
      </c>
      <c r="O82" s="18" t="str">
        <f aca="false">IF('Все позиции'!R248="","",'Все позиции'!R248)</f>
        <v/>
      </c>
    </row>
    <row r="83" customFormat="false" ht="64.9" hidden="false" customHeight="false" outlineLevel="0" collapsed="false">
      <c r="A83" s="17" t="str">
        <f aca="false">IF('Все позиции'!A124="","",'Все позиции'!A124)</f>
        <v>4. Вентиляция 10 этаж</v>
      </c>
      <c r="B83" s="17" t="str">
        <f aca="false">IF('Все позиции'!B124="","",'Все позиции'!B124)</f>
        <v>4.11</v>
      </c>
      <c r="C83" s="18" t="str">
        <f aca="false">IF('Все позиции'!C124="","",'Все позиции'!C124)</f>
        <v>Адаптер для щелевой решетки с регулятором расхода, подключение 160мм два патрубка и увеличенным патрубком, 1000мм Адаптер для ЛРЩ 22-1-1500 y=67мм + подключение 2х160мм + заслонка</v>
      </c>
      <c r="D83" s="17" t="str">
        <f aca="false">IF('Все позиции'!D124="","",'Все позиции'!D124)</f>
        <v>шт.</v>
      </c>
      <c r="E83" s="19" t="n">
        <f aca="false">IF('Все позиции'!E124="","",'Все позиции'!E124)</f>
        <v>1</v>
      </c>
      <c r="F83" s="20" t="n">
        <f aca="false">IF('Все позиции'!F124="","",'Все позиции'!F124)</f>
        <v>6156</v>
      </c>
      <c r="G83" s="19" t="n">
        <f aca="false">IF('Все позиции'!H124="","",'Все позиции'!H124)</f>
        <v>1</v>
      </c>
      <c r="H83" s="20" t="n">
        <f aca="false">IF('Все позиции'!L124="","",'Все позиции'!L124)</f>
        <v>1500</v>
      </c>
      <c r="I83" s="21" t="n">
        <f aca="false">IF('Все позиции'!O124="","",'Все позиции'!O124)</f>
        <v>-0.756335282651072</v>
      </c>
      <c r="J83" s="20" t="n">
        <f aca="false">IF('Все позиции'!G124="","",'Все позиции'!G124)</f>
        <v>6156</v>
      </c>
      <c r="K83" s="20" t="n">
        <f aca="false">IF('Все позиции'!M124="","",'Все позиции'!M124)</f>
        <v>1500</v>
      </c>
      <c r="L83" s="22" t="n">
        <f aca="false">IF('Все позиции'!N124="","",'Все позиции'!N124)</f>
        <v>-4656</v>
      </c>
      <c r="M83" s="17" t="str">
        <f aca="false">IF('Все позиции'!P124="","",'Все позиции'!P124)</f>
        <v>Цена снижена</v>
      </c>
      <c r="N83" s="18" t="str">
        <f aca="false">IF('Все позиции'!Q124="","",'Все позиции'!Q124)</f>
        <v>расценка сильно завышена</v>
      </c>
      <c r="O83" s="18" t="str">
        <f aca="false">IF('Все позиции'!R124="","",'Все позиции'!R124)</f>
        <v/>
      </c>
    </row>
    <row r="84" customFormat="false" ht="39.55" hidden="false" customHeight="false" outlineLevel="0" collapsed="false">
      <c r="A84" s="17" t="str">
        <f aca="false">IF('Все позиции'!A126="","",'Все позиции'!A126)</f>
        <v>4. Вентиляция 10 этаж</v>
      </c>
      <c r="B84" s="17" t="str">
        <f aca="false">IF('Все позиции'!B126="","",'Все позиции'!B126)</f>
        <v>4.13</v>
      </c>
      <c r="C84" s="18" t="str">
        <f aca="false">IF('Все позиции'!C126="","",'Все позиции'!C126)</f>
        <v>Адаптер для щелевой решетки с регулятором расхода и увеличенным патрубком, 500мм Адаптер для ЛРЩ 22-1-500 y=67мм + заслонка</v>
      </c>
      <c r="D84" s="17" t="str">
        <f aca="false">IF('Все позиции'!D126="","",'Все позиции'!D126)</f>
        <v>шт.</v>
      </c>
      <c r="E84" s="19" t="n">
        <f aca="false">IF('Все позиции'!E126="","",'Все позиции'!E126)</f>
        <v>1</v>
      </c>
      <c r="F84" s="20" t="n">
        <f aca="false">IF('Все позиции'!F126="","",'Все позиции'!F126)</f>
        <v>6156</v>
      </c>
      <c r="G84" s="19" t="n">
        <f aca="false">IF('Все позиции'!H126="","",'Все позиции'!H126)</f>
        <v>1</v>
      </c>
      <c r="H84" s="20" t="n">
        <f aca="false">IF('Все позиции'!L126="","",'Все позиции'!L126)</f>
        <v>1500</v>
      </c>
      <c r="I84" s="21" t="n">
        <f aca="false">IF('Все позиции'!O126="","",'Все позиции'!O126)</f>
        <v>-0.756335282651072</v>
      </c>
      <c r="J84" s="20" t="n">
        <f aca="false">IF('Все позиции'!G126="","",'Все позиции'!G126)</f>
        <v>6156</v>
      </c>
      <c r="K84" s="20" t="n">
        <f aca="false">IF('Все позиции'!M126="","",'Все позиции'!M126)</f>
        <v>1500</v>
      </c>
      <c r="L84" s="22" t="n">
        <f aca="false">IF('Все позиции'!N126="","",'Все позиции'!N126)</f>
        <v>-4656</v>
      </c>
      <c r="M84" s="17" t="str">
        <f aca="false">IF('Все позиции'!P126="","",'Все позиции'!P126)</f>
        <v>Цена снижена</v>
      </c>
      <c r="N84" s="18" t="str">
        <f aca="false">IF('Все позиции'!Q126="","",'Все позиции'!Q126)</f>
        <v>расценка сильно завышена</v>
      </c>
      <c r="O84" s="18" t="str">
        <f aca="false">IF('Все позиции'!R126="","",'Все позиции'!R126)</f>
        <v/>
      </c>
    </row>
    <row r="85" customFormat="false" ht="26.85" hidden="false" customHeight="false" outlineLevel="0" collapsed="false">
      <c r="A85" s="17" t="str">
        <f aca="false">IF('Все позиции'!A324="","",'Все позиции'!A324)</f>
        <v>7. Холодоснабжение 2 этаж</v>
      </c>
      <c r="B85" s="17" t="str">
        <f aca="false">IF('Все позиции'!B324="","",'Все позиции'!B324)</f>
        <v>7.4</v>
      </c>
      <c r="C85" s="18" t="str">
        <f aca="false">IF('Все позиции'!C324="","",'Все позиции'!C324)</f>
        <v>Воздухоотводчик автоматический, Ду15 Airvent-R</v>
      </c>
      <c r="D85" s="17" t="str">
        <f aca="false">IF('Все позиции'!D324="","",'Все позиции'!D324)</f>
        <v>шт.</v>
      </c>
      <c r="E85" s="19" t="n">
        <f aca="false">IF('Все позиции'!E324="","",'Все позиции'!E324)</f>
        <v>4</v>
      </c>
      <c r="F85" s="20" t="n">
        <f aca="false">IF('Все позиции'!F324="","",'Все позиции'!F324)</f>
        <v>1620</v>
      </c>
      <c r="G85" s="19" t="n">
        <f aca="false">IF('Все позиции'!H324="","",'Все позиции'!H324)</f>
        <v>4</v>
      </c>
      <c r="H85" s="20" t="n">
        <f aca="false">IF('Все позиции'!L324="","",'Все позиции'!L324)</f>
        <v>500</v>
      </c>
      <c r="I85" s="21" t="n">
        <f aca="false">IF('Все позиции'!O324="","",'Все позиции'!O324)</f>
        <v>-0.691358024691358</v>
      </c>
      <c r="J85" s="20" t="n">
        <f aca="false">IF('Все позиции'!G324="","",'Все позиции'!G324)</f>
        <v>6480</v>
      </c>
      <c r="K85" s="20" t="n">
        <f aca="false">IF('Все позиции'!M324="","",'Все позиции'!M324)</f>
        <v>2000</v>
      </c>
      <c r="L85" s="22" t="n">
        <f aca="false">IF('Все позиции'!N324="","",'Все позиции'!N324)</f>
        <v>-4480</v>
      </c>
      <c r="M85" s="17" t="str">
        <f aca="false">IF('Все позиции'!P324="","",'Все позиции'!P324)</f>
        <v>Цена снижена</v>
      </c>
      <c r="N85" s="18" t="str">
        <f aca="false">IF('Все позиции'!Q324="","",'Все позиции'!Q324)</f>
        <v>по договру</v>
      </c>
      <c r="O85" s="18" t="str">
        <f aca="false">IF('Все позиции'!R324="","",'Все позиции'!R324)</f>
        <v/>
      </c>
    </row>
    <row r="86" customFormat="false" ht="26.85" hidden="false" customHeight="false" outlineLevel="0" collapsed="false">
      <c r="A86" s="17" t="str">
        <f aca="false">IF('Все позиции'!A139="","",'Все позиции'!A139)</f>
        <v>4. Вентиляция 10 этаж</v>
      </c>
      <c r="B86" s="17" t="str">
        <f aca="false">IF('Все позиции'!B139="","",'Все позиции'!B139)</f>
        <v>4.26</v>
      </c>
      <c r="C86" s="18" t="str">
        <f aca="false">IF('Все позиции'!C139="","",'Все позиции'!C139)</f>
        <v>Воздуховод из оцинкованной стали толщиной 0,5мм, класса «В», Ø200</v>
      </c>
      <c r="D86" s="17" t="str">
        <f aca="false">IF('Все позиции'!D139="","",'Все позиции'!D139)</f>
        <v>мп</v>
      </c>
      <c r="E86" s="19" t="n">
        <f aca="false">IF('Все позиции'!E139="","",'Все позиции'!E139)</f>
        <v>15</v>
      </c>
      <c r="F86" s="20" t="n">
        <f aca="false">IF('Все позиции'!F139="","",'Все позиции'!F139)</f>
        <v>1360.8</v>
      </c>
      <c r="G86" s="19" t="n">
        <f aca="false">IF('Все позиции'!H139="","",'Все позиции'!H139)</f>
        <v>15</v>
      </c>
      <c r="H86" s="20" t="n">
        <f aca="false">IF('Все позиции'!L139="","",'Все позиции'!L139)</f>
        <v>1077.79</v>
      </c>
      <c r="I86" s="21" t="n">
        <f aca="false">IF('Все позиции'!O139="","",'Все позиции'!O139)</f>
        <v>-0.207973251028807</v>
      </c>
      <c r="J86" s="20" t="n">
        <f aca="false">IF('Все позиции'!G139="","",'Все позиции'!G139)</f>
        <v>20412</v>
      </c>
      <c r="K86" s="20" t="n">
        <f aca="false">IF('Все позиции'!M139="","",'Все позиции'!M139)</f>
        <v>16166.85</v>
      </c>
      <c r="L86" s="22" t="n">
        <f aca="false">IF('Все позиции'!N139="","",'Все позиции'!N139)</f>
        <v>-4245.15</v>
      </c>
      <c r="M86" s="17" t="str">
        <f aca="false">IF('Все позиции'!P139="","",'Все позиции'!P139)</f>
        <v>Цена снижена</v>
      </c>
      <c r="N86" s="18" t="str">
        <f aca="false">IF('Все позиции'!Q139="","",'Все позиции'!Q139)</f>
        <v>по договору</v>
      </c>
      <c r="O86" s="18" t="str">
        <f aca="false">IF('Все позиции'!R139="","",'Все позиции'!R139)</f>
        <v/>
      </c>
    </row>
    <row r="87" customFormat="false" ht="64.9" hidden="false" customHeight="false" outlineLevel="0" collapsed="false">
      <c r="A87" s="17" t="str">
        <f aca="false">IF('Все позиции'!A122="","",'Все позиции'!A122)</f>
        <v>4. Вентиляция 10 этаж</v>
      </c>
      <c r="B87" s="17" t="str">
        <f aca="false">IF('Все позиции'!B122="","",'Все позиции'!B122)</f>
        <v>4.9</v>
      </c>
      <c r="C87" s="18" t="str">
        <f aca="false">IF('Все позиции'!C122="","",'Все позиции'!C122)</f>
        <v>Адаптер для щелевой решетки с регулятором расхода, подключение 160мм два патрубка и увеличенным патрубком, 1000мм Адаптер для ЛРЩ 22-1-1400 y=67мм + подключение 2х160мм + заслонка</v>
      </c>
      <c r="D87" s="17" t="str">
        <f aca="false">IF('Все позиции'!D122="","",'Все позиции'!D122)</f>
        <v>шт.</v>
      </c>
      <c r="E87" s="19" t="n">
        <f aca="false">IF('Все позиции'!E122="","",'Все позиции'!E122)</f>
        <v>1</v>
      </c>
      <c r="F87" s="20" t="n">
        <f aca="false">IF('Все позиции'!F122="","",'Все позиции'!F122)</f>
        <v>5670</v>
      </c>
      <c r="G87" s="19" t="n">
        <f aca="false">IF('Все позиции'!H122="","",'Все позиции'!H122)</f>
        <v>1</v>
      </c>
      <c r="H87" s="20" t="n">
        <f aca="false">IF('Все позиции'!L122="","",'Все позиции'!L122)</f>
        <v>1500</v>
      </c>
      <c r="I87" s="21" t="n">
        <f aca="false">IF('Все позиции'!O122="","",'Все позиции'!O122)</f>
        <v>-0.735449735449736</v>
      </c>
      <c r="J87" s="20" t="n">
        <f aca="false">IF('Все позиции'!G122="","",'Все позиции'!G122)</f>
        <v>5670</v>
      </c>
      <c r="K87" s="20" t="n">
        <f aca="false">IF('Все позиции'!M122="","",'Все позиции'!M122)</f>
        <v>1500</v>
      </c>
      <c r="L87" s="22" t="n">
        <f aca="false">IF('Все позиции'!N122="","",'Все позиции'!N122)</f>
        <v>-4170</v>
      </c>
      <c r="M87" s="17" t="str">
        <f aca="false">IF('Все позиции'!P122="","",'Все позиции'!P122)</f>
        <v>Цена снижена</v>
      </c>
      <c r="N87" s="18" t="str">
        <f aca="false">IF('Все позиции'!Q122="","",'Все позиции'!Q122)</f>
        <v>расценка сильно завышена</v>
      </c>
      <c r="O87" s="18" t="str">
        <f aca="false">IF('Все позиции'!R122="","",'Все позиции'!R122)</f>
        <v/>
      </c>
    </row>
    <row r="88" customFormat="false" ht="26.85" hidden="false" customHeight="false" outlineLevel="0" collapsed="false">
      <c r="A88" s="17" t="str">
        <f aca="false">IF('Все позиции'!A291="","",'Все позиции'!A291)</f>
        <v>6. Вентиляция 2 этаж</v>
      </c>
      <c r="B88" s="17" t="str">
        <f aca="false">IF('Все позиции'!B291="","",'Все позиции'!B291)</f>
        <v>6.51</v>
      </c>
      <c r="C88" s="18" t="str">
        <f aca="false">IF('Все позиции'!C291="","",'Все позиции'!C291)</f>
        <v>Врезка плоская из оцинкованной стали толщиной 0,5мм, класса «В», Ø200</v>
      </c>
      <c r="D88" s="17" t="str">
        <f aca="false">IF('Все позиции'!D291="","",'Все позиции'!D291)</f>
        <v>шт.</v>
      </c>
      <c r="E88" s="19" t="n">
        <f aca="false">IF('Все позиции'!E291="","",'Все позиции'!E291)</f>
        <v>22</v>
      </c>
      <c r="F88" s="20" t="n">
        <f aca="false">IF('Все позиции'!F291="","",'Все позиции'!F291)</f>
        <v>1020</v>
      </c>
      <c r="G88" s="19" t="n">
        <f aca="false">IF('Все позиции'!H291="","",'Все позиции'!H291)</f>
        <v>22</v>
      </c>
      <c r="H88" s="20" t="n">
        <f aca="false">IF('Все позиции'!L291="","",'Все позиции'!L291)</f>
        <v>855</v>
      </c>
      <c r="I88" s="21" t="n">
        <f aca="false">IF('Все позиции'!O291="","",'Все позиции'!O291)</f>
        <v>-0.161764705882353</v>
      </c>
      <c r="J88" s="20" t="n">
        <f aca="false">IF('Все позиции'!G291="","",'Все позиции'!G291)</f>
        <v>22440</v>
      </c>
      <c r="K88" s="20" t="n">
        <f aca="false">IF('Все позиции'!M291="","",'Все позиции'!M291)</f>
        <v>18810</v>
      </c>
      <c r="L88" s="22" t="n">
        <f aca="false">IF('Все позиции'!N291="","",'Все позиции'!N291)</f>
        <v>-3630</v>
      </c>
      <c r="M88" s="17" t="str">
        <f aca="false">IF('Все позиции'!P291="","",'Все позиции'!P291)</f>
        <v>Цена снижена</v>
      </c>
      <c r="N88" s="18" t="str">
        <f aca="false">IF('Все позиции'!Q291="","",'Все позиции'!Q291)</f>
        <v>по договру</v>
      </c>
      <c r="O88" s="18" t="str">
        <f aca="false">IF('Все позиции'!R291="","",'Все позиции'!R291)</f>
        <v/>
      </c>
    </row>
    <row r="89" customFormat="false" ht="26.85" hidden="false" customHeight="false" outlineLevel="0" collapsed="false">
      <c r="A89" s="17" t="str">
        <f aca="false">IF('Все позиции'!A206="","",'Все позиции'!A206)</f>
        <v>5. Холодоснабжение 10 этаж</v>
      </c>
      <c r="B89" s="17" t="str">
        <f aca="false">IF('Все позиции'!B206="","",'Все позиции'!B206)</f>
        <v>5.3</v>
      </c>
      <c r="C89" s="18" t="str">
        <f aca="false">IF('Все позиции'!C206="","",'Все позиции'!C206)</f>
        <v>Воздухоотводчик автоматический, Ду15 Airvent-R</v>
      </c>
      <c r="D89" s="17" t="str">
        <f aca="false">IF('Все позиции'!D206="","",'Все позиции'!D206)</f>
        <v>шт.</v>
      </c>
      <c r="E89" s="19" t="n">
        <f aca="false">IF('Все позиции'!E206="","",'Все позиции'!E206)</f>
        <v>3</v>
      </c>
      <c r="F89" s="20" t="n">
        <f aca="false">IF('Все позиции'!F206="","",'Все позиции'!F206)</f>
        <v>1620</v>
      </c>
      <c r="G89" s="19" t="n">
        <f aca="false">IF('Все позиции'!H206="","",'Все позиции'!H206)</f>
        <v>3</v>
      </c>
      <c r="H89" s="20" t="n">
        <f aca="false">IF('Все позиции'!L206="","",'Все позиции'!L206)</f>
        <v>500</v>
      </c>
      <c r="I89" s="21" t="n">
        <f aca="false">IF('Все позиции'!O206="","",'Все позиции'!O206)</f>
        <v>-0.691358024691358</v>
      </c>
      <c r="J89" s="20" t="n">
        <f aca="false">IF('Все позиции'!G206="","",'Все позиции'!G206)</f>
        <v>4860</v>
      </c>
      <c r="K89" s="20" t="n">
        <f aca="false">IF('Все позиции'!M206="","",'Все позиции'!M206)</f>
        <v>1500</v>
      </c>
      <c r="L89" s="22" t="n">
        <f aca="false">IF('Все позиции'!N206="","",'Все позиции'!N206)</f>
        <v>-3360</v>
      </c>
      <c r="M89" s="17" t="str">
        <f aca="false">IF('Все позиции'!P206="","",'Все позиции'!P206)</f>
        <v>Цена снижена</v>
      </c>
      <c r="N89" s="18" t="str">
        <f aca="false">IF('Все позиции'!Q206="","",'Все позиции'!Q206)</f>
        <v>по договру</v>
      </c>
      <c r="O89" s="18" t="str">
        <f aca="false">IF('Все позиции'!R206="","",'Все позиции'!R206)</f>
        <v/>
      </c>
    </row>
    <row r="90" customFormat="false" ht="15" hidden="false" customHeight="false" outlineLevel="0" collapsed="false">
      <c r="A90" s="23" t="str">
        <f aca="false">IF('Все позиции'!A241="","",'Все позиции'!A241)</f>
        <v>6. Вентиляция 2 этаж</v>
      </c>
      <c r="B90" s="23" t="str">
        <f aca="false">IF('Все позиции'!B241="","",'Все позиции'!B241)</f>
        <v>6.1</v>
      </c>
      <c r="C90" s="24" t="str">
        <f aca="false">IF('Все позиции'!C241="","",'Все позиции'!C241)</f>
        <v>Решетка защитная круглая, Ø100 БСК 100</v>
      </c>
      <c r="D90" s="23" t="str">
        <f aca="false">IF('Все позиции'!D241="","",'Все позиции'!D241)</f>
        <v>шт.</v>
      </c>
      <c r="E90" s="25" t="n">
        <f aca="false">IF('Все позиции'!E241="","",'Все позиции'!E241)</f>
        <v>3</v>
      </c>
      <c r="F90" s="26" t="n">
        <f aca="false">IF('Все позиции'!F241="","",'Все позиции'!F241)</f>
        <v>1296</v>
      </c>
      <c r="G90" s="25" t="n">
        <f aca="false">IF('Все позиции'!H241="","",'Все позиции'!H241)</f>
        <v>3</v>
      </c>
      <c r="H90" s="26" t="n">
        <f aca="false">IF('Все позиции'!L241="","",'Все позиции'!L241)</f>
        <v>185</v>
      </c>
      <c r="I90" s="27" t="n">
        <f aca="false">IF('Все позиции'!O241="","",'Все позиции'!O241)</f>
        <v>-0.857253086419753</v>
      </c>
      <c r="J90" s="26" t="n">
        <f aca="false">IF('Все позиции'!G241="","",'Все позиции'!G241)</f>
        <v>3888</v>
      </c>
      <c r="K90" s="26" t="n">
        <f aca="false">IF('Все позиции'!M241="","",'Все позиции'!M241)</f>
        <v>555</v>
      </c>
      <c r="L90" s="28" t="n">
        <f aca="false">IF('Все позиции'!N241="","",'Все позиции'!N241)</f>
        <v>-3333</v>
      </c>
      <c r="M90" s="23" t="str">
        <f aca="false">IF('Все позиции'!P241="","",'Все позиции'!P241)</f>
        <v>Снижение предложено, но не внесено в итог</v>
      </c>
      <c r="N90" s="24" t="str">
        <f aca="false">IF('Все позиции'!Q241="","",'Все позиции'!Q241)</f>
        <v>по договору</v>
      </c>
      <c r="O90" s="24" t="str">
        <f aca="false">IF('Все позиции'!R241="","",'Все позиции'!R241)</f>
        <v/>
      </c>
    </row>
    <row r="91" customFormat="false" ht="26.85" hidden="false" customHeight="false" outlineLevel="0" collapsed="false">
      <c r="A91" s="17" t="str">
        <f aca="false">IF('Все позиции'!A304="","",'Все позиции'!A304)</f>
        <v>6. Вентиляция 2 этаж</v>
      </c>
      <c r="B91" s="17" t="str">
        <f aca="false">IF('Все позиции'!B304="","",'Все позиции'!B304)</f>
        <v>6.64</v>
      </c>
      <c r="C91" s="18" t="str">
        <f aca="false">IF('Все позиции'!C304="","",'Все позиции'!C304)</f>
        <v>Заглушка из оцинкованной стали толщиной 0,7мм, класса «В», 400x200</v>
      </c>
      <c r="D91" s="17" t="str">
        <f aca="false">IF('Все позиции'!D304="","",'Все позиции'!D304)</f>
        <v>шт.</v>
      </c>
      <c r="E91" s="19" t="n">
        <f aca="false">IF('Все позиции'!E304="","",'Все позиции'!E304)</f>
        <v>2</v>
      </c>
      <c r="F91" s="20" t="n">
        <f aca="false">IF('Все позиции'!F304="","",'Все позиции'!F304)</f>
        <v>1944</v>
      </c>
      <c r="G91" s="19" t="n">
        <f aca="false">IF('Все позиции'!H304="","",'Все позиции'!H304)</f>
        <v>2</v>
      </c>
      <c r="H91" s="20" t="n">
        <f aca="false">IF('Все позиции'!L304="","",'Все позиции'!L304)</f>
        <v>370</v>
      </c>
      <c r="I91" s="21" t="n">
        <f aca="false">IF('Все позиции'!O304="","",'Все позиции'!O304)</f>
        <v>-0.809670781893004</v>
      </c>
      <c r="J91" s="20" t="n">
        <f aca="false">IF('Все позиции'!G304="","",'Все позиции'!G304)</f>
        <v>3888</v>
      </c>
      <c r="K91" s="20" t="n">
        <f aca="false">IF('Все позиции'!M304="","",'Все позиции'!M304)</f>
        <v>740</v>
      </c>
      <c r="L91" s="22" t="n">
        <f aca="false">IF('Все позиции'!N304="","",'Все позиции'!N304)</f>
        <v>-3148</v>
      </c>
      <c r="M91" s="17" t="str">
        <f aca="false">IF('Все позиции'!P304="","",'Все позиции'!P304)</f>
        <v>Цена снижена</v>
      </c>
      <c r="N91" s="18" t="str">
        <f aca="false">IF('Все позиции'!Q304="","",'Все позиции'!Q304)</f>
        <v/>
      </c>
      <c r="O91" s="18" t="str">
        <f aca="false">IF('Все позиции'!R304="","",'Все позиции'!R304)</f>
        <v/>
      </c>
    </row>
    <row r="92" customFormat="false" ht="26.85" hidden="false" customHeight="false" outlineLevel="0" collapsed="false">
      <c r="A92" s="17" t="str">
        <f aca="false">IF('Все позиции'!A302="","",'Все позиции'!A302)</f>
        <v>6. Вентиляция 2 этаж</v>
      </c>
      <c r="B92" s="17" t="str">
        <f aca="false">IF('Все позиции'!B302="","",'Все позиции'!B302)</f>
        <v>6.62</v>
      </c>
      <c r="C92" s="18" t="str">
        <f aca="false">IF('Все позиции'!C302="","",'Все позиции'!C302)</f>
        <v>Переход из оцинкованной стали толщиной 0,7мм, класса «В», 700x200/600x250</v>
      </c>
      <c r="D92" s="17" t="str">
        <f aca="false">IF('Все позиции'!D302="","",'Все позиции'!D302)</f>
        <v>шт.</v>
      </c>
      <c r="E92" s="19" t="n">
        <f aca="false">IF('Все позиции'!E302="","",'Все позиции'!E302)</f>
        <v>2</v>
      </c>
      <c r="F92" s="20" t="n">
        <f aca="false">IF('Все позиции'!F302="","",'Все позиции'!F302)</f>
        <v>2592</v>
      </c>
      <c r="G92" s="19" t="n">
        <f aca="false">IF('Все позиции'!H302="","",'Все позиции'!H302)</f>
        <v>2</v>
      </c>
      <c r="H92" s="20" t="n">
        <f aca="false">IF('Все позиции'!L302="","",'Все позиции'!L302)</f>
        <v>1020</v>
      </c>
      <c r="I92" s="21" t="n">
        <f aca="false">IF('Все позиции'!O302="","",'Все позиции'!O302)</f>
        <v>-0.606481481481481</v>
      </c>
      <c r="J92" s="20" t="n">
        <f aca="false">IF('Все позиции'!G302="","",'Все позиции'!G302)</f>
        <v>5184</v>
      </c>
      <c r="K92" s="20" t="n">
        <f aca="false">IF('Все позиции'!M302="","",'Все позиции'!M302)</f>
        <v>2040</v>
      </c>
      <c r="L92" s="22" t="n">
        <f aca="false">IF('Все позиции'!N302="","",'Все позиции'!N302)</f>
        <v>-3144</v>
      </c>
      <c r="M92" s="17" t="str">
        <f aca="false">IF('Все позиции'!P302="","",'Все позиции'!P302)</f>
        <v>Цена снижена</v>
      </c>
      <c r="N92" s="18" t="str">
        <f aca="false">IF('Все позиции'!Q302="","",'Все позиции'!Q302)</f>
        <v/>
      </c>
      <c r="O92" s="18" t="str">
        <f aca="false">IF('Все позиции'!R302="","",'Все позиции'!R302)</f>
        <v/>
      </c>
    </row>
    <row r="93" customFormat="false" ht="26.85" hidden="false" customHeight="false" outlineLevel="0" collapsed="false">
      <c r="A93" s="17" t="str">
        <f aca="false">IF('Все позиции'!A271="","",'Все позиции'!A271)</f>
        <v>6. Вентиляция 2 этаж</v>
      </c>
      <c r="B93" s="17" t="str">
        <f aca="false">IF('Все позиции'!B271="","",'Все позиции'!B271)</f>
        <v>6.31</v>
      </c>
      <c r="C93" s="18" t="str">
        <f aca="false">IF('Все позиции'!C271="","",'Все позиции'!C271)</f>
        <v>Отвод 300 из оцинкованной стали толщиной 0,7мм, класса «В», 300x200</v>
      </c>
      <c r="D93" s="17" t="str">
        <f aca="false">IF('Все позиции'!D271="","",'Все позиции'!D271)</f>
        <v>шт.</v>
      </c>
      <c r="E93" s="19" t="n">
        <f aca="false">IF('Все позиции'!E271="","",'Все позиции'!E271)</f>
        <v>4</v>
      </c>
      <c r="F93" s="20" t="n">
        <f aca="false">IF('Все позиции'!F271="","",'Все позиции'!F271)</f>
        <v>1620</v>
      </c>
      <c r="G93" s="19" t="n">
        <f aca="false">IF('Все позиции'!H271="","",'Все позиции'!H271)</f>
        <v>4</v>
      </c>
      <c r="H93" s="20" t="n">
        <f aca="false">IF('Все позиции'!L271="","",'Все позиции'!L271)</f>
        <v>850</v>
      </c>
      <c r="I93" s="21" t="n">
        <f aca="false">IF('Все позиции'!O271="","",'Все позиции'!O271)</f>
        <v>-0.475308641975309</v>
      </c>
      <c r="J93" s="20" t="n">
        <f aca="false">IF('Все позиции'!G271="","",'Все позиции'!G271)</f>
        <v>6480</v>
      </c>
      <c r="K93" s="20" t="n">
        <f aca="false">IF('Все позиции'!M271="","",'Все позиции'!M271)</f>
        <v>3400</v>
      </c>
      <c r="L93" s="22" t="n">
        <f aca="false">IF('Все позиции'!N271="","",'Все позиции'!N271)</f>
        <v>-3080</v>
      </c>
      <c r="M93" s="17" t="str">
        <f aca="false">IF('Все позиции'!P271="","",'Все позиции'!P271)</f>
        <v>Цена снижена</v>
      </c>
      <c r="N93" s="18" t="str">
        <f aca="false">IF('Все позиции'!Q271="","",'Все позиции'!Q271)</f>
        <v/>
      </c>
      <c r="O93" s="18" t="str">
        <f aca="false">IF('Все позиции'!R271="","",'Все позиции'!R271)</f>
        <v/>
      </c>
    </row>
    <row r="94" customFormat="false" ht="15" hidden="false" customHeight="false" outlineLevel="0" collapsed="false">
      <c r="A94" s="17" t="str">
        <f aca="false">IF('Все позиции'!A232="","",'Все позиции'!A232)</f>
        <v>5. Холодоснабжение 10 этаж</v>
      </c>
      <c r="B94" s="17" t="str">
        <f aca="false">IF('Все позиции'!B232="","",'Все позиции'!B232)</f>
        <v>5.29</v>
      </c>
      <c r="C94" s="18" t="str">
        <f aca="false">IF('Все позиции'!C232="","",'Все позиции'!C232)</f>
        <v>Тройник полипропиленовый, 32</v>
      </c>
      <c r="D94" s="17" t="str">
        <f aca="false">IF('Все позиции'!D232="","",'Все позиции'!D232)</f>
        <v>шт.</v>
      </c>
      <c r="E94" s="19" t="n">
        <f aca="false">IF('Все позиции'!E232="","",'Все позиции'!E232)</f>
        <v>6</v>
      </c>
      <c r="F94" s="20" t="n">
        <f aca="false">IF('Все позиции'!F232="","",'Все позиции'!F232)</f>
        <v>1020</v>
      </c>
      <c r="G94" s="19" t="n">
        <f aca="false">IF('Все позиции'!H232="","",'Все позиции'!H232)</f>
        <v>6</v>
      </c>
      <c r="H94" s="20" t="n">
        <f aca="false">IF('Все позиции'!L232="","",'Все позиции'!L232)</f>
        <v>520</v>
      </c>
      <c r="I94" s="21" t="n">
        <f aca="false">IF('Все позиции'!O232="","",'Все позиции'!O232)</f>
        <v>-0.490196078431373</v>
      </c>
      <c r="J94" s="20" t="n">
        <f aca="false">IF('Все позиции'!G232="","",'Все позиции'!G232)</f>
        <v>6120</v>
      </c>
      <c r="K94" s="20" t="n">
        <f aca="false">IF('Все позиции'!M232="","",'Все позиции'!M232)</f>
        <v>3120</v>
      </c>
      <c r="L94" s="22" t="n">
        <f aca="false">IF('Все позиции'!N232="","",'Все позиции'!N232)</f>
        <v>-3000</v>
      </c>
      <c r="M94" s="17" t="str">
        <f aca="false">IF('Все позиции'!P232="","",'Все позиции'!P232)</f>
        <v>Цена снижена</v>
      </c>
      <c r="N94" s="18" t="str">
        <f aca="false">IF('Все позиции'!Q232="","",'Все позиции'!Q232)</f>
        <v/>
      </c>
      <c r="O94" s="18" t="str">
        <f aca="false">IF('Все позиции'!R232="","",'Все позиции'!R232)</f>
        <v>Цена Согласована Марк</v>
      </c>
    </row>
    <row r="95" customFormat="false" ht="15" hidden="false" customHeight="false" outlineLevel="0" collapsed="false">
      <c r="A95" s="17" t="str">
        <f aca="false">IF('Все позиции'!A251="","",'Все позиции'!A251)</f>
        <v>6. Вентиляция 2 этаж</v>
      </c>
      <c r="B95" s="17" t="str">
        <f aca="false">IF('Все позиции'!B251="","",'Все позиции'!B251)</f>
        <v>6.11</v>
      </c>
      <c r="C95" s="18" t="str">
        <f aca="false">IF('Все позиции'!C251="","",'Все позиции'!C251)</f>
        <v>Воздуховод гофрированный, Ø100</v>
      </c>
      <c r="D95" s="17" t="str">
        <f aca="false">IF('Все позиции'!D251="","",'Все позиции'!D251)</f>
        <v>мп</v>
      </c>
      <c r="E95" s="19" t="n">
        <f aca="false">IF('Все позиции'!E251="","",'Все позиции'!E251)</f>
        <v>8</v>
      </c>
      <c r="F95" s="20" t="n">
        <f aca="false">IF('Все позиции'!F251="","",'Все позиции'!F251)</f>
        <v>1134</v>
      </c>
      <c r="G95" s="19" t="n">
        <f aca="false">IF('Все позиции'!H251="","",'Все позиции'!H251)</f>
        <v>8</v>
      </c>
      <c r="H95" s="20" t="n">
        <f aca="false">IF('Все позиции'!L251="","",'Все позиции'!L251)</f>
        <v>760</v>
      </c>
      <c r="I95" s="21" t="n">
        <f aca="false">IF('Все позиции'!O251="","",'Все позиции'!O251)</f>
        <v>-0.329805996472663</v>
      </c>
      <c r="J95" s="20" t="n">
        <f aca="false">IF('Все позиции'!G251="","",'Все позиции'!G251)</f>
        <v>9072</v>
      </c>
      <c r="K95" s="20" t="n">
        <f aca="false">IF('Все позиции'!M251="","",'Все позиции'!M251)</f>
        <v>6080</v>
      </c>
      <c r="L95" s="22" t="n">
        <f aca="false">IF('Все позиции'!N251="","",'Все позиции'!N251)</f>
        <v>-2992</v>
      </c>
      <c r="M95" s="17" t="str">
        <f aca="false">IF('Все позиции'!P251="","",'Все позиции'!P251)</f>
        <v>Цена снижена</v>
      </c>
      <c r="N95" s="18" t="str">
        <f aca="false">IF('Все позиции'!Q251="","",'Все позиции'!Q251)</f>
        <v>по договору</v>
      </c>
      <c r="O95" s="18" t="str">
        <f aca="false">IF('Все позиции'!R251="","",'Все позиции'!R251)</f>
        <v/>
      </c>
    </row>
    <row r="96" customFormat="false" ht="26.85" hidden="false" customHeight="false" outlineLevel="0" collapsed="false">
      <c r="A96" s="17" t="str">
        <f aca="false">IF('Все позиции'!A150="","",'Все позиции'!A150)</f>
        <v>4. Вентиляция 10 этаж</v>
      </c>
      <c r="B96" s="17" t="str">
        <f aca="false">IF('Все позиции'!B150="","",'Все позиции'!B150)</f>
        <v>4.37</v>
      </c>
      <c r="C96" s="18" t="str">
        <f aca="false">IF('Все позиции'!C150="","",'Все позиции'!C150)</f>
        <v>Отвод 300 из оцинкованной стали толщиной 0,7мм, класса «В», 200x300</v>
      </c>
      <c r="D96" s="17" t="str">
        <f aca="false">IF('Все позиции'!D150="","",'Все позиции'!D150)</f>
        <v>шт.</v>
      </c>
      <c r="E96" s="19" t="n">
        <f aca="false">IF('Все позиции'!E150="","",'Все позиции'!E150)</f>
        <v>4</v>
      </c>
      <c r="F96" s="20" t="n">
        <f aca="false">IF('Все позиции'!F150="","",'Все позиции'!F150)</f>
        <v>1620</v>
      </c>
      <c r="G96" s="19" t="n">
        <f aca="false">IF('Все позиции'!H150="","",'Все позиции'!H150)</f>
        <v>4</v>
      </c>
      <c r="H96" s="20" t="n">
        <f aca="false">IF('Все позиции'!L150="","",'Все позиции'!L150)</f>
        <v>880</v>
      </c>
      <c r="I96" s="21" t="n">
        <f aca="false">IF('Все позиции'!O150="","",'Все позиции'!O150)</f>
        <v>-0.45679012345679</v>
      </c>
      <c r="J96" s="20" t="n">
        <f aca="false">IF('Все позиции'!G150="","",'Все позиции'!G150)</f>
        <v>6480</v>
      </c>
      <c r="K96" s="20" t="n">
        <f aca="false">IF('Все позиции'!M150="","",'Все позиции'!M150)</f>
        <v>3520</v>
      </c>
      <c r="L96" s="22" t="n">
        <f aca="false">IF('Все позиции'!N150="","",'Все позиции'!N150)</f>
        <v>-2960</v>
      </c>
      <c r="M96" s="17" t="str">
        <f aca="false">IF('Все позиции'!P150="","",'Все позиции'!P150)</f>
        <v>Цена снижена</v>
      </c>
      <c r="N96" s="18" t="str">
        <f aca="false">IF('Все позиции'!Q150="","",'Все позиции'!Q150)</f>
        <v>исходя из м2 изделия</v>
      </c>
      <c r="O96" s="18" t="str">
        <f aca="false">IF('Все позиции'!R150="","",'Все позиции'!R150)</f>
        <v/>
      </c>
    </row>
    <row r="97" customFormat="false" ht="15" hidden="false" customHeight="false" outlineLevel="0" collapsed="false">
      <c r="A97" s="17" t="str">
        <f aca="false">IF('Все позиции'!A247="","",'Все позиции'!A247)</f>
        <v>6. Вентиляция 2 этаж</v>
      </c>
      <c r="B97" s="17" t="str">
        <f aca="false">IF('Все позиции'!B247="","",'Все позиции'!B247)</f>
        <v>6.7</v>
      </c>
      <c r="C97" s="18" t="str">
        <f aca="false">IF('Все позиции'!C247="","",'Все позиции'!C247)</f>
        <v>Диффузор круглый, Ø160 VE 160</v>
      </c>
      <c r="D97" s="17" t="str">
        <f aca="false">IF('Все позиции'!D247="","",'Все позиции'!D247)</f>
        <v>шт.</v>
      </c>
      <c r="E97" s="19" t="n">
        <f aca="false">IF('Все позиции'!E247="","",'Все позиции'!E247)</f>
        <v>4</v>
      </c>
      <c r="F97" s="20" t="n">
        <f aca="false">IF('Все позиции'!F247="","",'Все позиции'!F247)</f>
        <v>1296</v>
      </c>
      <c r="G97" s="19" t="n">
        <f aca="false">IF('Все позиции'!H247="","",'Все позиции'!H247)</f>
        <v>4</v>
      </c>
      <c r="H97" s="20" t="n">
        <f aca="false">IF('Все позиции'!L247="","",'Все позиции'!L247)</f>
        <v>600</v>
      </c>
      <c r="I97" s="21" t="n">
        <f aca="false">IF('Все позиции'!O247="","",'Все позиции'!O247)</f>
        <v>-0.537037037037037</v>
      </c>
      <c r="J97" s="20" t="n">
        <f aca="false">IF('Все позиции'!G247="","",'Все позиции'!G247)</f>
        <v>5184</v>
      </c>
      <c r="K97" s="20" t="n">
        <f aca="false">IF('Все позиции'!M247="","",'Все позиции'!M247)</f>
        <v>2400</v>
      </c>
      <c r="L97" s="22" t="n">
        <f aca="false">IF('Все позиции'!N247="","",'Все позиции'!N247)</f>
        <v>-2784</v>
      </c>
      <c r="M97" s="17" t="str">
        <f aca="false">IF('Все позиции'!P247="","",'Все позиции'!P247)</f>
        <v>Цена снижена</v>
      </c>
      <c r="N97" s="18" t="str">
        <f aca="false">IF('Все позиции'!Q247="","",'Все позиции'!Q247)</f>
        <v>по договору</v>
      </c>
      <c r="O97" s="18" t="str">
        <f aca="false">IF('Все позиции'!R247="","",'Все позиции'!R247)</f>
        <v/>
      </c>
    </row>
    <row r="98" customFormat="false" ht="26.85" hidden="false" customHeight="false" outlineLevel="0" collapsed="false">
      <c r="A98" s="17" t="str">
        <f aca="false">IF('Все позиции'!A254="","",'Все позиции'!A254)</f>
        <v>6. Вентиляция 2 этаж</v>
      </c>
      <c r="B98" s="17" t="str">
        <f aca="false">IF('Все позиции'!B254="","",'Все позиции'!B254)</f>
        <v>6.14</v>
      </c>
      <c r="C98" s="18" t="str">
        <f aca="false">IF('Все позиции'!C254="","",'Все позиции'!C254)</f>
        <v>Воздуховод гофрированный изолированный, Ø125</v>
      </c>
      <c r="D98" s="17" t="str">
        <f aca="false">IF('Все позиции'!D254="","",'Все позиции'!D254)</f>
        <v>мп</v>
      </c>
      <c r="E98" s="19" t="n">
        <f aca="false">IF('Все позиции'!E254="","",'Все позиции'!E254)</f>
        <v>7</v>
      </c>
      <c r="F98" s="20" t="n">
        <f aca="false">IF('Все позиции'!F254="","",'Все позиции'!F254)</f>
        <v>1134</v>
      </c>
      <c r="G98" s="19" t="n">
        <f aca="false">IF('Все позиции'!H254="","",'Все позиции'!H254)</f>
        <v>7</v>
      </c>
      <c r="H98" s="20" t="n">
        <f aca="false">IF('Все позиции'!L254="","",'Все позиции'!L254)</f>
        <v>760</v>
      </c>
      <c r="I98" s="21" t="n">
        <f aca="false">IF('Все позиции'!O254="","",'Все позиции'!O254)</f>
        <v>-0.329805996472663</v>
      </c>
      <c r="J98" s="20" t="n">
        <f aca="false">IF('Все позиции'!G254="","",'Все позиции'!G254)</f>
        <v>7938</v>
      </c>
      <c r="K98" s="20" t="n">
        <f aca="false">IF('Все позиции'!M254="","",'Все позиции'!M254)</f>
        <v>5320</v>
      </c>
      <c r="L98" s="22" t="n">
        <f aca="false">IF('Все позиции'!N254="","",'Все позиции'!N254)</f>
        <v>-2618</v>
      </c>
      <c r="M98" s="17" t="str">
        <f aca="false">IF('Все позиции'!P254="","",'Все позиции'!P254)</f>
        <v>Цена снижена</v>
      </c>
      <c r="N98" s="18" t="str">
        <f aca="false">IF('Все позиции'!Q254="","",'Все позиции'!Q254)</f>
        <v>по договору</v>
      </c>
      <c r="O98" s="18" t="str">
        <f aca="false">IF('Все позиции'!R254="","",'Все позиции'!R254)</f>
        <v/>
      </c>
    </row>
    <row r="99" customFormat="false" ht="26.85" hidden="false" customHeight="false" outlineLevel="0" collapsed="false">
      <c r="A99" s="17" t="str">
        <f aca="false">IF('Все позиции'!A189="","",'Все позиции'!A189)</f>
        <v>4. Вентиляция 10 этаж</v>
      </c>
      <c r="B99" s="17" t="str">
        <f aca="false">IF('Все позиции'!B189="","",'Все позиции'!B189)</f>
        <v>4.76</v>
      </c>
      <c r="C99" s="18" t="str">
        <f aca="false">IF('Все позиции'!C189="","",'Все позиции'!C189)</f>
        <v>Ниппель из оцинкованной стали толщиной 0,5мм, класса «В», Ø100</v>
      </c>
      <c r="D99" s="17" t="str">
        <f aca="false">IF('Все позиции'!D189="","",'Все позиции'!D189)</f>
        <v>шт.</v>
      </c>
      <c r="E99" s="19" t="n">
        <f aca="false">IF('Все позиции'!E189="","",'Все позиции'!E189)</f>
        <v>4</v>
      </c>
      <c r="F99" s="20" t="n">
        <f aca="false">IF('Все позиции'!F189="","",'Все позиции'!F189)</f>
        <v>1020</v>
      </c>
      <c r="G99" s="19" t="n">
        <f aca="false">IF('Все позиции'!H189="","",'Все позиции'!H189)</f>
        <v>4</v>
      </c>
      <c r="H99" s="20" t="n">
        <f aca="false">IF('Все позиции'!L189="","",'Все позиции'!L189)</f>
        <v>370</v>
      </c>
      <c r="I99" s="21" t="n">
        <f aca="false">IF('Все позиции'!O189="","",'Все позиции'!O189)</f>
        <v>-0.637254901960784</v>
      </c>
      <c r="J99" s="20" t="n">
        <f aca="false">IF('Все позиции'!G189="","",'Все позиции'!G189)</f>
        <v>4080</v>
      </c>
      <c r="K99" s="20" t="n">
        <f aca="false">IF('Все позиции'!M189="","",'Все позиции'!M189)</f>
        <v>1480</v>
      </c>
      <c r="L99" s="22" t="n">
        <f aca="false">IF('Все позиции'!N189="","",'Все позиции'!N189)</f>
        <v>-2600</v>
      </c>
      <c r="M99" s="17" t="str">
        <f aca="false">IF('Все позиции'!P189="","",'Все позиции'!P189)</f>
        <v>Цена снижена</v>
      </c>
      <c r="N99" s="18" t="str">
        <f aca="false">IF('Все позиции'!Q189="","",'Все позиции'!Q189)</f>
        <v/>
      </c>
      <c r="O99" s="18" t="str">
        <f aca="false">IF('Все позиции'!R189="","",'Все позиции'!R189)</f>
        <v/>
      </c>
    </row>
    <row r="100" customFormat="false" ht="26.85" hidden="false" customHeight="false" outlineLevel="0" collapsed="false">
      <c r="A100" s="17" t="str">
        <f aca="false">IF('Все позиции'!A266="","",'Все позиции'!A266)</f>
        <v>6. Вентиляция 2 этаж</v>
      </c>
      <c r="B100" s="17" t="str">
        <f aca="false">IF('Все позиции'!B266="","",'Все позиции'!B266)</f>
        <v>6.26</v>
      </c>
      <c r="C100" s="18" t="str">
        <f aca="false">IF('Все позиции'!C266="","",'Все позиции'!C266)</f>
        <v>Отвод 150 из оцинкованной стали толщиной 0,7мм, класса «В», 600x250</v>
      </c>
      <c r="D100" s="17" t="str">
        <f aca="false">IF('Все позиции'!D266="","",'Все позиции'!D266)</f>
        <v>шт.</v>
      </c>
      <c r="E100" s="19" t="n">
        <f aca="false">IF('Все позиции'!E266="","",'Все позиции'!E266)</f>
        <v>2</v>
      </c>
      <c r="F100" s="20" t="n">
        <f aca="false">IF('Все позиции'!F266="","",'Все позиции'!F266)</f>
        <v>2106</v>
      </c>
      <c r="G100" s="19" t="n">
        <f aca="false">IF('Все позиции'!H266="","",'Все позиции'!H266)</f>
        <v>2</v>
      </c>
      <c r="H100" s="20" t="n">
        <f aca="false">IF('Все позиции'!L266="","",'Все позиции'!L266)</f>
        <v>855</v>
      </c>
      <c r="I100" s="21" t="n">
        <f aca="false">IF('Все позиции'!O266="","",'Все позиции'!O266)</f>
        <v>-0.594017094017094</v>
      </c>
      <c r="J100" s="20" t="n">
        <f aca="false">IF('Все позиции'!G266="","",'Все позиции'!G266)</f>
        <v>4212</v>
      </c>
      <c r="K100" s="20" t="n">
        <f aca="false">IF('Все позиции'!M266="","",'Все позиции'!M266)</f>
        <v>1710</v>
      </c>
      <c r="L100" s="22" t="n">
        <f aca="false">IF('Все позиции'!N266="","",'Все позиции'!N266)</f>
        <v>-2502</v>
      </c>
      <c r="M100" s="17" t="str">
        <f aca="false">IF('Все позиции'!P266="","",'Все позиции'!P266)</f>
        <v>Цена снижена</v>
      </c>
      <c r="N100" s="18" t="str">
        <f aca="false">IF('Все позиции'!Q266="","",'Все позиции'!Q266)</f>
        <v>по договру</v>
      </c>
      <c r="O100" s="18" t="str">
        <f aca="false">IF('Все позиции'!R266="","",'Все позиции'!R266)</f>
        <v/>
      </c>
    </row>
    <row r="101" customFormat="false" ht="26.85" hidden="false" customHeight="false" outlineLevel="0" collapsed="false">
      <c r="A101" s="17" t="str">
        <f aca="false">IF('Все позиции'!A152="","",'Все позиции'!A152)</f>
        <v>4. Вентиляция 10 этаж</v>
      </c>
      <c r="B101" s="17" t="str">
        <f aca="false">IF('Все позиции'!B152="","",'Все позиции'!B152)</f>
        <v>4.39</v>
      </c>
      <c r="C101" s="18" t="str">
        <f aca="false">IF('Все позиции'!C152="","",'Все позиции'!C152)</f>
        <v>Отвод 300 из оцинкованной стали толщиной 0,7мм, класса «В», 300x500</v>
      </c>
      <c r="D101" s="17" t="str">
        <f aca="false">IF('Все позиции'!D152="","",'Все позиции'!D152)</f>
        <v>шт.</v>
      </c>
      <c r="E101" s="19" t="n">
        <f aca="false">IF('Все позиции'!E152="","",'Все позиции'!E152)</f>
        <v>2</v>
      </c>
      <c r="F101" s="20" t="n">
        <f aca="false">IF('Все позиции'!F152="","",'Все позиции'!F152)</f>
        <v>2268</v>
      </c>
      <c r="G101" s="19" t="n">
        <f aca="false">IF('Все позиции'!H152="","",'Все позиции'!H152)</f>
        <v>2</v>
      </c>
      <c r="H101" s="20" t="n">
        <f aca="false">IF('Все позиции'!L152="","",'Все позиции'!L152)</f>
        <v>1020</v>
      </c>
      <c r="I101" s="21" t="n">
        <f aca="false">IF('Все позиции'!O152="","",'Все позиции'!O152)</f>
        <v>-0.55026455026455</v>
      </c>
      <c r="J101" s="20" t="n">
        <f aca="false">IF('Все позиции'!G152="","",'Все позиции'!G152)</f>
        <v>4536</v>
      </c>
      <c r="K101" s="20" t="n">
        <f aca="false">IF('Все позиции'!M152="","",'Все позиции'!M152)</f>
        <v>2040</v>
      </c>
      <c r="L101" s="22" t="n">
        <f aca="false">IF('Все позиции'!N152="","",'Все позиции'!N152)</f>
        <v>-2496</v>
      </c>
      <c r="M101" s="17" t="str">
        <f aca="false">IF('Все позиции'!P152="","",'Все позиции'!P152)</f>
        <v>Цена снижена</v>
      </c>
      <c r="N101" s="18" t="str">
        <f aca="false">IF('Все позиции'!Q152="","",'Все позиции'!Q152)</f>
        <v/>
      </c>
      <c r="O101" s="18" t="str">
        <f aca="false">IF('Все позиции'!R152="","",'Все позиции'!R152)</f>
        <v/>
      </c>
    </row>
    <row r="102" customFormat="false" ht="15" hidden="false" customHeight="false" outlineLevel="0" collapsed="false">
      <c r="A102" s="17" t="str">
        <f aca="false">IF('Все позиции'!A130="","",'Все позиции'!A130)</f>
        <v>4. Вентиляция 10 этаж</v>
      </c>
      <c r="B102" s="17" t="str">
        <f aca="false">IF('Все позиции'!B130="","",'Все позиции'!B130)</f>
        <v>4.17</v>
      </c>
      <c r="C102" s="18" t="str">
        <f aca="false">IF('Все позиции'!C130="","",'Все позиции'!C130)</f>
        <v>Воздуховод гофрированный, Ø160</v>
      </c>
      <c r="D102" s="17" t="str">
        <f aca="false">IF('Все позиции'!D130="","",'Все позиции'!D130)</f>
        <v>мп</v>
      </c>
      <c r="E102" s="19" t="n">
        <f aca="false">IF('Все позиции'!E130="","",'Все позиции'!E130)</f>
        <v>6</v>
      </c>
      <c r="F102" s="20" t="n">
        <f aca="false">IF('Все позиции'!F130="","",'Все позиции'!F130)</f>
        <v>1134</v>
      </c>
      <c r="G102" s="19" t="n">
        <f aca="false">IF('Все позиции'!H130="","",'Все позиции'!H130)</f>
        <v>6</v>
      </c>
      <c r="H102" s="20" t="n">
        <f aca="false">IF('Все позиции'!L130="","",'Все позиции'!L130)</f>
        <v>760</v>
      </c>
      <c r="I102" s="21" t="n">
        <f aca="false">IF('Все позиции'!O130="","",'Все позиции'!O130)</f>
        <v>-0.329805996472663</v>
      </c>
      <c r="J102" s="20" t="n">
        <f aca="false">IF('Все позиции'!G130="","",'Все позиции'!G130)</f>
        <v>6804</v>
      </c>
      <c r="K102" s="20" t="n">
        <f aca="false">IF('Все позиции'!M130="","",'Все позиции'!M130)</f>
        <v>4560</v>
      </c>
      <c r="L102" s="22" t="n">
        <f aca="false">IF('Все позиции'!N130="","",'Все позиции'!N130)</f>
        <v>-2244</v>
      </c>
      <c r="M102" s="17" t="str">
        <f aca="false">IF('Все позиции'!P130="","",'Все позиции'!P130)</f>
        <v>Цена снижена</v>
      </c>
      <c r="N102" s="18" t="str">
        <f aca="false">IF('Все позиции'!Q130="","",'Все позиции'!Q130)</f>
        <v>по договору</v>
      </c>
      <c r="O102" s="18" t="str">
        <f aca="false">IF('Все позиции'!R130="","",'Все позиции'!R130)</f>
        <v/>
      </c>
    </row>
    <row r="103" customFormat="false" ht="15" hidden="false" customHeight="false" outlineLevel="0" collapsed="false">
      <c r="A103" s="17" t="str">
        <f aca="false">IF('Все позиции'!A131="","",'Все позиции'!A131)</f>
        <v>4. Вентиляция 10 этаж</v>
      </c>
      <c r="B103" s="17" t="str">
        <f aca="false">IF('Все позиции'!B131="","",'Все позиции'!B131)</f>
        <v>4.18</v>
      </c>
      <c r="C103" s="18" t="str">
        <f aca="false">IF('Все позиции'!C131="","",'Все позиции'!C131)</f>
        <v>Воздуховод гофрированный, Ø200</v>
      </c>
      <c r="D103" s="17" t="str">
        <f aca="false">IF('Все позиции'!D131="","",'Все позиции'!D131)</f>
        <v>мп</v>
      </c>
      <c r="E103" s="19" t="n">
        <f aca="false">IF('Все позиции'!E131="","",'Все позиции'!E131)</f>
        <v>6</v>
      </c>
      <c r="F103" s="20" t="n">
        <f aca="false">IF('Все позиции'!F131="","",'Все позиции'!F131)</f>
        <v>1134</v>
      </c>
      <c r="G103" s="19" t="n">
        <f aca="false">IF('Все позиции'!H131="","",'Все позиции'!H131)</f>
        <v>6</v>
      </c>
      <c r="H103" s="20" t="n">
        <f aca="false">IF('Все позиции'!L131="","",'Все позиции'!L131)</f>
        <v>760</v>
      </c>
      <c r="I103" s="21" t="n">
        <f aca="false">IF('Все позиции'!O131="","",'Все позиции'!O131)</f>
        <v>-0.329805996472663</v>
      </c>
      <c r="J103" s="20" t="n">
        <f aca="false">IF('Все позиции'!G131="","",'Все позиции'!G131)</f>
        <v>6804</v>
      </c>
      <c r="K103" s="20" t="n">
        <f aca="false">IF('Все позиции'!M131="","",'Все позиции'!M131)</f>
        <v>4560</v>
      </c>
      <c r="L103" s="22" t="n">
        <f aca="false">IF('Все позиции'!N131="","",'Все позиции'!N131)</f>
        <v>-2244</v>
      </c>
      <c r="M103" s="17" t="str">
        <f aca="false">IF('Все позиции'!P131="","",'Все позиции'!P131)</f>
        <v>Цена снижена</v>
      </c>
      <c r="N103" s="18" t="str">
        <f aca="false">IF('Все позиции'!Q131="","",'Все позиции'!Q131)</f>
        <v>по договору</v>
      </c>
      <c r="O103" s="18" t="str">
        <f aca="false">IF('Все позиции'!R131="","",'Все позиции'!R131)</f>
        <v/>
      </c>
    </row>
    <row r="104" customFormat="false" ht="26.85" hidden="false" customHeight="false" outlineLevel="0" collapsed="false">
      <c r="A104" s="17" t="str">
        <f aca="false">IF('Все позиции'!A134="","",'Все позиции'!A134)</f>
        <v>4. Вентиляция 10 этаж</v>
      </c>
      <c r="B104" s="17" t="str">
        <f aca="false">IF('Все позиции'!B134="","",'Все позиции'!B134)</f>
        <v>4.21</v>
      </c>
      <c r="C104" s="18" t="str">
        <f aca="false">IF('Все позиции'!C134="","",'Все позиции'!C134)</f>
        <v>Воздуховод гофрированный изолированный, Ø160</v>
      </c>
      <c r="D104" s="17" t="str">
        <f aca="false">IF('Все позиции'!D134="","",'Все позиции'!D134)</f>
        <v>мп</v>
      </c>
      <c r="E104" s="19" t="n">
        <f aca="false">IF('Все позиции'!E134="","",'Все позиции'!E134)</f>
        <v>6</v>
      </c>
      <c r="F104" s="20" t="n">
        <f aca="false">IF('Все позиции'!F134="","",'Все позиции'!F134)</f>
        <v>1134</v>
      </c>
      <c r="G104" s="19" t="n">
        <f aca="false">IF('Все позиции'!H134="","",'Все позиции'!H134)</f>
        <v>6</v>
      </c>
      <c r="H104" s="20" t="n">
        <f aca="false">IF('Все позиции'!L134="","",'Все позиции'!L134)</f>
        <v>760</v>
      </c>
      <c r="I104" s="21" t="n">
        <f aca="false">IF('Все позиции'!O134="","",'Все позиции'!O134)</f>
        <v>-0.329805996472663</v>
      </c>
      <c r="J104" s="20" t="n">
        <f aca="false">IF('Все позиции'!G134="","",'Все позиции'!G134)</f>
        <v>6804</v>
      </c>
      <c r="K104" s="20" t="n">
        <f aca="false">IF('Все позиции'!M134="","",'Все позиции'!M134)</f>
        <v>4560</v>
      </c>
      <c r="L104" s="22" t="n">
        <f aca="false">IF('Все позиции'!N134="","",'Все позиции'!N134)</f>
        <v>-2244</v>
      </c>
      <c r="M104" s="17" t="str">
        <f aca="false">IF('Все позиции'!P134="","",'Все позиции'!P134)</f>
        <v>Цена снижена</v>
      </c>
      <c r="N104" s="18" t="str">
        <f aca="false">IF('Все позиции'!Q134="","",'Все позиции'!Q134)</f>
        <v>по договору</v>
      </c>
      <c r="O104" s="18" t="str">
        <f aca="false">IF('Все позиции'!R134="","",'Все позиции'!R134)</f>
        <v/>
      </c>
    </row>
    <row r="105" customFormat="false" ht="26.85" hidden="false" customHeight="false" outlineLevel="0" collapsed="false">
      <c r="A105" s="17" t="str">
        <f aca="false">IF('Все позиции'!A135="","",'Все позиции'!A135)</f>
        <v>4. Вентиляция 10 этаж</v>
      </c>
      <c r="B105" s="17" t="str">
        <f aca="false">IF('Все позиции'!B135="","",'Все позиции'!B135)</f>
        <v>4.22</v>
      </c>
      <c r="C105" s="18" t="str">
        <f aca="false">IF('Все позиции'!C135="","",'Все позиции'!C135)</f>
        <v>Воздуховод гофрированный изолированный, Ø200</v>
      </c>
      <c r="D105" s="17" t="str">
        <f aca="false">IF('Все позиции'!D135="","",'Все позиции'!D135)</f>
        <v>мп</v>
      </c>
      <c r="E105" s="19" t="n">
        <f aca="false">IF('Все позиции'!E135="","",'Все позиции'!E135)</f>
        <v>6</v>
      </c>
      <c r="F105" s="20" t="n">
        <f aca="false">IF('Все позиции'!F135="","",'Все позиции'!F135)</f>
        <v>1134</v>
      </c>
      <c r="G105" s="19" t="n">
        <f aca="false">IF('Все позиции'!H135="","",'Все позиции'!H135)</f>
        <v>6</v>
      </c>
      <c r="H105" s="20" t="n">
        <f aca="false">IF('Все позиции'!L135="","",'Все позиции'!L135)</f>
        <v>760</v>
      </c>
      <c r="I105" s="21" t="n">
        <f aca="false">IF('Все позиции'!O135="","",'Все позиции'!O135)</f>
        <v>-0.329805996472663</v>
      </c>
      <c r="J105" s="20" t="n">
        <f aca="false">IF('Все позиции'!G135="","",'Все позиции'!G135)</f>
        <v>6804</v>
      </c>
      <c r="K105" s="20" t="n">
        <f aca="false">IF('Все позиции'!M135="","",'Все позиции'!M135)</f>
        <v>4560</v>
      </c>
      <c r="L105" s="22" t="n">
        <f aca="false">IF('Все позиции'!N135="","",'Все позиции'!N135)</f>
        <v>-2244</v>
      </c>
      <c r="M105" s="17" t="str">
        <f aca="false">IF('Все позиции'!P135="","",'Все позиции'!P135)</f>
        <v>Цена снижена</v>
      </c>
      <c r="N105" s="18" t="str">
        <f aca="false">IF('Все позиции'!Q135="","",'Все позиции'!Q135)</f>
        <v>по договору</v>
      </c>
      <c r="O105" s="18" t="str">
        <f aca="false">IF('Все позиции'!R135="","",'Все позиции'!R135)</f>
        <v/>
      </c>
    </row>
    <row r="106" customFormat="false" ht="15" hidden="false" customHeight="false" outlineLevel="0" collapsed="false">
      <c r="A106" s="17" t="str">
        <f aca="false">IF('Все позиции'!A235="","",'Все позиции'!A235)</f>
        <v>5. Холодоснабжение 10 этаж</v>
      </c>
      <c r="B106" s="17" t="str">
        <f aca="false">IF('Все позиции'!B235="","",'Все позиции'!B235)</f>
        <v>5.32</v>
      </c>
      <c r="C106" s="18" t="str">
        <f aca="false">IF('Все позиции'!C235="","",'Все позиции'!C235)</f>
        <v>Труба полипропиленовая, Ø40х6,7</v>
      </c>
      <c r="D106" s="17" t="str">
        <f aca="false">IF('Все позиции'!D235="","",'Все позиции'!D235)</f>
        <v>шт.</v>
      </c>
      <c r="E106" s="19" t="n">
        <f aca="false">IF('Все позиции'!E235="","",'Все позиции'!E235)</f>
        <v>8</v>
      </c>
      <c r="F106" s="20" t="n">
        <f aca="false">IF('Все позиции'!F235="","",'Все позиции'!F235)</f>
        <v>1020</v>
      </c>
      <c r="G106" s="19" t="n">
        <f aca="false">IF('Все позиции'!H235="","",'Все позиции'!H235)</f>
        <v>8</v>
      </c>
      <c r="H106" s="20" t="n">
        <f aca="false">IF('Все позиции'!L235="","",'Все позиции'!L235)</f>
        <v>740</v>
      </c>
      <c r="I106" s="21" t="n">
        <f aca="false">IF('Все позиции'!O235="","",'Все позиции'!O235)</f>
        <v>-0.274509803921569</v>
      </c>
      <c r="J106" s="20" t="n">
        <f aca="false">IF('Все позиции'!G235="","",'Все позиции'!G235)</f>
        <v>8160</v>
      </c>
      <c r="K106" s="20" t="n">
        <f aca="false">IF('Все позиции'!M235="","",'Все позиции'!M235)</f>
        <v>5920</v>
      </c>
      <c r="L106" s="22" t="n">
        <f aca="false">IF('Все позиции'!N235="","",'Все позиции'!N235)</f>
        <v>-2240</v>
      </c>
      <c r="M106" s="17" t="str">
        <f aca="false">IF('Все позиции'!P235="","",'Все позиции'!P235)</f>
        <v>Цена снижена</v>
      </c>
      <c r="N106" s="18" t="str">
        <f aca="false">IF('Все позиции'!Q235="","",'Все позиции'!Q235)</f>
        <v/>
      </c>
      <c r="O106" s="18" t="str">
        <f aca="false">IF('Все позиции'!R235="","",'Все позиции'!R235)</f>
        <v>Цена Согласована Марк</v>
      </c>
    </row>
    <row r="107" customFormat="false" ht="26.85" hidden="false" customHeight="false" outlineLevel="0" collapsed="false">
      <c r="A107" s="17" t="str">
        <f aca="false">IF('Все позиции'!A174="","",'Все позиции'!A174)</f>
        <v>4. Вентиляция 10 этаж</v>
      </c>
      <c r="B107" s="17" t="str">
        <f aca="false">IF('Все позиции'!B174="","",'Все позиции'!B174)</f>
        <v>4.61</v>
      </c>
      <c r="C107" s="18" t="str">
        <f aca="false">IF('Все позиции'!C174="","",'Все позиции'!C174)</f>
        <v>Врезка-седло из оцинкованной стали толщиной 0,5мм, класса «В», Ø200/Ø160</v>
      </c>
      <c r="D107" s="17" t="str">
        <f aca="false">IF('Все позиции'!D174="","",'Все позиции'!D174)</f>
        <v>шт.</v>
      </c>
      <c r="E107" s="19" t="n">
        <f aca="false">IF('Все позиции'!E174="","",'Все позиции'!E174)</f>
        <v>3</v>
      </c>
      <c r="F107" s="20" t="n">
        <f aca="false">IF('Все позиции'!F174="","",'Все позиции'!F174)</f>
        <v>1020</v>
      </c>
      <c r="G107" s="19" t="n">
        <f aca="false">IF('Все позиции'!H174="","",'Все позиции'!H174)</f>
        <v>3</v>
      </c>
      <c r="H107" s="20" t="n">
        <f aca="false">IF('Все позиции'!L174="","",'Все позиции'!L174)</f>
        <v>370</v>
      </c>
      <c r="I107" s="21" t="n">
        <f aca="false">IF('Все позиции'!O174="","",'Все позиции'!O174)</f>
        <v>-0.637254901960784</v>
      </c>
      <c r="J107" s="20" t="n">
        <f aca="false">IF('Все позиции'!G174="","",'Все позиции'!G174)</f>
        <v>3060</v>
      </c>
      <c r="K107" s="20" t="n">
        <f aca="false">IF('Все позиции'!M174="","",'Все позиции'!M174)</f>
        <v>1110</v>
      </c>
      <c r="L107" s="22" t="n">
        <f aca="false">IF('Все позиции'!N174="","",'Все позиции'!N174)</f>
        <v>-1950</v>
      </c>
      <c r="M107" s="17" t="str">
        <f aca="false">IF('Все позиции'!P174="","",'Все позиции'!P174)</f>
        <v>Цена снижена</v>
      </c>
      <c r="N107" s="18" t="str">
        <f aca="false">IF('Все позиции'!Q174="","",'Все позиции'!Q174)</f>
        <v/>
      </c>
      <c r="O107" s="18" t="str">
        <f aca="false">IF('Все позиции'!R174="","",'Все позиции'!R174)</f>
        <v/>
      </c>
    </row>
    <row r="108" customFormat="false" ht="26.85" hidden="false" customHeight="false" outlineLevel="0" collapsed="false">
      <c r="A108" s="17" t="str">
        <f aca="false">IF('Все позиции'!A190="","",'Все позиции'!A190)</f>
        <v>4. Вентиляция 10 этаж</v>
      </c>
      <c r="B108" s="17" t="str">
        <f aca="false">IF('Все позиции'!B190="","",'Все позиции'!B190)</f>
        <v>4.77</v>
      </c>
      <c r="C108" s="18" t="str">
        <f aca="false">IF('Все позиции'!C190="","",'Все позиции'!C190)</f>
        <v>Ниппель из оцинкованной стали толщиной 0,5мм, класса «В», Ø125</v>
      </c>
      <c r="D108" s="17" t="str">
        <f aca="false">IF('Все позиции'!D190="","",'Все позиции'!D190)</f>
        <v>шт.</v>
      </c>
      <c r="E108" s="19" t="n">
        <f aca="false">IF('Все позиции'!E190="","",'Все позиции'!E190)</f>
        <v>3</v>
      </c>
      <c r="F108" s="20" t="n">
        <f aca="false">IF('Все позиции'!F190="","",'Все позиции'!F190)</f>
        <v>1020</v>
      </c>
      <c r="G108" s="19" t="n">
        <f aca="false">IF('Все позиции'!H190="","",'Все позиции'!H190)</f>
        <v>3</v>
      </c>
      <c r="H108" s="20" t="n">
        <f aca="false">IF('Все позиции'!L190="","",'Все позиции'!L190)</f>
        <v>370</v>
      </c>
      <c r="I108" s="21" t="n">
        <f aca="false">IF('Все позиции'!O190="","",'Все позиции'!O190)</f>
        <v>-0.637254901960784</v>
      </c>
      <c r="J108" s="20" t="n">
        <f aca="false">IF('Все позиции'!G190="","",'Все позиции'!G190)</f>
        <v>3060</v>
      </c>
      <c r="K108" s="20" t="n">
        <f aca="false">IF('Все позиции'!M190="","",'Все позиции'!M190)</f>
        <v>1110</v>
      </c>
      <c r="L108" s="22" t="n">
        <f aca="false">IF('Все позиции'!N190="","",'Все позиции'!N190)</f>
        <v>-1950</v>
      </c>
      <c r="M108" s="17" t="str">
        <f aca="false">IF('Все позиции'!P190="","",'Все позиции'!P190)</f>
        <v>Цена снижена</v>
      </c>
      <c r="N108" s="18" t="str">
        <f aca="false">IF('Все позиции'!Q190="","",'Все позиции'!Q190)</f>
        <v/>
      </c>
      <c r="O108" s="18" t="str">
        <f aca="false">IF('Все позиции'!R190="","",'Все позиции'!R190)</f>
        <v/>
      </c>
    </row>
    <row r="109" customFormat="false" ht="26.85" hidden="false" customHeight="false" outlineLevel="0" collapsed="false">
      <c r="A109" s="17" t="str">
        <f aca="false">IF('Все позиции'!A259="","",'Все позиции'!A259)</f>
        <v>6. Вентиляция 2 этаж</v>
      </c>
      <c r="B109" s="17" t="str">
        <f aca="false">IF('Все позиции'!B259="","",'Все позиции'!B259)</f>
        <v>6.19</v>
      </c>
      <c r="C109" s="18" t="str">
        <f aca="false">IF('Все позиции'!C259="","",'Все позиции'!C259)</f>
        <v>Воздуховод из оцинкованной стали толщиной 0,6мм, класса «В», Ø250</v>
      </c>
      <c r="D109" s="17" t="str">
        <f aca="false">IF('Все позиции'!D259="","",'Все позиции'!D259)</f>
        <v>мп</v>
      </c>
      <c r="E109" s="19" t="n">
        <f aca="false">IF('Все позиции'!E259="","",'Все позиции'!E259)</f>
        <v>6</v>
      </c>
      <c r="F109" s="20" t="n">
        <f aca="false">IF('Все позиции'!F259="","",'Все позиции'!F259)</f>
        <v>1393.2</v>
      </c>
      <c r="G109" s="19" t="n">
        <f aca="false">IF('Все позиции'!H259="","",'Все позиции'!H259)</f>
        <v>6</v>
      </c>
      <c r="H109" s="20" t="n">
        <f aca="false">IF('Все позиции'!L259="","",'Все позиции'!L259)</f>
        <v>1077.79</v>
      </c>
      <c r="I109" s="21" t="n">
        <f aca="false">IF('Все позиции'!O259="","",'Все позиции'!O259)</f>
        <v>-0.226392477749067</v>
      </c>
      <c r="J109" s="20" t="n">
        <f aca="false">IF('Все позиции'!G259="","",'Все позиции'!G259)</f>
        <v>8359.2</v>
      </c>
      <c r="K109" s="20" t="n">
        <f aca="false">IF('Все позиции'!M259="","",'Все позиции'!M259)</f>
        <v>6466.74</v>
      </c>
      <c r="L109" s="22" t="n">
        <f aca="false">IF('Все позиции'!N259="","",'Все позиции'!N259)</f>
        <v>-1892.46</v>
      </c>
      <c r="M109" s="17" t="str">
        <f aca="false">IF('Все позиции'!P259="","",'Все позиции'!P259)</f>
        <v>Цена снижена</v>
      </c>
      <c r="N109" s="18" t="str">
        <f aca="false">IF('Все позиции'!Q259="","",'Все позиции'!Q259)</f>
        <v>по договору</v>
      </c>
      <c r="O109" s="18" t="str">
        <f aca="false">IF('Все позиции'!R259="","",'Все позиции'!R259)</f>
        <v/>
      </c>
    </row>
    <row r="110" customFormat="false" ht="26.85" hidden="false" customHeight="false" outlineLevel="0" collapsed="false">
      <c r="A110" s="17" t="str">
        <f aca="false">IF('Все позиции'!A155="","",'Все позиции'!A155)</f>
        <v>4. Вентиляция 10 этаж</v>
      </c>
      <c r="B110" s="17" t="str">
        <f aca="false">IF('Все позиции'!B155="","",'Все позиции'!B155)</f>
        <v>4.42</v>
      </c>
      <c r="C110" s="18" t="str">
        <f aca="false">IF('Все позиции'!C155="","",'Все позиции'!C155)</f>
        <v>Отвод 450 из оцинкованной стали толщиной 0,7мм, класса «В», 300x200</v>
      </c>
      <c r="D110" s="17" t="str">
        <f aca="false">IF('Все позиции'!D155="","",'Все позиции'!D155)</f>
        <v>шт.</v>
      </c>
      <c r="E110" s="19" t="n">
        <f aca="false">IF('Все позиции'!E155="","",'Все позиции'!E155)</f>
        <v>3</v>
      </c>
      <c r="F110" s="20" t="n">
        <f aca="false">IF('Все позиции'!F155="","",'Все позиции'!F155)</f>
        <v>1296</v>
      </c>
      <c r="G110" s="19" t="n">
        <f aca="false">IF('Все позиции'!H155="","",'Все позиции'!H155)</f>
        <v>3</v>
      </c>
      <c r="H110" s="20" t="n">
        <f aca="false">IF('Все позиции'!L155="","",'Все позиции'!L155)</f>
        <v>680</v>
      </c>
      <c r="I110" s="21" t="n">
        <f aca="false">IF('Все позиции'!O155="","",'Все позиции'!O155)</f>
        <v>-0.475308641975309</v>
      </c>
      <c r="J110" s="20" t="n">
        <f aca="false">IF('Все позиции'!G155="","",'Все позиции'!G155)</f>
        <v>3888</v>
      </c>
      <c r="K110" s="20" t="n">
        <f aca="false">IF('Все позиции'!M155="","",'Все позиции'!M155)</f>
        <v>2040</v>
      </c>
      <c r="L110" s="22" t="n">
        <f aca="false">IF('Все позиции'!N155="","",'Все позиции'!N155)</f>
        <v>-1848</v>
      </c>
      <c r="M110" s="17" t="str">
        <f aca="false">IF('Все позиции'!P155="","",'Все позиции'!P155)</f>
        <v>Цена снижена</v>
      </c>
      <c r="N110" s="18" t="str">
        <f aca="false">IF('Все позиции'!Q155="","",'Все позиции'!Q155)</f>
        <v/>
      </c>
      <c r="O110" s="18" t="str">
        <f aca="false">IF('Все позиции'!R155="","",'Все позиции'!R155)</f>
        <v/>
      </c>
    </row>
    <row r="111" customFormat="false" ht="26.85" hidden="false" customHeight="false" outlineLevel="0" collapsed="false">
      <c r="A111" s="17" t="str">
        <f aca="false">IF('Все позиции'!A187="","",'Все позиции'!A187)</f>
        <v>4. Вентиляция 10 этаж</v>
      </c>
      <c r="B111" s="17" t="str">
        <f aca="false">IF('Все позиции'!B187="","",'Все позиции'!B187)</f>
        <v>4.74</v>
      </c>
      <c r="C111" s="18" t="str">
        <f aca="false">IF('Все позиции'!C187="","",'Все позиции'!C187)</f>
        <v>Переход из оцинкованной стали толщиной 0,7мм, класса «В», 600x250/500x300</v>
      </c>
      <c r="D111" s="17" t="str">
        <f aca="false">IF('Все позиции'!D187="","",'Все позиции'!D187)</f>
        <v>шт.</v>
      </c>
      <c r="E111" s="19" t="n">
        <f aca="false">IF('Все позиции'!E187="","",'Все позиции'!E187)</f>
        <v>2</v>
      </c>
      <c r="F111" s="20" t="n">
        <f aca="false">IF('Все позиции'!F187="","",'Все позиции'!F187)</f>
        <v>1944</v>
      </c>
      <c r="G111" s="19" t="n">
        <f aca="false">IF('Все позиции'!H187="","",'Все позиции'!H187)</f>
        <v>2</v>
      </c>
      <c r="H111" s="20" t="n">
        <f aca="false">IF('Все позиции'!L187="","",'Все позиции'!L187)</f>
        <v>1020</v>
      </c>
      <c r="I111" s="21" t="n">
        <f aca="false">IF('Все позиции'!O187="","",'Все позиции'!O187)</f>
        <v>-0.475308641975309</v>
      </c>
      <c r="J111" s="20" t="n">
        <f aca="false">IF('Все позиции'!G187="","",'Все позиции'!G187)</f>
        <v>3888</v>
      </c>
      <c r="K111" s="20" t="n">
        <f aca="false">IF('Все позиции'!M187="","",'Все позиции'!M187)</f>
        <v>2040</v>
      </c>
      <c r="L111" s="22" t="n">
        <f aca="false">IF('Все позиции'!N187="","",'Все позиции'!N187)</f>
        <v>-1848</v>
      </c>
      <c r="M111" s="17" t="str">
        <f aca="false">IF('Все позиции'!P187="","",'Все позиции'!P187)</f>
        <v>Цена снижена</v>
      </c>
      <c r="N111" s="18" t="str">
        <f aca="false">IF('Все позиции'!Q187="","",'Все позиции'!Q187)</f>
        <v/>
      </c>
      <c r="O111" s="18" t="str">
        <f aca="false">IF('Все позиции'!R187="","",'Все позиции'!R187)</f>
        <v/>
      </c>
    </row>
    <row r="112" customFormat="false" ht="26.85" hidden="false" customHeight="false" outlineLevel="0" collapsed="false">
      <c r="A112" s="17" t="str">
        <f aca="false">IF('Все позиции'!A301="","",'Все позиции'!A301)</f>
        <v>6. Вентиляция 2 этаж</v>
      </c>
      <c r="B112" s="17" t="str">
        <f aca="false">IF('Все позиции'!B301="","",'Все позиции'!B301)</f>
        <v>6.61</v>
      </c>
      <c r="C112" s="18" t="str">
        <f aca="false">IF('Все позиции'!C301="","",'Все позиции'!C301)</f>
        <v>Переход из оцинкованной стали толщиной 0,7мм, класса «В», 600x250/400x200</v>
      </c>
      <c r="D112" s="17" t="str">
        <f aca="false">IF('Все позиции'!D301="","",'Все позиции'!D301)</f>
        <v>шт.</v>
      </c>
      <c r="E112" s="19" t="n">
        <f aca="false">IF('Все позиции'!E301="","",'Все позиции'!E301)</f>
        <v>2</v>
      </c>
      <c r="F112" s="20" t="n">
        <f aca="false">IF('Все позиции'!F301="","",'Все позиции'!F301)</f>
        <v>1944</v>
      </c>
      <c r="G112" s="19" t="n">
        <f aca="false">IF('Все позиции'!H301="","",'Все позиции'!H301)</f>
        <v>2</v>
      </c>
      <c r="H112" s="20" t="n">
        <f aca="false">IF('Все позиции'!L301="","",'Все позиции'!L301)</f>
        <v>1020</v>
      </c>
      <c r="I112" s="21" t="n">
        <f aca="false">IF('Все позиции'!O301="","",'Все позиции'!O301)</f>
        <v>-0.475308641975309</v>
      </c>
      <c r="J112" s="20" t="n">
        <f aca="false">IF('Все позиции'!G301="","",'Все позиции'!G301)</f>
        <v>3888</v>
      </c>
      <c r="K112" s="20" t="n">
        <f aca="false">IF('Все позиции'!M301="","",'Все позиции'!M301)</f>
        <v>2040</v>
      </c>
      <c r="L112" s="22" t="n">
        <f aca="false">IF('Все позиции'!N301="","",'Все позиции'!N301)</f>
        <v>-1848</v>
      </c>
      <c r="M112" s="17" t="str">
        <f aca="false">IF('Все позиции'!P301="","",'Все позиции'!P301)</f>
        <v>Цена снижена</v>
      </c>
      <c r="N112" s="18" t="str">
        <f aca="false">IF('Все позиции'!Q301="","",'Все позиции'!Q301)</f>
        <v/>
      </c>
      <c r="O112" s="18" t="str">
        <f aca="false">IF('Все позиции'!R301="","",'Все позиции'!R301)</f>
        <v/>
      </c>
    </row>
    <row r="113" customFormat="false" ht="26.85" hidden="false" customHeight="false" outlineLevel="0" collapsed="false">
      <c r="A113" s="17" t="str">
        <f aca="false">IF('Все позиции'!A273="","",'Все позиции'!A273)</f>
        <v>6. Вентиляция 2 этаж</v>
      </c>
      <c r="B113" s="17" t="str">
        <f aca="false">IF('Все позиции'!B273="","",'Все позиции'!B273)</f>
        <v>6.33</v>
      </c>
      <c r="C113" s="18" t="str">
        <f aca="false">IF('Все позиции'!C273="","",'Все позиции'!C273)</f>
        <v>Отвод 450 из оцинкованной стали толщиной 0,5мм, класса «В», Ø100</v>
      </c>
      <c r="D113" s="17" t="str">
        <f aca="false">IF('Все позиции'!D273="","",'Все позиции'!D273)</f>
        <v>шт.</v>
      </c>
      <c r="E113" s="19" t="n">
        <f aca="false">IF('Все позиции'!E273="","",'Все позиции'!E273)</f>
        <v>11</v>
      </c>
      <c r="F113" s="20" t="n">
        <f aca="false">IF('Все позиции'!F273="","",'Все позиции'!F273)</f>
        <v>1020</v>
      </c>
      <c r="G113" s="19" t="n">
        <f aca="false">IF('Все позиции'!H273="","",'Все позиции'!H273)</f>
        <v>11</v>
      </c>
      <c r="H113" s="20" t="n">
        <f aca="false">IF('Все позиции'!L273="","",'Все позиции'!L273)</f>
        <v>855</v>
      </c>
      <c r="I113" s="21" t="n">
        <f aca="false">IF('Все позиции'!O273="","",'Все позиции'!O273)</f>
        <v>-0.161764705882353</v>
      </c>
      <c r="J113" s="20" t="n">
        <f aca="false">IF('Все позиции'!G273="","",'Все позиции'!G273)</f>
        <v>11220</v>
      </c>
      <c r="K113" s="20" t="n">
        <f aca="false">IF('Все позиции'!M273="","",'Все позиции'!M273)</f>
        <v>9405</v>
      </c>
      <c r="L113" s="22" t="n">
        <f aca="false">IF('Все позиции'!N273="","",'Все позиции'!N273)</f>
        <v>-1815</v>
      </c>
      <c r="M113" s="17" t="str">
        <f aca="false">IF('Все позиции'!P273="","",'Все позиции'!P273)</f>
        <v>Цена снижена</v>
      </c>
      <c r="N113" s="18" t="str">
        <f aca="false">IF('Все позиции'!Q273="","",'Все позиции'!Q273)</f>
        <v>по договру</v>
      </c>
      <c r="O113" s="18" t="str">
        <f aca="false">IF('Все позиции'!R273="","",'Все позиции'!R273)</f>
        <v/>
      </c>
    </row>
    <row r="114" customFormat="false" ht="26.85" hidden="false" customHeight="false" outlineLevel="0" collapsed="false">
      <c r="A114" s="17" t="str">
        <f aca="false">IF('Все позиции'!A151="","",'Все позиции'!A151)</f>
        <v>4. Вентиляция 10 этаж</v>
      </c>
      <c r="B114" s="17" t="str">
        <f aca="false">IF('Все позиции'!B151="","",'Все позиции'!B151)</f>
        <v>4.38</v>
      </c>
      <c r="C114" s="18" t="str">
        <f aca="false">IF('Все позиции'!C151="","",'Все позиции'!C151)</f>
        <v>Отвод 300 из оцинкованной стали толщиной 0,7мм, класса «В», 250x700</v>
      </c>
      <c r="D114" s="17" t="str">
        <f aca="false">IF('Все позиции'!D151="","",'Все позиции'!D151)</f>
        <v>шт.</v>
      </c>
      <c r="E114" s="19" t="n">
        <f aca="false">IF('Все позиции'!E151="","",'Все позиции'!E151)</f>
        <v>2</v>
      </c>
      <c r="F114" s="20" t="n">
        <f aca="false">IF('Все позиции'!F151="","",'Все позиции'!F151)</f>
        <v>2592</v>
      </c>
      <c r="G114" s="19" t="n">
        <f aca="false">IF('Все позиции'!H151="","",'Все позиции'!H151)</f>
        <v>2</v>
      </c>
      <c r="H114" s="20" t="n">
        <f aca="false">IF('Все позиции'!L151="","",'Все позиции'!L151)</f>
        <v>1700</v>
      </c>
      <c r="I114" s="21" t="n">
        <f aca="false">IF('Все позиции'!O151="","",'Все позиции'!O151)</f>
        <v>-0.344135802469136</v>
      </c>
      <c r="J114" s="20" t="n">
        <f aca="false">IF('Все позиции'!G151="","",'Все позиции'!G151)</f>
        <v>5184</v>
      </c>
      <c r="K114" s="20" t="n">
        <f aca="false">IF('Все позиции'!M151="","",'Все позиции'!M151)</f>
        <v>3400</v>
      </c>
      <c r="L114" s="22" t="n">
        <f aca="false">IF('Все позиции'!N151="","",'Все позиции'!N151)</f>
        <v>-1784</v>
      </c>
      <c r="M114" s="17" t="str">
        <f aca="false">IF('Все позиции'!P151="","",'Все позиции'!P151)</f>
        <v>Цена снижена</v>
      </c>
      <c r="N114" s="18" t="str">
        <f aca="false">IF('Все позиции'!Q151="","",'Все позиции'!Q151)</f>
        <v/>
      </c>
      <c r="O114" s="18" t="str">
        <f aca="false">IF('Все позиции'!R151="","",'Все позиции'!R151)</f>
        <v/>
      </c>
    </row>
    <row r="115" customFormat="false" ht="26.85" hidden="false" customHeight="false" outlineLevel="0" collapsed="false">
      <c r="A115" s="17" t="str">
        <f aca="false">IF('Все позиции'!A158="","",'Все позиции'!A158)</f>
        <v>4. Вентиляция 10 этаж</v>
      </c>
      <c r="B115" s="17" t="str">
        <f aca="false">IF('Все позиции'!B158="","",'Все позиции'!B158)</f>
        <v>4.45</v>
      </c>
      <c r="C115" s="18" t="str">
        <f aca="false">IF('Все позиции'!C158="","",'Все позиции'!C158)</f>
        <v>Отвод 900 из оцинкованной стали толщиной 0,5мм, класса «В», Ø100</v>
      </c>
      <c r="D115" s="17" t="str">
        <f aca="false">IF('Все позиции'!D158="","",'Все позиции'!D158)</f>
        <v>шт.</v>
      </c>
      <c r="E115" s="19" t="n">
        <f aca="false">IF('Все позиции'!E158="","",'Все позиции'!E158)</f>
        <v>10</v>
      </c>
      <c r="F115" s="20" t="n">
        <f aca="false">IF('Все позиции'!F158="","",'Все позиции'!F158)</f>
        <v>1020</v>
      </c>
      <c r="G115" s="19" t="n">
        <f aca="false">IF('Все позиции'!H158="","",'Все позиции'!H158)</f>
        <v>10</v>
      </c>
      <c r="H115" s="20" t="n">
        <f aca="false">IF('Все позиции'!L158="","",'Все позиции'!L158)</f>
        <v>855</v>
      </c>
      <c r="I115" s="21" t="n">
        <f aca="false">IF('Все позиции'!O158="","",'Все позиции'!O158)</f>
        <v>-0.161764705882353</v>
      </c>
      <c r="J115" s="20" t="n">
        <f aca="false">IF('Все позиции'!G158="","",'Все позиции'!G158)</f>
        <v>10200</v>
      </c>
      <c r="K115" s="20" t="n">
        <f aca="false">IF('Все позиции'!M158="","",'Все позиции'!M158)</f>
        <v>8550</v>
      </c>
      <c r="L115" s="22" t="n">
        <f aca="false">IF('Все позиции'!N158="","",'Все позиции'!N158)</f>
        <v>-1650</v>
      </c>
      <c r="M115" s="17" t="str">
        <f aca="false">IF('Все позиции'!P158="","",'Все позиции'!P158)</f>
        <v>Цена снижена</v>
      </c>
      <c r="N115" s="18" t="str">
        <f aca="false">IF('Все позиции'!Q158="","",'Все позиции'!Q158)</f>
        <v>по договру</v>
      </c>
      <c r="O115" s="18" t="str">
        <f aca="false">IF('Все позиции'!R158="","",'Все позиции'!R158)</f>
        <v/>
      </c>
    </row>
    <row r="116" customFormat="false" ht="26.85" hidden="false" customHeight="false" outlineLevel="0" collapsed="false">
      <c r="A116" s="17" t="str">
        <f aca="false">IF('Все позиции'!A160="","",'Все позиции'!A160)</f>
        <v>4. Вентиляция 10 этаж</v>
      </c>
      <c r="B116" s="17" t="str">
        <f aca="false">IF('Все позиции'!B160="","",'Все позиции'!B160)</f>
        <v>4.47</v>
      </c>
      <c r="C116" s="18" t="str">
        <f aca="false">IF('Все позиции'!C160="","",'Все позиции'!C160)</f>
        <v>Отвод 900 из оцинкованной стали толщиной 0,5мм, класса «В», Ø160</v>
      </c>
      <c r="D116" s="17" t="str">
        <f aca="false">IF('Все позиции'!D160="","",'Все позиции'!D160)</f>
        <v>шт.</v>
      </c>
      <c r="E116" s="19" t="n">
        <f aca="false">IF('Все позиции'!E160="","",'Все позиции'!E160)</f>
        <v>10</v>
      </c>
      <c r="F116" s="20" t="n">
        <f aca="false">IF('Все позиции'!F160="","",'Все позиции'!F160)</f>
        <v>1020</v>
      </c>
      <c r="G116" s="19" t="n">
        <f aca="false">IF('Все позиции'!H160="","",'Все позиции'!H160)</f>
        <v>10</v>
      </c>
      <c r="H116" s="20" t="n">
        <f aca="false">IF('Все позиции'!L160="","",'Все позиции'!L160)</f>
        <v>855</v>
      </c>
      <c r="I116" s="21" t="n">
        <f aca="false">IF('Все позиции'!O160="","",'Все позиции'!O160)</f>
        <v>-0.161764705882353</v>
      </c>
      <c r="J116" s="20" t="n">
        <f aca="false">IF('Все позиции'!G160="","",'Все позиции'!G160)</f>
        <v>10200</v>
      </c>
      <c r="K116" s="20" t="n">
        <f aca="false">IF('Все позиции'!M160="","",'Все позиции'!M160)</f>
        <v>8550</v>
      </c>
      <c r="L116" s="22" t="n">
        <f aca="false">IF('Все позиции'!N160="","",'Все позиции'!N160)</f>
        <v>-1650</v>
      </c>
      <c r="M116" s="17" t="str">
        <f aca="false">IF('Все позиции'!P160="","",'Все позиции'!P160)</f>
        <v>Цена снижена</v>
      </c>
      <c r="N116" s="18" t="str">
        <f aca="false">IF('Все позиции'!Q160="","",'Все позиции'!Q160)</f>
        <v>по договру</v>
      </c>
      <c r="O116" s="18" t="str">
        <f aca="false">IF('Все позиции'!R160="","",'Все позиции'!R160)</f>
        <v/>
      </c>
    </row>
    <row r="117" customFormat="false" ht="26.85" hidden="false" customHeight="false" outlineLevel="0" collapsed="false">
      <c r="A117" s="17" t="str">
        <f aca="false">IF('Все позиции'!A281="","",'Все позиции'!A281)</f>
        <v>6. Вентиляция 2 этаж</v>
      </c>
      <c r="B117" s="17" t="str">
        <f aca="false">IF('Все позиции'!B281="","",'Все позиции'!B281)</f>
        <v>6.41</v>
      </c>
      <c r="C117" s="18" t="str">
        <f aca="false">IF('Все позиции'!C281="","",'Все позиции'!C281)</f>
        <v>Отвод 900 из оцинкованной стали толщиной 0,5мм, класса «В», Ø200</v>
      </c>
      <c r="D117" s="17" t="str">
        <f aca="false">IF('Все позиции'!D281="","",'Все позиции'!D281)</f>
        <v>шт.</v>
      </c>
      <c r="E117" s="19" t="n">
        <f aca="false">IF('Все позиции'!E281="","",'Все позиции'!E281)</f>
        <v>10</v>
      </c>
      <c r="F117" s="20" t="n">
        <f aca="false">IF('Все позиции'!F281="","",'Все позиции'!F281)</f>
        <v>1020</v>
      </c>
      <c r="G117" s="19" t="n">
        <f aca="false">IF('Все позиции'!H281="","",'Все позиции'!H281)</f>
        <v>10</v>
      </c>
      <c r="H117" s="20" t="n">
        <f aca="false">IF('Все позиции'!L281="","",'Все позиции'!L281)</f>
        <v>855</v>
      </c>
      <c r="I117" s="21" t="n">
        <f aca="false">IF('Все позиции'!O281="","",'Все позиции'!O281)</f>
        <v>-0.161764705882353</v>
      </c>
      <c r="J117" s="20" t="n">
        <f aca="false">IF('Все позиции'!G281="","",'Все позиции'!G281)</f>
        <v>10200</v>
      </c>
      <c r="K117" s="20" t="n">
        <f aca="false">IF('Все позиции'!M281="","",'Все позиции'!M281)</f>
        <v>8550</v>
      </c>
      <c r="L117" s="22" t="n">
        <f aca="false">IF('Все позиции'!N281="","",'Все позиции'!N281)</f>
        <v>-1650</v>
      </c>
      <c r="M117" s="17" t="str">
        <f aca="false">IF('Все позиции'!P281="","",'Все позиции'!P281)</f>
        <v>Цена снижена</v>
      </c>
      <c r="N117" s="18" t="str">
        <f aca="false">IF('Все позиции'!Q281="","",'Все позиции'!Q281)</f>
        <v>по договру</v>
      </c>
      <c r="O117" s="18" t="str">
        <f aca="false">IF('Все позиции'!R281="","",'Все позиции'!R281)</f>
        <v/>
      </c>
    </row>
    <row r="118" customFormat="false" ht="26.85" hidden="false" customHeight="false" outlineLevel="0" collapsed="false">
      <c r="A118" s="17" t="str">
        <f aca="false">IF('Все позиции'!A188="","",'Все позиции'!A188)</f>
        <v>4. Вентиляция 10 этаж</v>
      </c>
      <c r="B118" s="17" t="str">
        <f aca="false">IF('Все позиции'!B188="","",'Все позиции'!B188)</f>
        <v>4.75</v>
      </c>
      <c r="C118" s="18" t="str">
        <f aca="false">IF('Все позиции'!C188="","",'Все позиции'!C188)</f>
        <v>Переход из оцинкованной стали толщиной 0,7мм, класса «В», 700x250/600x200</v>
      </c>
      <c r="D118" s="17" t="str">
        <f aca="false">IF('Все позиции'!D188="","",'Все позиции'!D188)</f>
        <v>шт.</v>
      </c>
      <c r="E118" s="19" t="n">
        <f aca="false">IF('Все позиции'!E188="","",'Все позиции'!E188)</f>
        <v>1</v>
      </c>
      <c r="F118" s="20" t="n">
        <f aca="false">IF('Все позиции'!F188="","",'Все позиции'!F188)</f>
        <v>2592</v>
      </c>
      <c r="G118" s="19" t="n">
        <f aca="false">IF('Все позиции'!H188="","",'Все позиции'!H188)</f>
        <v>1</v>
      </c>
      <c r="H118" s="20" t="n">
        <f aca="false">IF('Все позиции'!L188="","",'Все позиции'!L188)</f>
        <v>1020</v>
      </c>
      <c r="I118" s="21" t="n">
        <f aca="false">IF('Все позиции'!O188="","",'Все позиции'!O188)</f>
        <v>-0.606481481481481</v>
      </c>
      <c r="J118" s="20" t="n">
        <f aca="false">IF('Все позиции'!G188="","",'Все позиции'!G188)</f>
        <v>2592</v>
      </c>
      <c r="K118" s="20" t="n">
        <f aca="false">IF('Все позиции'!M188="","",'Все позиции'!M188)</f>
        <v>1020</v>
      </c>
      <c r="L118" s="22" t="n">
        <f aca="false">IF('Все позиции'!N188="","",'Все позиции'!N188)</f>
        <v>-1572</v>
      </c>
      <c r="M118" s="17" t="str">
        <f aca="false">IF('Все позиции'!P188="","",'Все позиции'!P188)</f>
        <v>Цена снижена</v>
      </c>
      <c r="N118" s="18" t="str">
        <f aca="false">IF('Все позиции'!Q188="","",'Все позиции'!Q188)</f>
        <v/>
      </c>
      <c r="O118" s="18" t="str">
        <f aca="false">IF('Все позиции'!R188="","",'Все позиции'!R188)</f>
        <v/>
      </c>
    </row>
    <row r="119" customFormat="false" ht="26.85" hidden="false" customHeight="false" outlineLevel="0" collapsed="false">
      <c r="A119" s="17" t="str">
        <f aca="false">IF('Все позиции'!A276="","",'Все позиции'!A276)</f>
        <v>6. Вентиляция 2 этаж</v>
      </c>
      <c r="B119" s="17" t="str">
        <f aca="false">IF('Все позиции'!B276="","",'Все позиции'!B276)</f>
        <v>6.36</v>
      </c>
      <c r="C119" s="18" t="str">
        <f aca="false">IF('Все позиции'!C276="","",'Все позиции'!C276)</f>
        <v>Отвод 450 из оцинкованной стали толщиной 0,7мм, класса «В», 200x300</v>
      </c>
      <c r="D119" s="17" t="str">
        <f aca="false">IF('Все позиции'!D276="","",'Все позиции'!D276)</f>
        <v>шт.</v>
      </c>
      <c r="E119" s="19" t="n">
        <f aca="false">IF('Все позиции'!E276="","",'Все позиции'!E276)</f>
        <v>2</v>
      </c>
      <c r="F119" s="20" t="n">
        <f aca="false">IF('Все позиции'!F276="","",'Все позиции'!F276)</f>
        <v>1620</v>
      </c>
      <c r="G119" s="19" t="n">
        <f aca="false">IF('Все позиции'!H276="","",'Все позиции'!H276)</f>
        <v>2</v>
      </c>
      <c r="H119" s="20" t="n">
        <f aca="false">IF('Все позиции'!L276="","",'Все позиции'!L276)</f>
        <v>850</v>
      </c>
      <c r="I119" s="21" t="n">
        <f aca="false">IF('Все позиции'!O276="","",'Все позиции'!O276)</f>
        <v>-0.475308641975309</v>
      </c>
      <c r="J119" s="20" t="n">
        <f aca="false">IF('Все позиции'!G276="","",'Все позиции'!G276)</f>
        <v>3240</v>
      </c>
      <c r="K119" s="20" t="n">
        <f aca="false">IF('Все позиции'!M276="","",'Все позиции'!M276)</f>
        <v>1700</v>
      </c>
      <c r="L119" s="22" t="n">
        <f aca="false">IF('Все позиции'!N276="","",'Все позиции'!N276)</f>
        <v>-1540</v>
      </c>
      <c r="M119" s="17" t="str">
        <f aca="false">IF('Все позиции'!P276="","",'Все позиции'!P276)</f>
        <v>Цена снижена</v>
      </c>
      <c r="N119" s="18" t="str">
        <f aca="false">IF('Все позиции'!Q276="","",'Все позиции'!Q276)</f>
        <v/>
      </c>
      <c r="O119" s="18" t="str">
        <f aca="false">IF('Все позиции'!R276="","",'Все позиции'!R276)</f>
        <v/>
      </c>
    </row>
    <row r="120" customFormat="false" ht="26.85" hidden="false" customHeight="false" outlineLevel="0" collapsed="false">
      <c r="A120" s="17" t="str">
        <f aca="false">IF('Все позиции'!A283="","",'Все позиции'!A283)</f>
        <v>6. Вентиляция 2 этаж</v>
      </c>
      <c r="B120" s="17" t="str">
        <f aca="false">IF('Все позиции'!B283="","",'Все позиции'!B283)</f>
        <v>6.43</v>
      </c>
      <c r="C120" s="18" t="str">
        <f aca="false">IF('Все позиции'!C283="","",'Все позиции'!C283)</f>
        <v>Отвод 900 из оцинкованной стали толщиной 0,7мм, класса «В», 200x300</v>
      </c>
      <c r="D120" s="17" t="str">
        <f aca="false">IF('Все позиции'!D283="","",'Все позиции'!D283)</f>
        <v>шт.</v>
      </c>
      <c r="E120" s="19" t="n">
        <f aca="false">IF('Все позиции'!E283="","",'Все позиции'!E283)</f>
        <v>2</v>
      </c>
      <c r="F120" s="20" t="n">
        <f aca="false">IF('Все позиции'!F283="","",'Все позиции'!F283)</f>
        <v>1620</v>
      </c>
      <c r="G120" s="19" t="n">
        <f aca="false">IF('Все позиции'!H283="","",'Все позиции'!H283)</f>
        <v>2</v>
      </c>
      <c r="H120" s="20" t="n">
        <f aca="false">IF('Все позиции'!L283="","",'Все позиции'!L283)</f>
        <v>850</v>
      </c>
      <c r="I120" s="21" t="n">
        <f aca="false">IF('Все позиции'!O283="","",'Все позиции'!O283)</f>
        <v>-0.475308641975309</v>
      </c>
      <c r="J120" s="20" t="n">
        <f aca="false">IF('Все позиции'!G283="","",'Все позиции'!G283)</f>
        <v>3240</v>
      </c>
      <c r="K120" s="20" t="n">
        <f aca="false">IF('Все позиции'!M283="","",'Все позиции'!M283)</f>
        <v>1700</v>
      </c>
      <c r="L120" s="22" t="n">
        <f aca="false">IF('Все позиции'!N283="","",'Все позиции'!N283)</f>
        <v>-1540</v>
      </c>
      <c r="M120" s="17" t="str">
        <f aca="false">IF('Все позиции'!P283="","",'Все позиции'!P283)</f>
        <v>Цена снижена</v>
      </c>
      <c r="N120" s="18" t="str">
        <f aca="false">IF('Все позиции'!Q283="","",'Все позиции'!Q283)</f>
        <v/>
      </c>
      <c r="O120" s="18" t="str">
        <f aca="false">IF('Все позиции'!R283="","",'Все позиции'!R283)</f>
        <v/>
      </c>
    </row>
    <row r="121" customFormat="false" ht="26.85" hidden="false" customHeight="false" outlineLevel="0" collapsed="false">
      <c r="A121" s="17" t="str">
        <f aca="false">IF('Все позиции'!A277="","",'Все позиции'!A277)</f>
        <v>6. Вентиляция 2 этаж</v>
      </c>
      <c r="B121" s="17" t="str">
        <f aca="false">IF('Все позиции'!B277="","",'Все позиции'!B277)</f>
        <v>6.37</v>
      </c>
      <c r="C121" s="18" t="str">
        <f aca="false">IF('Все позиции'!C277="","",'Все позиции'!C277)</f>
        <v>Отвод 450 из оцинкованной стали толщиной 0,7мм, класса «В», 200x400</v>
      </c>
      <c r="D121" s="17" t="str">
        <f aca="false">IF('Все позиции'!D277="","",'Все позиции'!D277)</f>
        <v>шт.</v>
      </c>
      <c r="E121" s="19" t="n">
        <f aca="false">IF('Все позиции'!E277="","",'Все позиции'!E277)</f>
        <v>2</v>
      </c>
      <c r="F121" s="20" t="n">
        <f aca="false">IF('Все позиции'!F277="","",'Все позиции'!F277)</f>
        <v>1944</v>
      </c>
      <c r="G121" s="19" t="n">
        <f aca="false">IF('Все позиции'!H277="","",'Все позиции'!H277)</f>
        <v>2</v>
      </c>
      <c r="H121" s="20" t="n">
        <f aca="false">IF('Все позиции'!L277="","",'Все позиции'!L277)</f>
        <v>1190</v>
      </c>
      <c r="I121" s="21" t="n">
        <f aca="false">IF('Все позиции'!O277="","",'Все позиции'!O277)</f>
        <v>-0.387860082304527</v>
      </c>
      <c r="J121" s="20" t="n">
        <f aca="false">IF('Все позиции'!G277="","",'Все позиции'!G277)</f>
        <v>3888</v>
      </c>
      <c r="K121" s="20" t="n">
        <f aca="false">IF('Все позиции'!M277="","",'Все позиции'!M277)</f>
        <v>2380</v>
      </c>
      <c r="L121" s="22" t="n">
        <f aca="false">IF('Все позиции'!N277="","",'Все позиции'!N277)</f>
        <v>-1508</v>
      </c>
      <c r="M121" s="17" t="str">
        <f aca="false">IF('Все позиции'!P277="","",'Все позиции'!P277)</f>
        <v>Цена снижена</v>
      </c>
      <c r="N121" s="18" t="str">
        <f aca="false">IF('Все позиции'!Q277="","",'Все позиции'!Q277)</f>
        <v/>
      </c>
      <c r="O121" s="18" t="str">
        <f aca="false">IF('Все позиции'!R277="","",'Все позиции'!R277)</f>
        <v/>
      </c>
    </row>
    <row r="122" customFormat="false" ht="26.85" hidden="false" customHeight="false" outlineLevel="0" collapsed="false">
      <c r="A122" s="17" t="str">
        <f aca="false">IF('Все позиции'!A284="","",'Все позиции'!A284)</f>
        <v>6. Вентиляция 2 этаж</v>
      </c>
      <c r="B122" s="17" t="str">
        <f aca="false">IF('Все позиции'!B284="","",'Все позиции'!B284)</f>
        <v>6.44</v>
      </c>
      <c r="C122" s="18" t="str">
        <f aca="false">IF('Все позиции'!C284="","",'Все позиции'!C284)</f>
        <v>Отвод 900 из оцинкованной стали толщиной 0,7мм, класса «В», 200x400</v>
      </c>
      <c r="D122" s="17" t="str">
        <f aca="false">IF('Все позиции'!D284="","",'Все позиции'!D284)</f>
        <v>шт.</v>
      </c>
      <c r="E122" s="19" t="n">
        <f aca="false">IF('Все позиции'!E284="","",'Все позиции'!E284)</f>
        <v>2</v>
      </c>
      <c r="F122" s="20" t="n">
        <f aca="false">IF('Все позиции'!F284="","",'Все позиции'!F284)</f>
        <v>1944</v>
      </c>
      <c r="G122" s="19" t="n">
        <f aca="false">IF('Все позиции'!H284="","",'Все позиции'!H284)</f>
        <v>2</v>
      </c>
      <c r="H122" s="20" t="n">
        <f aca="false">IF('Все позиции'!L284="","",'Все позиции'!L284)</f>
        <v>1190</v>
      </c>
      <c r="I122" s="21" t="n">
        <f aca="false">IF('Все позиции'!O284="","",'Все позиции'!O284)</f>
        <v>-0.387860082304527</v>
      </c>
      <c r="J122" s="20" t="n">
        <f aca="false">IF('Все позиции'!G284="","",'Все позиции'!G284)</f>
        <v>3888</v>
      </c>
      <c r="K122" s="20" t="n">
        <f aca="false">IF('Все позиции'!M284="","",'Все позиции'!M284)</f>
        <v>2380</v>
      </c>
      <c r="L122" s="22" t="n">
        <f aca="false">IF('Все позиции'!N284="","",'Все позиции'!N284)</f>
        <v>-1508</v>
      </c>
      <c r="M122" s="17" t="str">
        <f aca="false">IF('Все позиции'!P284="","",'Все позиции'!P284)</f>
        <v>Цена снижена</v>
      </c>
      <c r="N122" s="18" t="str">
        <f aca="false">IF('Все позиции'!Q284="","",'Все позиции'!Q284)</f>
        <v/>
      </c>
      <c r="O122" s="18" t="str">
        <f aca="false">IF('Все позиции'!R284="","",'Все позиции'!R284)</f>
        <v/>
      </c>
    </row>
    <row r="123" customFormat="false" ht="26.85" hidden="false" customHeight="false" outlineLevel="0" collapsed="false">
      <c r="A123" s="17" t="str">
        <f aca="false">IF('Все позиции'!A286="","",'Все позиции'!A286)</f>
        <v>6. Вентиляция 2 этаж</v>
      </c>
      <c r="B123" s="17" t="str">
        <f aca="false">IF('Все позиции'!B286="","",'Все позиции'!B286)</f>
        <v>6.46</v>
      </c>
      <c r="C123" s="18" t="str">
        <f aca="false">IF('Все позиции'!C286="","",'Все позиции'!C286)</f>
        <v>Отвод 900 из оцинкованной стали толщиной 0,7мм, класса «В», 400x200</v>
      </c>
      <c r="D123" s="17" t="str">
        <f aca="false">IF('Все позиции'!D286="","",'Все позиции'!D286)</f>
        <v>шт.</v>
      </c>
      <c r="E123" s="19" t="n">
        <f aca="false">IF('Все позиции'!E286="","",'Все позиции'!E286)</f>
        <v>2</v>
      </c>
      <c r="F123" s="20" t="n">
        <f aca="false">IF('Все позиции'!F286="","",'Все позиции'!F286)</f>
        <v>1944</v>
      </c>
      <c r="G123" s="19" t="n">
        <f aca="false">IF('Все позиции'!H286="","",'Все позиции'!H286)</f>
        <v>2</v>
      </c>
      <c r="H123" s="20" t="n">
        <f aca="false">IF('Все позиции'!L286="","",'Все позиции'!L286)</f>
        <v>1190</v>
      </c>
      <c r="I123" s="21" t="n">
        <f aca="false">IF('Все позиции'!O286="","",'Все позиции'!O286)</f>
        <v>-0.387860082304527</v>
      </c>
      <c r="J123" s="20" t="n">
        <f aca="false">IF('Все позиции'!G286="","",'Все позиции'!G286)</f>
        <v>3888</v>
      </c>
      <c r="K123" s="20" t="n">
        <f aca="false">IF('Все позиции'!M286="","",'Все позиции'!M286)</f>
        <v>2380</v>
      </c>
      <c r="L123" s="22" t="n">
        <f aca="false">IF('Все позиции'!N286="","",'Все позиции'!N286)</f>
        <v>-1508</v>
      </c>
      <c r="M123" s="17" t="str">
        <f aca="false">IF('Все позиции'!P286="","",'Все позиции'!P286)</f>
        <v>Цена снижена</v>
      </c>
      <c r="N123" s="18" t="str">
        <f aca="false">IF('Все позиции'!Q286="","",'Все позиции'!Q286)</f>
        <v/>
      </c>
      <c r="O123" s="18" t="str">
        <f aca="false">IF('Все позиции'!R286="","",'Все позиции'!R286)</f>
        <v/>
      </c>
    </row>
    <row r="124" customFormat="false" ht="15" hidden="false" customHeight="false" outlineLevel="0" collapsed="false">
      <c r="A124" s="17" t="str">
        <f aca="false">IF('Все позиции'!A227="","",'Все позиции'!A227)</f>
        <v>5. Холодоснабжение 10 этаж</v>
      </c>
      <c r="B124" s="17" t="str">
        <f aca="false">IF('Все позиции'!B227="","",'Все позиции'!B227)</f>
        <v>5.24</v>
      </c>
      <c r="C124" s="18" t="str">
        <f aca="false">IF('Все позиции'!C227="","",'Все позиции'!C227)</f>
        <v>Муфта переходная полипропиленовая, 40/32</v>
      </c>
      <c r="D124" s="17" t="str">
        <f aca="false">IF('Все позиции'!D227="","",'Все позиции'!D227)</f>
        <v>шт.</v>
      </c>
      <c r="E124" s="19" t="n">
        <f aca="false">IF('Все позиции'!E227="","",'Все позиции'!E227)</f>
        <v>3</v>
      </c>
      <c r="F124" s="20" t="n">
        <f aca="false">IF('Все позиции'!F227="","",'Все позиции'!F227)</f>
        <v>1020</v>
      </c>
      <c r="G124" s="19" t="n">
        <f aca="false">IF('Все позиции'!H227="","",'Все позиции'!H227)</f>
        <v>3</v>
      </c>
      <c r="H124" s="20" t="n">
        <f aca="false">IF('Все позиции'!L227="","",'Все позиции'!L227)</f>
        <v>520</v>
      </c>
      <c r="I124" s="21" t="n">
        <f aca="false">IF('Все позиции'!O227="","",'Все позиции'!O227)</f>
        <v>-0.490196078431373</v>
      </c>
      <c r="J124" s="20" t="n">
        <f aca="false">IF('Все позиции'!G227="","",'Все позиции'!G227)</f>
        <v>3060</v>
      </c>
      <c r="K124" s="20" t="n">
        <f aca="false">IF('Все позиции'!M227="","",'Все позиции'!M227)</f>
        <v>1560</v>
      </c>
      <c r="L124" s="22" t="n">
        <f aca="false">IF('Все позиции'!N227="","",'Все позиции'!N227)</f>
        <v>-1500</v>
      </c>
      <c r="M124" s="17" t="str">
        <f aca="false">IF('Все позиции'!P227="","",'Все позиции'!P227)</f>
        <v>Цена снижена</v>
      </c>
      <c r="N124" s="18" t="str">
        <f aca="false">IF('Все позиции'!Q227="","",'Все позиции'!Q227)</f>
        <v/>
      </c>
      <c r="O124" s="18" t="str">
        <f aca="false">IF('Все позиции'!R227="","",'Все позиции'!R227)</f>
        <v>Цена Согласована Марк</v>
      </c>
    </row>
    <row r="125" customFormat="false" ht="26.85" hidden="false" customHeight="false" outlineLevel="0" collapsed="false">
      <c r="A125" s="17" t="str">
        <f aca="false">IF('Все позиции'!A253="","",'Все позиции'!A253)</f>
        <v>6. Вентиляция 2 этаж</v>
      </c>
      <c r="B125" s="17" t="str">
        <f aca="false">IF('Все позиции'!B253="","",'Все позиции'!B253)</f>
        <v>6.13</v>
      </c>
      <c r="C125" s="18" t="str">
        <f aca="false">IF('Все позиции'!C253="","",'Все позиции'!C253)</f>
        <v>Воздуховод гофрированный изолированный, Ø100</v>
      </c>
      <c r="D125" s="17" t="str">
        <f aca="false">IF('Все позиции'!D253="","",'Все позиции'!D253)</f>
        <v>мп</v>
      </c>
      <c r="E125" s="19" t="n">
        <f aca="false">IF('Все позиции'!E253="","",'Все позиции'!E253)</f>
        <v>4</v>
      </c>
      <c r="F125" s="20" t="n">
        <f aca="false">IF('Все позиции'!F253="","",'Все позиции'!F253)</f>
        <v>1134</v>
      </c>
      <c r="G125" s="19" t="n">
        <f aca="false">IF('Все позиции'!H253="","",'Все позиции'!H253)</f>
        <v>4</v>
      </c>
      <c r="H125" s="20" t="n">
        <f aca="false">IF('Все позиции'!L253="","",'Все позиции'!L253)</f>
        <v>760</v>
      </c>
      <c r="I125" s="21" t="n">
        <f aca="false">IF('Все позиции'!O253="","",'Все позиции'!O253)</f>
        <v>-0.329805996472663</v>
      </c>
      <c r="J125" s="20" t="n">
        <f aca="false">IF('Все позиции'!G253="","",'Все позиции'!G253)</f>
        <v>4536</v>
      </c>
      <c r="K125" s="20" t="n">
        <f aca="false">IF('Все позиции'!M253="","",'Все позиции'!M253)</f>
        <v>3040</v>
      </c>
      <c r="L125" s="22" t="n">
        <f aca="false">IF('Все позиции'!N253="","",'Все позиции'!N253)</f>
        <v>-1496</v>
      </c>
      <c r="M125" s="17" t="str">
        <f aca="false">IF('Все позиции'!P253="","",'Все позиции'!P253)</f>
        <v>Цена снижена</v>
      </c>
      <c r="N125" s="18" t="str">
        <f aca="false">IF('Все позиции'!Q253="","",'Все позиции'!Q253)</f>
        <v>по договору</v>
      </c>
      <c r="O125" s="18" t="str">
        <f aca="false">IF('Все позиции'!R253="","",'Все позиции'!R253)</f>
        <v/>
      </c>
    </row>
    <row r="126" customFormat="false" ht="26.85" hidden="false" customHeight="false" outlineLevel="0" collapsed="false">
      <c r="A126" s="17" t="str">
        <f aca="false">IF('Все позиции'!A257="","",'Все позиции'!A257)</f>
        <v>6. Вентиляция 2 этаж</v>
      </c>
      <c r="B126" s="17" t="str">
        <f aca="false">IF('Все позиции'!B257="","",'Все позиции'!B257)</f>
        <v>6.17</v>
      </c>
      <c r="C126" s="18" t="str">
        <f aca="false">IF('Все позиции'!C257="","",'Все позиции'!C257)</f>
        <v>Воздуховод из оцинкованной стали толщиной 0,5мм, класса «В», Ø160</v>
      </c>
      <c r="D126" s="17" t="str">
        <f aca="false">IF('Все позиции'!D257="","",'Все позиции'!D257)</f>
        <v>мп</v>
      </c>
      <c r="E126" s="19" t="n">
        <f aca="false">IF('Все позиции'!E257="","",'Все позиции'!E257)</f>
        <v>3</v>
      </c>
      <c r="F126" s="20" t="n">
        <f aca="false">IF('Все позиции'!F257="","",'Все позиции'!F257)</f>
        <v>1360.8</v>
      </c>
      <c r="G126" s="19" t="n">
        <f aca="false">IF('Все позиции'!H257="","",'Все позиции'!H257)</f>
        <v>3</v>
      </c>
      <c r="H126" s="20" t="n">
        <f aca="false">IF('Все позиции'!L257="","",'Все позиции'!L257)</f>
        <v>862.23</v>
      </c>
      <c r="I126" s="21" t="n">
        <f aca="false">IF('Все позиции'!O257="","",'Все позиции'!O257)</f>
        <v>-0.366380070546737</v>
      </c>
      <c r="J126" s="20" t="n">
        <f aca="false">IF('Все позиции'!G257="","",'Все позиции'!G257)</f>
        <v>4082.4</v>
      </c>
      <c r="K126" s="20" t="n">
        <f aca="false">IF('Все позиции'!M257="","",'Все позиции'!M257)</f>
        <v>2586.69</v>
      </c>
      <c r="L126" s="22" t="n">
        <f aca="false">IF('Все позиции'!N257="","",'Все позиции'!N257)</f>
        <v>-1495.71</v>
      </c>
      <c r="M126" s="17" t="str">
        <f aca="false">IF('Все позиции'!P257="","",'Все позиции'!P257)</f>
        <v>Цена снижена</v>
      </c>
      <c r="N126" s="18" t="str">
        <f aca="false">IF('Все позиции'!Q257="","",'Все позиции'!Q257)</f>
        <v>по договору</v>
      </c>
      <c r="O126" s="18" t="str">
        <f aca="false">IF('Все позиции'!R257="","",'Все позиции'!R257)</f>
        <v/>
      </c>
    </row>
    <row r="127" customFormat="false" ht="26.85" hidden="false" customHeight="false" outlineLevel="0" collapsed="false">
      <c r="A127" s="17" t="str">
        <f aca="false">IF('Все позиции'!A154="","",'Все позиции'!A154)</f>
        <v>4. Вентиляция 10 этаж</v>
      </c>
      <c r="B127" s="17" t="str">
        <f aca="false">IF('Все позиции'!B154="","",'Все позиции'!B154)</f>
        <v>4.41</v>
      </c>
      <c r="C127" s="18" t="str">
        <f aca="false">IF('Все позиции'!C154="","",'Все позиции'!C154)</f>
        <v>Отвод 450 из оцинкованной стали толщиной 0,5мм, класса «В», Ø160</v>
      </c>
      <c r="D127" s="17" t="str">
        <f aca="false">IF('Все позиции'!D154="","",'Все позиции'!D154)</f>
        <v>шт.</v>
      </c>
      <c r="E127" s="19" t="n">
        <f aca="false">IF('Все позиции'!E154="","",'Все позиции'!E154)</f>
        <v>9</v>
      </c>
      <c r="F127" s="20" t="n">
        <f aca="false">IF('Все позиции'!F154="","",'Все позиции'!F154)</f>
        <v>1020</v>
      </c>
      <c r="G127" s="19" t="n">
        <f aca="false">IF('Все позиции'!H154="","",'Все позиции'!H154)</f>
        <v>9</v>
      </c>
      <c r="H127" s="20" t="n">
        <f aca="false">IF('Все позиции'!L154="","",'Все позиции'!L154)</f>
        <v>855</v>
      </c>
      <c r="I127" s="21" t="n">
        <f aca="false">IF('Все позиции'!O154="","",'Все позиции'!O154)</f>
        <v>-0.161764705882353</v>
      </c>
      <c r="J127" s="20" t="n">
        <f aca="false">IF('Все позиции'!G154="","",'Все позиции'!G154)</f>
        <v>9180</v>
      </c>
      <c r="K127" s="20" t="n">
        <f aca="false">IF('Все позиции'!M154="","",'Все позиции'!M154)</f>
        <v>7695</v>
      </c>
      <c r="L127" s="22" t="n">
        <f aca="false">IF('Все позиции'!N154="","",'Все позиции'!N154)</f>
        <v>-1485</v>
      </c>
      <c r="M127" s="17" t="str">
        <f aca="false">IF('Все позиции'!P154="","",'Все позиции'!P154)</f>
        <v>Цена снижена</v>
      </c>
      <c r="N127" s="18" t="str">
        <f aca="false">IF('Все позиции'!Q154="","",'Все позиции'!Q154)</f>
        <v>по договру</v>
      </c>
      <c r="O127" s="18" t="str">
        <f aca="false">IF('Все позиции'!R154="","",'Все позиции'!R154)</f>
        <v/>
      </c>
    </row>
    <row r="128" customFormat="false" ht="26.85" hidden="false" customHeight="false" outlineLevel="0" collapsed="false">
      <c r="A128" s="17" t="str">
        <f aca="false">IF('Все позиции'!A279="","",'Все позиции'!A279)</f>
        <v>6. Вентиляция 2 этаж</v>
      </c>
      <c r="B128" s="17" t="str">
        <f aca="false">IF('Все позиции'!B279="","",'Все позиции'!B279)</f>
        <v>6.39</v>
      </c>
      <c r="C128" s="18" t="str">
        <f aca="false">IF('Все позиции'!C279="","",'Все позиции'!C279)</f>
        <v>Отвод 900 из оцинкованной стали толщиной 0,5мм, класса «В», Ø100</v>
      </c>
      <c r="D128" s="17" t="str">
        <f aca="false">IF('Все позиции'!D279="","",'Все позиции'!D279)</f>
        <v>шт.</v>
      </c>
      <c r="E128" s="19" t="n">
        <f aca="false">IF('Все позиции'!E279="","",'Все позиции'!E279)</f>
        <v>9</v>
      </c>
      <c r="F128" s="20" t="n">
        <f aca="false">IF('Все позиции'!F279="","",'Все позиции'!F279)</f>
        <v>1020</v>
      </c>
      <c r="G128" s="19" t="n">
        <f aca="false">IF('Все позиции'!H279="","",'Все позиции'!H279)</f>
        <v>9</v>
      </c>
      <c r="H128" s="20" t="n">
        <f aca="false">IF('Все позиции'!L279="","",'Все позиции'!L279)</f>
        <v>855</v>
      </c>
      <c r="I128" s="21" t="n">
        <f aca="false">IF('Все позиции'!O279="","",'Все позиции'!O279)</f>
        <v>-0.161764705882353</v>
      </c>
      <c r="J128" s="20" t="n">
        <f aca="false">IF('Все позиции'!G279="","",'Все позиции'!G279)</f>
        <v>9180</v>
      </c>
      <c r="K128" s="20" t="n">
        <f aca="false">IF('Все позиции'!M279="","",'Все позиции'!M279)</f>
        <v>7695</v>
      </c>
      <c r="L128" s="22" t="n">
        <f aca="false">IF('Все позиции'!N279="","",'Все позиции'!N279)</f>
        <v>-1485</v>
      </c>
      <c r="M128" s="17" t="str">
        <f aca="false">IF('Все позиции'!P279="","",'Все позиции'!P279)</f>
        <v>Цена снижена</v>
      </c>
      <c r="N128" s="18" t="str">
        <f aca="false">IF('Все позиции'!Q279="","",'Все позиции'!Q279)</f>
        <v>по договру</v>
      </c>
      <c r="O128" s="18" t="str">
        <f aca="false">IF('Все позиции'!R279="","",'Все позиции'!R279)</f>
        <v/>
      </c>
    </row>
    <row r="129" customFormat="false" ht="26.85" hidden="false" customHeight="false" outlineLevel="0" collapsed="false">
      <c r="A129" s="17" t="str">
        <f aca="false">IF('Все позиции'!A280="","",'Все позиции'!A280)</f>
        <v>6. Вентиляция 2 этаж</v>
      </c>
      <c r="B129" s="17" t="str">
        <f aca="false">IF('Все позиции'!B280="","",'Все позиции'!B280)</f>
        <v>6.40</v>
      </c>
      <c r="C129" s="18" t="str">
        <f aca="false">IF('Все позиции'!C280="","",'Все позиции'!C280)</f>
        <v>Отвод 900 из оцинкованной стали толщиной 0,5мм, класса «В», Ø125</v>
      </c>
      <c r="D129" s="17" t="str">
        <f aca="false">IF('Все позиции'!D280="","",'Все позиции'!D280)</f>
        <v>шт.</v>
      </c>
      <c r="E129" s="19" t="n">
        <f aca="false">IF('Все позиции'!E280="","",'Все позиции'!E280)</f>
        <v>9</v>
      </c>
      <c r="F129" s="20" t="n">
        <f aca="false">IF('Все позиции'!F280="","",'Все позиции'!F280)</f>
        <v>1020</v>
      </c>
      <c r="G129" s="19" t="n">
        <f aca="false">IF('Все позиции'!H280="","",'Все позиции'!H280)</f>
        <v>9</v>
      </c>
      <c r="H129" s="20" t="n">
        <f aca="false">IF('Все позиции'!L280="","",'Все позиции'!L280)</f>
        <v>855</v>
      </c>
      <c r="I129" s="21" t="n">
        <f aca="false">IF('Все позиции'!O280="","",'Все позиции'!O280)</f>
        <v>-0.161764705882353</v>
      </c>
      <c r="J129" s="20" t="n">
        <f aca="false">IF('Все позиции'!G280="","",'Все позиции'!G280)</f>
        <v>9180</v>
      </c>
      <c r="K129" s="20" t="n">
        <f aca="false">IF('Все позиции'!M280="","",'Все позиции'!M280)</f>
        <v>7695</v>
      </c>
      <c r="L129" s="22" t="n">
        <f aca="false">IF('Все позиции'!N280="","",'Все позиции'!N280)</f>
        <v>-1485</v>
      </c>
      <c r="M129" s="17" t="str">
        <f aca="false">IF('Все позиции'!P280="","",'Все позиции'!P280)</f>
        <v>Цена снижена</v>
      </c>
      <c r="N129" s="18" t="str">
        <f aca="false">IF('Все позиции'!Q280="","",'Все позиции'!Q280)</f>
        <v>по договру</v>
      </c>
      <c r="O129" s="18" t="str">
        <f aca="false">IF('Все позиции'!R280="","",'Все позиции'!R280)</f>
        <v/>
      </c>
    </row>
    <row r="130" customFormat="false" ht="26.85" hidden="false" customHeight="false" outlineLevel="0" collapsed="false">
      <c r="A130" s="17" t="str">
        <f aca="false">IF('Все позиции'!A297="","",'Все позиции'!A297)</f>
        <v>6. Вентиляция 2 этаж</v>
      </c>
      <c r="B130" s="17" t="str">
        <f aca="false">IF('Все позиции'!B297="","",'Все позиции'!B297)</f>
        <v>6.57</v>
      </c>
      <c r="C130" s="18" t="str">
        <f aca="false">IF('Все позиции'!C297="","",'Все позиции'!C297)</f>
        <v>Переход из оцинкованной стали толщиной 0,7мм, класса «В», 300x200/Ø200</v>
      </c>
      <c r="D130" s="17" t="str">
        <f aca="false">IF('Все позиции'!D297="","",'Все позиции'!D297)</f>
        <v>шт.</v>
      </c>
      <c r="E130" s="19" t="n">
        <f aca="false">IF('Все позиции'!E297="","",'Все позиции'!E297)</f>
        <v>2</v>
      </c>
      <c r="F130" s="20" t="n">
        <f aca="false">IF('Все позиции'!F297="","",'Все позиции'!F297)</f>
        <v>1377</v>
      </c>
      <c r="G130" s="19" t="n">
        <f aca="false">IF('Все позиции'!H297="","",'Все позиции'!H297)</f>
        <v>2</v>
      </c>
      <c r="H130" s="20" t="n">
        <f aca="false">IF('Все позиции'!L297="","",'Все позиции'!L297)</f>
        <v>680</v>
      </c>
      <c r="I130" s="21" t="n">
        <f aca="false">IF('Все позиции'!O297="","",'Все позиции'!O297)</f>
        <v>-0.506172839506173</v>
      </c>
      <c r="J130" s="20" t="n">
        <f aca="false">IF('Все позиции'!G297="","",'Все позиции'!G297)</f>
        <v>2754</v>
      </c>
      <c r="K130" s="20" t="n">
        <f aca="false">IF('Все позиции'!M297="","",'Все позиции'!M297)</f>
        <v>1360</v>
      </c>
      <c r="L130" s="22" t="n">
        <f aca="false">IF('Все позиции'!N297="","",'Все позиции'!N297)</f>
        <v>-1394</v>
      </c>
      <c r="M130" s="17" t="str">
        <f aca="false">IF('Все позиции'!P297="","",'Все позиции'!P297)</f>
        <v>Цена снижена</v>
      </c>
      <c r="N130" s="18" t="str">
        <f aca="false">IF('Все позиции'!Q297="","",'Все позиции'!Q297)</f>
        <v/>
      </c>
      <c r="O130" s="18" t="str">
        <f aca="false">IF('Все позиции'!R297="","",'Все позиции'!R297)</f>
        <v/>
      </c>
    </row>
    <row r="131" customFormat="false" ht="15" hidden="false" customHeight="false" outlineLevel="0" collapsed="false">
      <c r="A131" s="17" t="str">
        <f aca="false">IF('Все позиции'!A246="","",'Все позиции'!A246)</f>
        <v>6. Вентиляция 2 этаж</v>
      </c>
      <c r="B131" s="17" t="str">
        <f aca="false">IF('Все позиции'!B246="","",'Все позиции'!B246)</f>
        <v>6.6</v>
      </c>
      <c r="C131" s="18" t="str">
        <f aca="false">IF('Все позиции'!C246="","",'Все позиции'!C246)</f>
        <v>Диффузор круглый, Ø160 ЛК 160</v>
      </c>
      <c r="D131" s="17" t="str">
        <f aca="false">IF('Все позиции'!D246="","",'Все позиции'!D246)</f>
        <v>шт.</v>
      </c>
      <c r="E131" s="19" t="n">
        <f aca="false">IF('Все позиции'!E246="","",'Все позиции'!E246)</f>
        <v>2</v>
      </c>
      <c r="F131" s="20" t="n">
        <f aca="false">IF('Все позиции'!F246="","",'Все позиции'!F246)</f>
        <v>1296</v>
      </c>
      <c r="G131" s="19" t="n">
        <f aca="false">IF('Все позиции'!H246="","",'Все позиции'!H246)</f>
        <v>2</v>
      </c>
      <c r="H131" s="20" t="n">
        <f aca="false">IF('Все позиции'!L246="","",'Все позиции'!L246)</f>
        <v>600</v>
      </c>
      <c r="I131" s="21" t="n">
        <f aca="false">IF('Все позиции'!O246="","",'Все позиции'!O246)</f>
        <v>-0.537037037037037</v>
      </c>
      <c r="J131" s="20" t="n">
        <f aca="false">IF('Все позиции'!G246="","",'Все позиции'!G246)</f>
        <v>2592</v>
      </c>
      <c r="K131" s="20" t="n">
        <f aca="false">IF('Все позиции'!M246="","",'Все позиции'!M246)</f>
        <v>1200</v>
      </c>
      <c r="L131" s="22" t="n">
        <f aca="false">IF('Все позиции'!N246="","",'Все позиции'!N246)</f>
        <v>-1392</v>
      </c>
      <c r="M131" s="17" t="str">
        <f aca="false">IF('Все позиции'!P246="","",'Все позиции'!P246)</f>
        <v>Цена снижена</v>
      </c>
      <c r="N131" s="18" t="str">
        <f aca="false">IF('Все позиции'!Q246="","",'Все позиции'!Q246)</f>
        <v>по договору</v>
      </c>
      <c r="O131" s="18" t="str">
        <f aca="false">IF('Все позиции'!R246="","",'Все позиции'!R246)</f>
        <v/>
      </c>
    </row>
    <row r="132" customFormat="false" ht="26.85" hidden="false" customHeight="false" outlineLevel="0" collapsed="false">
      <c r="A132" s="17" t="str">
        <f aca="false">IF('Все позиции'!A265="","",'Все позиции'!A265)</f>
        <v>6. Вентиляция 2 этаж</v>
      </c>
      <c r="B132" s="17" t="str">
        <f aca="false">IF('Все позиции'!B265="","",'Все позиции'!B265)</f>
        <v>6.25</v>
      </c>
      <c r="C132" s="18" t="str">
        <f aca="false">IF('Все позиции'!C265="","",'Все позиции'!C265)</f>
        <v>Отвод 150 из оцинкованной стали толщиной 0,5мм, класса «В», Ø200</v>
      </c>
      <c r="D132" s="17" t="str">
        <f aca="false">IF('Все позиции'!D265="","",'Все позиции'!D265)</f>
        <v>шт.</v>
      </c>
      <c r="E132" s="19" t="n">
        <f aca="false">IF('Все позиции'!E265="","",'Все позиции'!E265)</f>
        <v>2</v>
      </c>
      <c r="F132" s="20" t="n">
        <f aca="false">IF('Все позиции'!F265="","",'Все позиции'!F265)</f>
        <v>1020</v>
      </c>
      <c r="G132" s="19" t="n">
        <f aca="false">IF('Все позиции'!H265="","",'Все позиции'!H265)</f>
        <v>2</v>
      </c>
      <c r="H132" s="20" t="n">
        <f aca="false">IF('Все позиции'!L265="","",'Все позиции'!L265)</f>
        <v>340</v>
      </c>
      <c r="I132" s="21" t="n">
        <f aca="false">IF('Все позиции'!O265="","",'Все позиции'!O265)</f>
        <v>-0.666666666666667</v>
      </c>
      <c r="J132" s="20" t="n">
        <f aca="false">IF('Все позиции'!G265="","",'Все позиции'!G265)</f>
        <v>2040</v>
      </c>
      <c r="K132" s="20" t="n">
        <f aca="false">IF('Все позиции'!M265="","",'Все позиции'!M265)</f>
        <v>680</v>
      </c>
      <c r="L132" s="22" t="n">
        <f aca="false">IF('Все позиции'!N265="","",'Все позиции'!N265)</f>
        <v>-1360</v>
      </c>
      <c r="M132" s="17" t="str">
        <f aca="false">IF('Все позиции'!P265="","",'Все позиции'!P265)</f>
        <v>Цена снижена</v>
      </c>
      <c r="N132" s="18" t="str">
        <f aca="false">IF('Все позиции'!Q265="","",'Все позиции'!Q265)</f>
        <v/>
      </c>
      <c r="O132" s="18" t="str">
        <f aca="false">IF('Все позиции'!R265="","",'Все позиции'!R265)</f>
        <v/>
      </c>
    </row>
    <row r="133" customFormat="false" ht="26.85" hidden="false" customHeight="false" outlineLevel="0" collapsed="false">
      <c r="A133" s="17" t="str">
        <f aca="false">IF('Все позиции'!A288="","",'Все позиции'!A288)</f>
        <v>6. Вентиляция 2 этаж</v>
      </c>
      <c r="B133" s="17" t="str">
        <f aca="false">IF('Все позиции'!B288="","",'Все позиции'!B288)</f>
        <v>6.48</v>
      </c>
      <c r="C133" s="18" t="str">
        <f aca="false">IF('Все позиции'!C288="","",'Все позиции'!C288)</f>
        <v>Врезка плоская из оцинкованной стали толщиной 0,5мм, класса «В», Ø100</v>
      </c>
      <c r="D133" s="17" t="str">
        <f aca="false">IF('Все позиции'!D288="","",'Все позиции'!D288)</f>
        <v>шт.</v>
      </c>
      <c r="E133" s="19" t="n">
        <f aca="false">IF('Все позиции'!E288="","",'Все позиции'!E288)</f>
        <v>8</v>
      </c>
      <c r="F133" s="20" t="n">
        <f aca="false">IF('Все позиции'!F288="","",'Все позиции'!F288)</f>
        <v>1020</v>
      </c>
      <c r="G133" s="19" t="n">
        <f aca="false">IF('Все позиции'!H288="","",'Все позиции'!H288)</f>
        <v>8</v>
      </c>
      <c r="H133" s="20" t="n">
        <f aca="false">IF('Все позиции'!L288="","",'Все позиции'!L288)</f>
        <v>855</v>
      </c>
      <c r="I133" s="21" t="n">
        <f aca="false">IF('Все позиции'!O288="","",'Все позиции'!O288)</f>
        <v>-0.161764705882353</v>
      </c>
      <c r="J133" s="20" t="n">
        <f aca="false">IF('Все позиции'!G288="","",'Все позиции'!G288)</f>
        <v>8160</v>
      </c>
      <c r="K133" s="20" t="n">
        <f aca="false">IF('Все позиции'!M288="","",'Все позиции'!M288)</f>
        <v>6840</v>
      </c>
      <c r="L133" s="22" t="n">
        <f aca="false">IF('Все позиции'!N288="","",'Все позиции'!N288)</f>
        <v>-1320</v>
      </c>
      <c r="M133" s="17" t="str">
        <f aca="false">IF('Все позиции'!P288="","",'Все позиции'!P288)</f>
        <v>Цена снижена</v>
      </c>
      <c r="N133" s="18" t="str">
        <f aca="false">IF('Все позиции'!Q288="","",'Все позиции'!Q288)</f>
        <v>по договру</v>
      </c>
      <c r="O133" s="18" t="str">
        <f aca="false">IF('Все позиции'!R288="","",'Все позиции'!R288)</f>
        <v/>
      </c>
    </row>
    <row r="134" customFormat="false" ht="26.85" hidden="false" customHeight="false" outlineLevel="0" collapsed="false">
      <c r="A134" s="17" t="str">
        <f aca="false">IF('Все позиции'!A169="","",'Все позиции'!A169)</f>
        <v>4. Вентиляция 10 этаж</v>
      </c>
      <c r="B134" s="17" t="str">
        <f aca="false">IF('Все позиции'!B169="","",'Все позиции'!B169)</f>
        <v>4.56</v>
      </c>
      <c r="C134" s="18" t="str">
        <f aca="false">IF('Все позиции'!C169="","",'Все позиции'!C169)</f>
        <v>Врезка плоская из оцинкованной стали толщиной 0,5мм, класса «В», Ø100</v>
      </c>
      <c r="D134" s="17" t="str">
        <f aca="false">IF('Все позиции'!D169="","",'Все позиции'!D169)</f>
        <v>шт.</v>
      </c>
      <c r="E134" s="19" t="n">
        <f aca="false">IF('Все позиции'!E169="","",'Все позиции'!E169)</f>
        <v>2</v>
      </c>
      <c r="F134" s="20" t="n">
        <f aca="false">IF('Все позиции'!F169="","",'Все позиции'!F169)</f>
        <v>1020</v>
      </c>
      <c r="G134" s="19" t="n">
        <f aca="false">IF('Все позиции'!H169="","",'Все позиции'!H169)</f>
        <v>2</v>
      </c>
      <c r="H134" s="20" t="n">
        <f aca="false">IF('Все позиции'!L169="","",'Все позиции'!L169)</f>
        <v>370</v>
      </c>
      <c r="I134" s="21" t="n">
        <f aca="false">IF('Все позиции'!O169="","",'Все позиции'!O169)</f>
        <v>-0.637254901960784</v>
      </c>
      <c r="J134" s="20" t="n">
        <f aca="false">IF('Все позиции'!G169="","",'Все позиции'!G169)</f>
        <v>2040</v>
      </c>
      <c r="K134" s="20" t="n">
        <f aca="false">IF('Все позиции'!M169="","",'Все позиции'!M169)</f>
        <v>740</v>
      </c>
      <c r="L134" s="22" t="n">
        <f aca="false">IF('Все позиции'!N169="","",'Все позиции'!N169)</f>
        <v>-1300</v>
      </c>
      <c r="M134" s="17" t="str">
        <f aca="false">IF('Все позиции'!P169="","",'Все позиции'!P169)</f>
        <v>Цена снижена</v>
      </c>
      <c r="N134" s="18" t="str">
        <f aca="false">IF('Все позиции'!Q169="","",'Все позиции'!Q169)</f>
        <v/>
      </c>
      <c r="O134" s="18" t="str">
        <f aca="false">IF('Все позиции'!R169="","",'Все позиции'!R169)</f>
        <v/>
      </c>
    </row>
    <row r="135" customFormat="false" ht="26.85" hidden="false" customHeight="false" outlineLevel="0" collapsed="false">
      <c r="A135" s="17" t="str">
        <f aca="false">IF('Все позиции'!A176="","",'Все позиции'!A176)</f>
        <v>4. Вентиляция 10 этаж</v>
      </c>
      <c r="B135" s="17" t="str">
        <f aca="false">IF('Все позиции'!B176="","",'Все позиции'!B176)</f>
        <v>4.63</v>
      </c>
      <c r="C135" s="18" t="str">
        <f aca="false">IF('Все позиции'!C176="","",'Все позиции'!C176)</f>
        <v>Переход из оцинкованной стали толщиной 0,5мм, класса «В», Ø125/Ø100</v>
      </c>
      <c r="D135" s="17" t="str">
        <f aca="false">IF('Все позиции'!D176="","",'Все позиции'!D176)</f>
        <v>шт.</v>
      </c>
      <c r="E135" s="19" t="n">
        <f aca="false">IF('Все позиции'!E176="","",'Все позиции'!E176)</f>
        <v>2</v>
      </c>
      <c r="F135" s="20" t="n">
        <f aca="false">IF('Все позиции'!F176="","",'Все позиции'!F176)</f>
        <v>1020</v>
      </c>
      <c r="G135" s="19" t="n">
        <f aca="false">IF('Все позиции'!H176="","",'Все позиции'!H176)</f>
        <v>2</v>
      </c>
      <c r="H135" s="20" t="n">
        <f aca="false">IF('Все позиции'!L176="","",'Все позиции'!L176)</f>
        <v>370</v>
      </c>
      <c r="I135" s="21" t="n">
        <f aca="false">IF('Все позиции'!O176="","",'Все позиции'!O176)</f>
        <v>-0.637254901960784</v>
      </c>
      <c r="J135" s="20" t="n">
        <f aca="false">IF('Все позиции'!G176="","",'Все позиции'!G176)</f>
        <v>2040</v>
      </c>
      <c r="K135" s="20" t="n">
        <f aca="false">IF('Все позиции'!M176="","",'Все позиции'!M176)</f>
        <v>740</v>
      </c>
      <c r="L135" s="22" t="n">
        <f aca="false">IF('Все позиции'!N176="","",'Все позиции'!N176)</f>
        <v>-1300</v>
      </c>
      <c r="M135" s="17" t="str">
        <f aca="false">IF('Все позиции'!P176="","",'Все позиции'!P176)</f>
        <v>Цена снижена</v>
      </c>
      <c r="N135" s="18" t="str">
        <f aca="false">IF('Все позиции'!Q176="","",'Все позиции'!Q176)</f>
        <v/>
      </c>
      <c r="O135" s="18" t="str">
        <f aca="false">IF('Все позиции'!R176="","",'Все позиции'!R176)</f>
        <v/>
      </c>
    </row>
    <row r="136" customFormat="false" ht="15" hidden="false" customHeight="false" outlineLevel="0" collapsed="false">
      <c r="A136" s="17" t="str">
        <f aca="false">IF('Все позиции'!A249="","",'Все позиции'!A249)</f>
        <v>6. Вентиляция 2 этаж</v>
      </c>
      <c r="B136" s="17" t="str">
        <f aca="false">IF('Все позиции'!B249="","",'Все позиции'!B249)</f>
        <v>6.9</v>
      </c>
      <c r="C136" s="18" t="str">
        <f aca="false">IF('Все позиции'!C249="","",'Все позиции'!C249)</f>
        <v>Регулятор расхода воздуха, Ø125 КВК 125</v>
      </c>
      <c r="D136" s="17" t="str">
        <f aca="false">IF('Все позиции'!D249="","",'Все позиции'!D249)</f>
        <v>шт.</v>
      </c>
      <c r="E136" s="19" t="n">
        <f aca="false">IF('Все позиции'!E249="","",'Все позиции'!E249)</f>
        <v>3</v>
      </c>
      <c r="F136" s="20" t="n">
        <f aca="false">IF('Все позиции'!F249="","",'Все позиции'!F249)</f>
        <v>1377</v>
      </c>
      <c r="G136" s="19" t="n">
        <f aca="false">IF('Все позиции'!H249="","",'Все позиции'!H249)</f>
        <v>3</v>
      </c>
      <c r="H136" s="20" t="n">
        <f aca="false">IF('Все позиции'!L249="","",'Все позиции'!L249)</f>
        <v>950</v>
      </c>
      <c r="I136" s="21" t="n">
        <f aca="false">IF('Все позиции'!O249="","",'Все позиции'!O249)</f>
        <v>-0.310094408133624</v>
      </c>
      <c r="J136" s="20" t="n">
        <f aca="false">IF('Все позиции'!G249="","",'Все позиции'!G249)</f>
        <v>4131</v>
      </c>
      <c r="K136" s="20" t="n">
        <f aca="false">IF('Все позиции'!M249="","",'Все позиции'!M249)</f>
        <v>2850</v>
      </c>
      <c r="L136" s="22" t="n">
        <f aca="false">IF('Все позиции'!N249="","",'Все позиции'!N249)</f>
        <v>-1281</v>
      </c>
      <c r="M136" s="17" t="str">
        <f aca="false">IF('Все позиции'!P249="","",'Все позиции'!P249)</f>
        <v>Цена снижена</v>
      </c>
      <c r="N136" s="18" t="str">
        <f aca="false">IF('Все позиции'!Q249="","",'Все позиции'!Q249)</f>
        <v>по договору</v>
      </c>
      <c r="O136" s="18" t="str">
        <f aca="false">IF('Все позиции'!R249="","",'Все позиции'!R249)</f>
        <v/>
      </c>
    </row>
    <row r="137" customFormat="false" ht="26.85" hidden="false" customHeight="false" outlineLevel="0" collapsed="false">
      <c r="A137" s="17" t="str">
        <f aca="false">IF('Все позиции'!A224="","",'Все позиции'!A224)</f>
        <v>5. Холодоснабжение 10 этаж</v>
      </c>
      <c r="B137" s="17" t="str">
        <f aca="false">IF('Все позиции'!B224="","",'Все позиции'!B224)</f>
        <v>5.21</v>
      </c>
      <c r="C137" s="18" t="str">
        <f aca="false">IF('Все позиции'!C224="","",'Все позиции'!C224)</f>
        <v>Трубки теплоизоляционные для трубы Ø50х6,9 толщиной 13мм</v>
      </c>
      <c r="D137" s="17" t="str">
        <f aca="false">IF('Все позиции'!D224="","",'Все позиции'!D224)</f>
        <v>мп</v>
      </c>
      <c r="E137" s="19" t="n">
        <f aca="false">IF('Все позиции'!E224="","",'Все позиции'!E224)</f>
        <v>40</v>
      </c>
      <c r="F137" s="20" t="n">
        <f aca="false">IF('Все позиции'!F224="","",'Все позиции'!F224)</f>
        <v>291.6</v>
      </c>
      <c r="G137" s="19" t="n">
        <f aca="false">IF('Все позиции'!H224="","",'Все позиции'!H224)</f>
        <v>40</v>
      </c>
      <c r="H137" s="20" t="n">
        <f aca="false">IF('Все позиции'!L224="","",'Все позиции'!L224)</f>
        <v>260</v>
      </c>
      <c r="I137" s="21" t="n">
        <f aca="false">IF('Все позиции'!O224="","",'Все позиции'!O224)</f>
        <v>-0.108367626886145</v>
      </c>
      <c r="J137" s="20" t="n">
        <f aca="false">IF('Все позиции'!G224="","",'Все позиции'!G224)</f>
        <v>11664</v>
      </c>
      <c r="K137" s="20" t="n">
        <f aca="false">IF('Все позиции'!M224="","",'Все позиции'!M224)</f>
        <v>10400</v>
      </c>
      <c r="L137" s="22" t="n">
        <f aca="false">IF('Все позиции'!N224="","",'Все позиции'!N224)</f>
        <v>-1264</v>
      </c>
      <c r="M137" s="17" t="str">
        <f aca="false">IF('Все позиции'!P224="","",'Все позиции'!P224)</f>
        <v>Цена снижена</v>
      </c>
      <c r="N137" s="18" t="str">
        <f aca="false">IF('Все позиции'!Q224="","",'Все позиции'!Q224)</f>
        <v>по договору</v>
      </c>
      <c r="O137" s="18" t="str">
        <f aca="false">IF('Все позиции'!R224="","",'Все позиции'!R224)</f>
        <v>Цена Согласована Марк</v>
      </c>
    </row>
    <row r="138" customFormat="false" ht="26.85" hidden="false" customHeight="false" outlineLevel="0" collapsed="false">
      <c r="A138" s="17" t="str">
        <f aca="false">IF('Все позиции'!A184="","",'Все позиции'!A184)</f>
        <v>4. Вентиляция 10 этаж</v>
      </c>
      <c r="B138" s="17" t="str">
        <f aca="false">IF('Все позиции'!B184="","",'Все позиции'!B184)</f>
        <v>4.71</v>
      </c>
      <c r="C138" s="18" t="str">
        <f aca="false">IF('Все позиции'!C184="","",'Все позиции'!C184)</f>
        <v>Переход из оцинкованной стали толщиной 0,7мм, класса «В», 500x250/500x200</v>
      </c>
      <c r="D138" s="17" t="str">
        <f aca="false">IF('Все позиции'!D184="","",'Все позиции'!D184)</f>
        <v>шт.</v>
      </c>
      <c r="E138" s="19" t="n">
        <f aca="false">IF('Все позиции'!E184="","",'Все позиции'!E184)</f>
        <v>1</v>
      </c>
      <c r="F138" s="20" t="n">
        <f aca="false">IF('Все позиции'!F184="","",'Все позиции'!F184)</f>
        <v>2106</v>
      </c>
      <c r="G138" s="19" t="n">
        <f aca="false">IF('Все позиции'!H184="","",'Все позиции'!H184)</f>
        <v>1</v>
      </c>
      <c r="H138" s="20" t="n">
        <f aca="false">IF('Все позиции'!L184="","",'Все позиции'!L184)</f>
        <v>850</v>
      </c>
      <c r="I138" s="21" t="n">
        <f aca="false">IF('Все позиции'!O184="","",'Все позиции'!O184)</f>
        <v>-0.59639126305793</v>
      </c>
      <c r="J138" s="20" t="n">
        <f aca="false">IF('Все позиции'!G184="","",'Все позиции'!G184)</f>
        <v>2106</v>
      </c>
      <c r="K138" s="20" t="n">
        <f aca="false">IF('Все позиции'!M184="","",'Все позиции'!M184)</f>
        <v>850</v>
      </c>
      <c r="L138" s="22" t="n">
        <f aca="false">IF('Все позиции'!N184="","",'Все позиции'!N184)</f>
        <v>-1256</v>
      </c>
      <c r="M138" s="17" t="str">
        <f aca="false">IF('Все позиции'!P184="","",'Все позиции'!P184)</f>
        <v>Цена снижена</v>
      </c>
      <c r="N138" s="18" t="str">
        <f aca="false">IF('Все позиции'!Q184="","",'Все позиции'!Q184)</f>
        <v/>
      </c>
      <c r="O138" s="18" t="str">
        <f aca="false">IF('Все позиции'!R184="","",'Все позиции'!R184)</f>
        <v/>
      </c>
    </row>
    <row r="139" customFormat="false" ht="26.85" hidden="false" customHeight="false" outlineLevel="0" collapsed="false">
      <c r="A139" s="17" t="str">
        <f aca="false">IF('Все позиции'!A165="","",'Все позиции'!A165)</f>
        <v>4. Вентиляция 10 этаж</v>
      </c>
      <c r="B139" s="17" t="str">
        <f aca="false">IF('Все позиции'!B165="","",'Все позиции'!B165)</f>
        <v>4.52</v>
      </c>
      <c r="C139" s="18" t="str">
        <f aca="false">IF('Все позиции'!C165="","",'Все позиции'!C165)</f>
        <v>Отвод 900 из оцинкованной стали толщиной 0,7мм, класса «В», 500x300</v>
      </c>
      <c r="D139" s="17" t="str">
        <f aca="false">IF('Все позиции'!D165="","",'Все позиции'!D165)</f>
        <v>шт.</v>
      </c>
      <c r="E139" s="19" t="n">
        <f aca="false">IF('Все позиции'!E165="","",'Все позиции'!E165)</f>
        <v>3</v>
      </c>
      <c r="F139" s="20" t="n">
        <f aca="false">IF('Все позиции'!F165="","",'Все позиции'!F165)</f>
        <v>2268</v>
      </c>
      <c r="G139" s="19" t="n">
        <f aca="false">IF('Все позиции'!H165="","",'Все позиции'!H165)</f>
        <v>3</v>
      </c>
      <c r="H139" s="20" t="n">
        <f aca="false">IF('Все позиции'!L165="","",'Все позиции'!L165)</f>
        <v>1870</v>
      </c>
      <c r="I139" s="21" t="n">
        <f aca="false">IF('Все позиции'!O165="","",'Все позиции'!O165)</f>
        <v>-0.175485008818342</v>
      </c>
      <c r="J139" s="20" t="n">
        <f aca="false">IF('Все позиции'!G165="","",'Все позиции'!G165)</f>
        <v>6804</v>
      </c>
      <c r="K139" s="20" t="n">
        <f aca="false">IF('Все позиции'!M165="","",'Все позиции'!M165)</f>
        <v>5610</v>
      </c>
      <c r="L139" s="22" t="n">
        <f aca="false">IF('Все позиции'!N165="","",'Все позиции'!N165)</f>
        <v>-1194</v>
      </c>
      <c r="M139" s="17" t="str">
        <f aca="false">IF('Все позиции'!P165="","",'Все позиции'!P165)</f>
        <v>Цена снижена</v>
      </c>
      <c r="N139" s="18" t="str">
        <f aca="false">IF('Все позиции'!Q165="","",'Все позиции'!Q165)</f>
        <v/>
      </c>
      <c r="O139" s="18" t="str">
        <f aca="false">IF('Все позиции'!R165="","",'Все позиции'!R165)</f>
        <v/>
      </c>
    </row>
    <row r="140" customFormat="false" ht="15" hidden="false" customHeight="false" outlineLevel="0" collapsed="false">
      <c r="A140" s="17" t="str">
        <f aca="false">IF('Все позиции'!A123="","",'Все позиции'!A123)</f>
        <v>4. Вентиляция 10 этаж</v>
      </c>
      <c r="B140" s="17" t="str">
        <f aca="false">IF('Все позиции'!B123="","",'Все позиции'!B123)</f>
        <v>4.10</v>
      </c>
      <c r="C140" s="18" t="str">
        <f aca="false">IF('Все позиции'!C123="","",'Все позиции'!C123)</f>
        <v>Решетка щелевая, 1500мм ЛРЩ 22-1-1500-У2</v>
      </c>
      <c r="D140" s="17" t="str">
        <f aca="false">IF('Все позиции'!D123="","",'Все позиции'!D123)</f>
        <v>шт.</v>
      </c>
      <c r="E140" s="19" t="n">
        <f aca="false">IF('Все позиции'!E123="","",'Все позиции'!E123)</f>
        <v>1</v>
      </c>
      <c r="F140" s="20" t="n">
        <f aca="false">IF('Все позиции'!F123="","",'Все позиции'!F123)</f>
        <v>5184</v>
      </c>
      <c r="G140" s="19" t="n">
        <f aca="false">IF('Все позиции'!H123="","",'Все позиции'!H123)</f>
        <v>1</v>
      </c>
      <c r="H140" s="20" t="n">
        <f aca="false">IF('Все позиции'!L123="","",'Все позиции'!L123)</f>
        <v>4000</v>
      </c>
      <c r="I140" s="21" t="n">
        <f aca="false">IF('Все позиции'!O123="","",'Все позиции'!O123)</f>
        <v>-0.228395061728395</v>
      </c>
      <c r="J140" s="20" t="n">
        <f aca="false">IF('Все позиции'!G123="","",'Все позиции'!G123)</f>
        <v>5184</v>
      </c>
      <c r="K140" s="20" t="n">
        <f aca="false">IF('Все позиции'!M123="","",'Все позиции'!M123)</f>
        <v>4000</v>
      </c>
      <c r="L140" s="22" t="n">
        <f aca="false">IF('Все позиции'!N123="","",'Все позиции'!N123)</f>
        <v>-1184</v>
      </c>
      <c r="M140" s="17" t="str">
        <f aca="false">IF('Все позиции'!P123="","",'Все позиции'!P123)</f>
        <v>Цена снижена</v>
      </c>
      <c r="N140" s="18" t="str">
        <f aca="false">IF('Все позиции'!Q123="","",'Все позиции'!Q123)</f>
        <v>по договору</v>
      </c>
      <c r="O140" s="18" t="str">
        <f aca="false">IF('Все позиции'!R123="","",'Все позиции'!R123)</f>
        <v/>
      </c>
    </row>
    <row r="141" customFormat="false" ht="15" hidden="false" customHeight="false" outlineLevel="0" collapsed="false">
      <c r="A141" s="17" t="str">
        <f aca="false">IF('Все позиции'!A252="","",'Все позиции'!A252)</f>
        <v>6. Вентиляция 2 этаж</v>
      </c>
      <c r="B141" s="17" t="str">
        <f aca="false">IF('Все позиции'!B252="","",'Все позиции'!B252)</f>
        <v>6.12</v>
      </c>
      <c r="C141" s="18" t="str">
        <f aca="false">IF('Все позиции'!C252="","",'Все позиции'!C252)</f>
        <v>Воздуховод гофрированный, Ø125</v>
      </c>
      <c r="D141" s="17" t="str">
        <f aca="false">IF('Все позиции'!D252="","",'Все позиции'!D252)</f>
        <v>мп</v>
      </c>
      <c r="E141" s="19" t="n">
        <f aca="false">IF('Все позиции'!E252="","",'Все позиции'!E252)</f>
        <v>3</v>
      </c>
      <c r="F141" s="20" t="n">
        <f aca="false">IF('Все позиции'!F252="","",'Все позиции'!F252)</f>
        <v>1134</v>
      </c>
      <c r="G141" s="19" t="n">
        <f aca="false">IF('Все позиции'!H252="","",'Все позиции'!H252)</f>
        <v>3</v>
      </c>
      <c r="H141" s="20" t="n">
        <f aca="false">IF('Все позиции'!L252="","",'Все позиции'!L252)</f>
        <v>760</v>
      </c>
      <c r="I141" s="21" t="n">
        <f aca="false">IF('Все позиции'!O252="","",'Все позиции'!O252)</f>
        <v>-0.329805996472663</v>
      </c>
      <c r="J141" s="20" t="n">
        <f aca="false">IF('Все позиции'!G252="","",'Все позиции'!G252)</f>
        <v>3402</v>
      </c>
      <c r="K141" s="20" t="n">
        <f aca="false">IF('Все позиции'!M252="","",'Все позиции'!M252)</f>
        <v>2280</v>
      </c>
      <c r="L141" s="22" t="n">
        <f aca="false">IF('Все позиции'!N252="","",'Все позиции'!N252)</f>
        <v>-1122</v>
      </c>
      <c r="M141" s="17" t="str">
        <f aca="false">IF('Все позиции'!P252="","",'Все позиции'!P252)</f>
        <v>Цена снижена</v>
      </c>
      <c r="N141" s="18" t="str">
        <f aca="false">IF('Все позиции'!Q252="","",'Все позиции'!Q252)</f>
        <v>по договору</v>
      </c>
      <c r="O141" s="18" t="str">
        <f aca="false">IF('Все позиции'!R252="","",'Все позиции'!R252)</f>
        <v/>
      </c>
    </row>
    <row r="142" customFormat="false" ht="26.85" hidden="false" customHeight="false" outlineLevel="0" collapsed="false">
      <c r="A142" s="17" t="str">
        <f aca="false">IF('Все позиции'!A223="","",'Все позиции'!A223)</f>
        <v>5. Холодоснабжение 10 этаж</v>
      </c>
      <c r="B142" s="17" t="str">
        <f aca="false">IF('Все позиции'!B223="","",'Все позиции'!B223)</f>
        <v>5.20</v>
      </c>
      <c r="C142" s="18" t="str">
        <f aca="false">IF('Все позиции'!C223="","",'Все позиции'!C223)</f>
        <v>Трубки теплоизоляционные для трубы Ø40х5,5 толщиной 9мм</v>
      </c>
      <c r="D142" s="17" t="str">
        <f aca="false">IF('Все позиции'!D223="","",'Все позиции'!D223)</f>
        <v>мп</v>
      </c>
      <c r="E142" s="19" t="n">
        <f aca="false">IF('Все позиции'!E223="","",'Все позиции'!E223)</f>
        <v>35</v>
      </c>
      <c r="F142" s="20" t="n">
        <f aca="false">IF('Все позиции'!F223="","",'Все позиции'!F223)</f>
        <v>291.6</v>
      </c>
      <c r="G142" s="19" t="n">
        <f aca="false">IF('Все позиции'!H223="","",'Все позиции'!H223)</f>
        <v>35</v>
      </c>
      <c r="H142" s="20" t="n">
        <f aca="false">IF('Все позиции'!L223="","",'Все позиции'!L223)</f>
        <v>260</v>
      </c>
      <c r="I142" s="21" t="n">
        <f aca="false">IF('Все позиции'!O223="","",'Все позиции'!O223)</f>
        <v>-0.108367626886145</v>
      </c>
      <c r="J142" s="20" t="n">
        <f aca="false">IF('Все позиции'!G223="","",'Все позиции'!G223)</f>
        <v>10206</v>
      </c>
      <c r="K142" s="20" t="n">
        <f aca="false">IF('Все позиции'!M223="","",'Все позиции'!M223)</f>
        <v>9100</v>
      </c>
      <c r="L142" s="22" t="n">
        <f aca="false">IF('Все позиции'!N223="","",'Все позиции'!N223)</f>
        <v>-1106</v>
      </c>
      <c r="M142" s="17" t="str">
        <f aca="false">IF('Все позиции'!P223="","",'Все позиции'!P223)</f>
        <v>Цена снижена</v>
      </c>
      <c r="N142" s="18" t="str">
        <f aca="false">IF('Все позиции'!Q223="","",'Все позиции'!Q223)</f>
        <v>по договору</v>
      </c>
      <c r="O142" s="18" t="str">
        <f aca="false">IF('Все позиции'!R223="","",'Все позиции'!R223)</f>
        <v>Цена Согласована Марк</v>
      </c>
    </row>
    <row r="143" customFormat="false" ht="15" hidden="false" customHeight="false" outlineLevel="0" collapsed="false">
      <c r="A143" s="23" t="str">
        <f aca="false">IF('Все позиции'!A242="","",'Все позиции'!A242)</f>
        <v>6. Вентиляция 2 этаж</v>
      </c>
      <c r="B143" s="23" t="str">
        <f aca="false">IF('Все позиции'!B242="","",'Все позиции'!B242)</f>
        <v>6.2</v>
      </c>
      <c r="C143" s="24" t="str">
        <f aca="false">IF('Все позиции'!C242="","",'Все позиции'!C242)</f>
        <v>Решетка защитная круглая, Ø160 БСК 160</v>
      </c>
      <c r="D143" s="23" t="str">
        <f aca="false">IF('Все позиции'!D242="","",'Все позиции'!D242)</f>
        <v>шт.</v>
      </c>
      <c r="E143" s="25" t="n">
        <f aca="false">IF('Все позиции'!E242="","",'Все позиции'!E242)</f>
        <v>1</v>
      </c>
      <c r="F143" s="26" t="n">
        <f aca="false">IF('Все позиции'!F242="","",'Все позиции'!F242)</f>
        <v>1296</v>
      </c>
      <c r="G143" s="25" t="n">
        <f aca="false">IF('Все позиции'!H242="","",'Все позиции'!H242)</f>
        <v>1</v>
      </c>
      <c r="H143" s="26" t="n">
        <f aca="false">IF('Все позиции'!L242="","",'Все позиции'!L242)</f>
        <v>205.66</v>
      </c>
      <c r="I143" s="27" t="n">
        <f aca="false">IF('Все позиции'!O242="","",'Все позиции'!O242)</f>
        <v>-0.841311728395062</v>
      </c>
      <c r="J143" s="26" t="n">
        <f aca="false">IF('Все позиции'!G242="","",'Все позиции'!G242)</f>
        <v>1296</v>
      </c>
      <c r="K143" s="26" t="n">
        <f aca="false">IF('Все позиции'!M242="","",'Все позиции'!M242)</f>
        <v>205.66</v>
      </c>
      <c r="L143" s="28" t="n">
        <f aca="false">IF('Все позиции'!N242="","",'Все позиции'!N242)</f>
        <v>-1090.34</v>
      </c>
      <c r="M143" s="23" t="str">
        <f aca="false">IF('Все позиции'!P242="","",'Все позиции'!P242)</f>
        <v>Снижение предложено, но не внесено в итог</v>
      </c>
      <c r="N143" s="24" t="str">
        <f aca="false">IF('Все позиции'!Q242="","",'Все позиции'!Q242)</f>
        <v>по договору</v>
      </c>
      <c r="O143" s="24" t="str">
        <f aca="false">IF('Все позиции'!R242="","",'Все позиции'!R242)</f>
        <v/>
      </c>
    </row>
    <row r="144" customFormat="false" ht="26.85" hidden="false" customHeight="false" outlineLevel="0" collapsed="false">
      <c r="A144" s="17" t="str">
        <f aca="false">IF('Все позиции'!A163="","",'Все позиции'!A163)</f>
        <v>4. Вентиляция 10 этаж</v>
      </c>
      <c r="B144" s="17" t="str">
        <f aca="false">IF('Все позиции'!B163="","",'Все позиции'!B163)</f>
        <v>4.50</v>
      </c>
      <c r="C144" s="18" t="str">
        <f aca="false">IF('Все позиции'!C163="","",'Все позиции'!C163)</f>
        <v>Отвод 900 из оцинкованной стали толщиной 0,7мм, класса «В», 400x200</v>
      </c>
      <c r="D144" s="17" t="str">
        <f aca="false">IF('Все позиции'!D163="","",'Все позиции'!D163)</f>
        <v>шт.</v>
      </c>
      <c r="E144" s="19" t="n">
        <f aca="false">IF('Все позиции'!E163="","",'Все позиции'!E163)</f>
        <v>1</v>
      </c>
      <c r="F144" s="20" t="n">
        <f aca="false">IF('Все позиции'!F163="","",'Все позиции'!F163)</f>
        <v>2268</v>
      </c>
      <c r="G144" s="19" t="n">
        <f aca="false">IF('Все позиции'!H163="","",'Все позиции'!H163)</f>
        <v>1</v>
      </c>
      <c r="H144" s="20" t="n">
        <f aca="false">IF('Все позиции'!L163="","",'Все позиции'!L163)</f>
        <v>1190</v>
      </c>
      <c r="I144" s="21" t="n">
        <f aca="false">IF('Все позиции'!O163="","",'Все позиции'!O163)</f>
        <v>-0.475308641975309</v>
      </c>
      <c r="J144" s="20" t="n">
        <f aca="false">IF('Все позиции'!G163="","",'Все позиции'!G163)</f>
        <v>2268</v>
      </c>
      <c r="K144" s="20" t="n">
        <f aca="false">IF('Все позиции'!M163="","",'Все позиции'!M163)</f>
        <v>1190</v>
      </c>
      <c r="L144" s="22" t="n">
        <f aca="false">IF('Все позиции'!N163="","",'Все позиции'!N163)</f>
        <v>-1078</v>
      </c>
      <c r="M144" s="17" t="str">
        <f aca="false">IF('Все позиции'!P163="","",'Все позиции'!P163)</f>
        <v>Цена снижена</v>
      </c>
      <c r="N144" s="18" t="str">
        <f aca="false">IF('Все позиции'!Q163="","",'Все позиции'!Q163)</f>
        <v/>
      </c>
      <c r="O144" s="18" t="str">
        <f aca="false">IF('Все позиции'!R163="","",'Все позиции'!R163)</f>
        <v/>
      </c>
    </row>
    <row r="145" customFormat="false" ht="15" hidden="false" customHeight="false" outlineLevel="0" collapsed="false">
      <c r="A145" s="17" t="str">
        <f aca="false">IF('Все позиции'!A226="","",'Все позиции'!A226)</f>
        <v>5. Холодоснабжение 10 этаж</v>
      </c>
      <c r="B145" s="17" t="str">
        <f aca="false">IF('Все позиции'!B226="","",'Все позиции'!B226)</f>
        <v>5.23</v>
      </c>
      <c r="C145" s="18" t="str">
        <f aca="false">IF('Все позиции'!C226="","",'Все позиции'!C226)</f>
        <v>Муфта полипропиленовая, 40</v>
      </c>
      <c r="D145" s="17" t="str">
        <f aca="false">IF('Все позиции'!D226="","",'Все позиции'!D226)</f>
        <v>шт.</v>
      </c>
      <c r="E145" s="19" t="n">
        <f aca="false">IF('Все позиции'!E226="","",'Все позиции'!E226)</f>
        <v>2</v>
      </c>
      <c r="F145" s="20" t="n">
        <f aca="false">IF('Все позиции'!F226="","",'Все позиции'!F226)</f>
        <v>1020</v>
      </c>
      <c r="G145" s="19" t="n">
        <f aca="false">IF('Все позиции'!H226="","",'Все позиции'!H226)</f>
        <v>2</v>
      </c>
      <c r="H145" s="20" t="n">
        <f aca="false">IF('Все позиции'!L226="","",'Все позиции'!L226)</f>
        <v>520</v>
      </c>
      <c r="I145" s="21" t="n">
        <f aca="false">IF('Все позиции'!O226="","",'Все позиции'!O226)</f>
        <v>-0.490196078431373</v>
      </c>
      <c r="J145" s="20" t="n">
        <f aca="false">IF('Все позиции'!G226="","",'Все позиции'!G226)</f>
        <v>2040</v>
      </c>
      <c r="K145" s="20" t="n">
        <f aca="false">IF('Все позиции'!M226="","",'Все позиции'!M226)</f>
        <v>1040</v>
      </c>
      <c r="L145" s="22" t="n">
        <f aca="false">IF('Все позиции'!N226="","",'Все позиции'!N226)</f>
        <v>-1000</v>
      </c>
      <c r="M145" s="17" t="str">
        <f aca="false">IF('Все позиции'!P226="","",'Все позиции'!P226)</f>
        <v>Цена снижена</v>
      </c>
      <c r="N145" s="18" t="str">
        <f aca="false">IF('Все позиции'!Q226="","",'Все позиции'!Q226)</f>
        <v/>
      </c>
      <c r="O145" s="18" t="str">
        <f aca="false">IF('Все позиции'!R226="","",'Все позиции'!R226)</f>
        <v>Цена Согласована Марк</v>
      </c>
    </row>
    <row r="146" customFormat="false" ht="15" hidden="false" customHeight="false" outlineLevel="0" collapsed="false">
      <c r="A146" s="17" t="str">
        <f aca="false">IF('Все позиции'!A229="","",'Все позиции'!A229)</f>
        <v>5. Холодоснабжение 10 этаж</v>
      </c>
      <c r="B146" s="17" t="str">
        <f aca="false">IF('Все позиции'!B229="","",'Все позиции'!B229)</f>
        <v>5.26</v>
      </c>
      <c r="C146" s="18" t="str">
        <f aca="false">IF('Все позиции'!C229="","",'Все позиции'!C229)</f>
        <v>Угольник 450 полипропиленовый, 40</v>
      </c>
      <c r="D146" s="17" t="str">
        <f aca="false">IF('Все позиции'!D229="","",'Все позиции'!D229)</f>
        <v>шт.</v>
      </c>
      <c r="E146" s="19" t="n">
        <f aca="false">IF('Все позиции'!E229="","",'Все позиции'!E229)</f>
        <v>2</v>
      </c>
      <c r="F146" s="20" t="n">
        <f aca="false">IF('Все позиции'!F229="","",'Все позиции'!F229)</f>
        <v>1020</v>
      </c>
      <c r="G146" s="19" t="n">
        <f aca="false">IF('Все позиции'!H229="","",'Все позиции'!H229)</f>
        <v>2</v>
      </c>
      <c r="H146" s="20" t="n">
        <f aca="false">IF('Все позиции'!L229="","",'Все позиции'!L229)</f>
        <v>520</v>
      </c>
      <c r="I146" s="21" t="n">
        <f aca="false">IF('Все позиции'!O229="","",'Все позиции'!O229)</f>
        <v>-0.490196078431373</v>
      </c>
      <c r="J146" s="20" t="n">
        <f aca="false">IF('Все позиции'!G229="","",'Все позиции'!G229)</f>
        <v>2040</v>
      </c>
      <c r="K146" s="20" t="n">
        <f aca="false">IF('Все позиции'!M229="","",'Все позиции'!M229)</f>
        <v>1040</v>
      </c>
      <c r="L146" s="22" t="n">
        <f aca="false">IF('Все позиции'!N229="","",'Все позиции'!N229)</f>
        <v>-1000</v>
      </c>
      <c r="M146" s="17" t="str">
        <f aca="false">IF('Все позиции'!P229="","",'Все позиции'!P229)</f>
        <v>Цена снижена</v>
      </c>
      <c r="N146" s="18" t="str">
        <f aca="false">IF('Все позиции'!Q229="","",'Все позиции'!Q229)</f>
        <v/>
      </c>
      <c r="O146" s="18" t="str">
        <f aca="false">IF('Все позиции'!R229="","",'Все позиции'!R229)</f>
        <v>Цена Согласована Марк</v>
      </c>
    </row>
    <row r="147" customFormat="false" ht="15" hidden="false" customHeight="false" outlineLevel="0" collapsed="false">
      <c r="A147" s="17" t="str">
        <f aca="false">IF('Все позиции'!A233="","",'Все позиции'!A233)</f>
        <v>5. Холодоснабжение 10 этаж</v>
      </c>
      <c r="B147" s="17" t="str">
        <f aca="false">IF('Все позиции'!B233="","",'Все позиции'!B233)</f>
        <v>5.30</v>
      </c>
      <c r="C147" s="18" t="str">
        <f aca="false">IF('Все позиции'!C233="","",'Все позиции'!C233)</f>
        <v>Тройник полипропиленовый, 40</v>
      </c>
      <c r="D147" s="17" t="str">
        <f aca="false">IF('Все позиции'!D233="","",'Все позиции'!D233)</f>
        <v>шт.</v>
      </c>
      <c r="E147" s="19" t="n">
        <f aca="false">IF('Все позиции'!E233="","",'Все позиции'!E233)</f>
        <v>2</v>
      </c>
      <c r="F147" s="20" t="n">
        <f aca="false">IF('Все позиции'!F233="","",'Все позиции'!F233)</f>
        <v>1020</v>
      </c>
      <c r="G147" s="19" t="n">
        <f aca="false">IF('Все позиции'!H233="","",'Все позиции'!H233)</f>
        <v>2</v>
      </c>
      <c r="H147" s="20" t="n">
        <f aca="false">IF('Все позиции'!L233="","",'Все позиции'!L233)</f>
        <v>520</v>
      </c>
      <c r="I147" s="21" t="n">
        <f aca="false">IF('Все позиции'!O233="","",'Все позиции'!O233)</f>
        <v>-0.490196078431373</v>
      </c>
      <c r="J147" s="20" t="n">
        <f aca="false">IF('Все позиции'!G233="","",'Все позиции'!G233)</f>
        <v>2040</v>
      </c>
      <c r="K147" s="20" t="n">
        <f aca="false">IF('Все позиции'!M233="","",'Все позиции'!M233)</f>
        <v>1040</v>
      </c>
      <c r="L147" s="22" t="n">
        <f aca="false">IF('Все позиции'!N233="","",'Все позиции'!N233)</f>
        <v>-1000</v>
      </c>
      <c r="M147" s="17" t="str">
        <f aca="false">IF('Все позиции'!P233="","",'Все позиции'!P233)</f>
        <v>Цена снижена</v>
      </c>
      <c r="N147" s="18" t="str">
        <f aca="false">IF('Все позиции'!Q233="","",'Все позиции'!Q233)</f>
        <v/>
      </c>
      <c r="O147" s="18" t="str">
        <f aca="false">IF('Все позиции'!R233="","",'Все позиции'!R233)</f>
        <v>Цена Согласована Марк</v>
      </c>
    </row>
    <row r="148" customFormat="false" ht="26.85" hidden="false" customHeight="false" outlineLevel="0" collapsed="false">
      <c r="A148" s="17" t="str">
        <f aca="false">IF('Все позиции'!A161="","",'Все позиции'!A161)</f>
        <v>4. Вентиляция 10 этаж</v>
      </c>
      <c r="B148" s="17" t="str">
        <f aca="false">IF('Все позиции'!B161="","",'Все позиции'!B161)</f>
        <v>4.48</v>
      </c>
      <c r="C148" s="18" t="str">
        <f aca="false">IF('Все позиции'!C161="","",'Все позиции'!C161)</f>
        <v>Отвод 900 из оцинкованной стали толщиной 0,5мм, класса «В», Ø200</v>
      </c>
      <c r="D148" s="17" t="str">
        <f aca="false">IF('Все позиции'!D161="","",'Все позиции'!D161)</f>
        <v>шт.</v>
      </c>
      <c r="E148" s="19" t="n">
        <f aca="false">IF('Все позиции'!E161="","",'Все позиции'!E161)</f>
        <v>6</v>
      </c>
      <c r="F148" s="20" t="n">
        <f aca="false">IF('Все позиции'!F161="","",'Все позиции'!F161)</f>
        <v>1020</v>
      </c>
      <c r="G148" s="19" t="n">
        <f aca="false">IF('Все позиции'!H161="","",'Все позиции'!H161)</f>
        <v>6</v>
      </c>
      <c r="H148" s="20" t="n">
        <f aca="false">IF('Все позиции'!L161="","",'Все позиции'!L161)</f>
        <v>855</v>
      </c>
      <c r="I148" s="21" t="n">
        <f aca="false">IF('Все позиции'!O161="","",'Все позиции'!O161)</f>
        <v>-0.161764705882353</v>
      </c>
      <c r="J148" s="20" t="n">
        <f aca="false">IF('Все позиции'!G161="","",'Все позиции'!G161)</f>
        <v>6120</v>
      </c>
      <c r="K148" s="20" t="n">
        <f aca="false">IF('Все позиции'!M161="","",'Все позиции'!M161)</f>
        <v>5130</v>
      </c>
      <c r="L148" s="22" t="n">
        <f aca="false">IF('Все позиции'!N161="","",'Все позиции'!N161)</f>
        <v>-990</v>
      </c>
      <c r="M148" s="17" t="str">
        <f aca="false">IF('Все позиции'!P161="","",'Все позиции'!P161)</f>
        <v>Цена снижена</v>
      </c>
      <c r="N148" s="18" t="str">
        <f aca="false">IF('Все позиции'!Q161="","",'Все позиции'!Q161)</f>
        <v>по договру</v>
      </c>
      <c r="O148" s="18" t="str">
        <f aca="false">IF('Все позиции'!R161="","",'Все позиции'!R161)</f>
        <v/>
      </c>
    </row>
    <row r="149" customFormat="false" ht="26.85" hidden="false" customHeight="false" outlineLevel="0" collapsed="false">
      <c r="A149" s="17" t="str">
        <f aca="false">IF('Все позиции'!A156="","",'Все позиции'!A156)</f>
        <v>4. Вентиляция 10 этаж</v>
      </c>
      <c r="B149" s="17" t="str">
        <f aca="false">IF('Все позиции'!B156="","",'Все позиции'!B156)</f>
        <v>4.43</v>
      </c>
      <c r="C149" s="18" t="str">
        <f aca="false">IF('Все позиции'!C156="","",'Все позиции'!C156)</f>
        <v>Отвод 450 из оцинкованной стали толщиной 0,7мм, класса «В», 500x200</v>
      </c>
      <c r="D149" s="17" t="str">
        <f aca="false">IF('Все позиции'!D156="","",'Все позиции'!D156)</f>
        <v>шт.</v>
      </c>
      <c r="E149" s="19" t="n">
        <f aca="false">IF('Все позиции'!E156="","",'Все позиции'!E156)</f>
        <v>4</v>
      </c>
      <c r="F149" s="20" t="n">
        <f aca="false">IF('Все позиции'!F156="","",'Все позиции'!F156)</f>
        <v>1944</v>
      </c>
      <c r="G149" s="19" t="n">
        <f aca="false">IF('Все позиции'!H156="","",'Все позиции'!H156)</f>
        <v>4</v>
      </c>
      <c r="H149" s="20" t="n">
        <f aca="false">IF('Все позиции'!L156="","",'Все позиции'!L156)</f>
        <v>1700</v>
      </c>
      <c r="I149" s="21" t="n">
        <f aca="false">IF('Все позиции'!O156="","",'Все позиции'!O156)</f>
        <v>-0.125514403292181</v>
      </c>
      <c r="J149" s="20" t="n">
        <f aca="false">IF('Все позиции'!G156="","",'Все позиции'!G156)</f>
        <v>7776</v>
      </c>
      <c r="K149" s="20" t="n">
        <f aca="false">IF('Все позиции'!M156="","",'Все позиции'!M156)</f>
        <v>6800</v>
      </c>
      <c r="L149" s="22" t="n">
        <f aca="false">IF('Все позиции'!N156="","",'Все позиции'!N156)</f>
        <v>-976</v>
      </c>
      <c r="M149" s="17" t="str">
        <f aca="false">IF('Все позиции'!P156="","",'Все позиции'!P156)</f>
        <v>Цена снижена</v>
      </c>
      <c r="N149" s="18" t="str">
        <f aca="false">IF('Все позиции'!Q156="","",'Все позиции'!Q156)</f>
        <v/>
      </c>
      <c r="O149" s="18" t="str">
        <f aca="false">IF('Все позиции'!R156="","",'Все позиции'!R156)</f>
        <v/>
      </c>
    </row>
    <row r="150" customFormat="false" ht="26.85" hidden="false" customHeight="false" outlineLevel="0" collapsed="false">
      <c r="A150" s="17" t="str">
        <f aca="false">IF('Все позиции'!A181="","",'Все позиции'!A181)</f>
        <v>4. Вентиляция 10 этаж</v>
      </c>
      <c r="B150" s="17" t="str">
        <f aca="false">IF('Все позиции'!B181="","",'Все позиции'!B181)</f>
        <v>4.68</v>
      </c>
      <c r="C150" s="18" t="str">
        <f aca="false">IF('Все позиции'!C181="","",'Все позиции'!C181)</f>
        <v>Переход из оцинкованной стали толщиной 0,7мм, класса «В», 400x200/Ø200</v>
      </c>
      <c r="D150" s="17" t="str">
        <f aca="false">IF('Все позиции'!D181="","",'Все позиции'!D181)</f>
        <v>шт.</v>
      </c>
      <c r="E150" s="19" t="n">
        <f aca="false">IF('Все позиции'!E181="","",'Все позиции'!E181)</f>
        <v>1</v>
      </c>
      <c r="F150" s="20" t="n">
        <f aca="false">IF('Все позиции'!F181="","",'Все позиции'!F181)</f>
        <v>1620</v>
      </c>
      <c r="G150" s="19" t="n">
        <f aca="false">IF('Все позиции'!H181="","",'Все позиции'!H181)</f>
        <v>1</v>
      </c>
      <c r="H150" s="20" t="n">
        <f aca="false">IF('Все позиции'!L181="","",'Все позиции'!L181)</f>
        <v>680</v>
      </c>
      <c r="I150" s="21" t="n">
        <f aca="false">IF('Все позиции'!O181="","",'Все позиции'!O181)</f>
        <v>-0.580246913580247</v>
      </c>
      <c r="J150" s="20" t="n">
        <f aca="false">IF('Все позиции'!G181="","",'Все позиции'!G181)</f>
        <v>1620</v>
      </c>
      <c r="K150" s="20" t="n">
        <f aca="false">IF('Все позиции'!M181="","",'Все позиции'!M181)</f>
        <v>680</v>
      </c>
      <c r="L150" s="22" t="n">
        <f aca="false">IF('Все позиции'!N181="","",'Все позиции'!N181)</f>
        <v>-940</v>
      </c>
      <c r="M150" s="17" t="str">
        <f aca="false">IF('Все позиции'!P181="","",'Все позиции'!P181)</f>
        <v>Цена снижена</v>
      </c>
      <c r="N150" s="18" t="str">
        <f aca="false">IF('Все позиции'!Q181="","",'Все позиции'!Q181)</f>
        <v/>
      </c>
      <c r="O150" s="18" t="str">
        <f aca="false">IF('Все позиции'!R181="","",'Все позиции'!R181)</f>
        <v/>
      </c>
    </row>
    <row r="151" customFormat="false" ht="26.85" hidden="false" customHeight="false" outlineLevel="0" collapsed="false">
      <c r="A151" s="17" t="str">
        <f aca="false">IF('Все позиции'!A300="","",'Все позиции'!A300)</f>
        <v>6. Вентиляция 2 этаж</v>
      </c>
      <c r="B151" s="17" t="str">
        <f aca="false">IF('Все позиции'!B300="","",'Все позиции'!B300)</f>
        <v>6.60</v>
      </c>
      <c r="C151" s="18" t="str">
        <f aca="false">IF('Все позиции'!C300="","",'Все позиции'!C300)</f>
        <v>Переход из оцинкованной стали толщиной 0,7мм, класса «В», 400x200/300x200</v>
      </c>
      <c r="D151" s="17" t="str">
        <f aca="false">IF('Все позиции'!D300="","",'Все позиции'!D300)</f>
        <v>шт.</v>
      </c>
      <c r="E151" s="19" t="n">
        <f aca="false">IF('Все позиции'!E300="","",'Все позиции'!E300)</f>
        <v>1</v>
      </c>
      <c r="F151" s="20" t="n">
        <f aca="false">IF('Все позиции'!F300="","",'Все позиции'!F300)</f>
        <v>1620</v>
      </c>
      <c r="G151" s="19" t="n">
        <f aca="false">IF('Все позиции'!H300="","",'Все позиции'!H300)</f>
        <v>1</v>
      </c>
      <c r="H151" s="20" t="n">
        <f aca="false">IF('Все позиции'!L300="","",'Все позиции'!L300)</f>
        <v>680</v>
      </c>
      <c r="I151" s="21" t="n">
        <f aca="false">IF('Все позиции'!O300="","",'Все позиции'!O300)</f>
        <v>-0.580246913580247</v>
      </c>
      <c r="J151" s="20" t="n">
        <f aca="false">IF('Все позиции'!G300="","",'Все позиции'!G300)</f>
        <v>1620</v>
      </c>
      <c r="K151" s="20" t="n">
        <f aca="false">IF('Все позиции'!M300="","",'Все позиции'!M300)</f>
        <v>680</v>
      </c>
      <c r="L151" s="22" t="n">
        <f aca="false">IF('Все позиции'!N300="","",'Все позиции'!N300)</f>
        <v>-940</v>
      </c>
      <c r="M151" s="17" t="str">
        <f aca="false">IF('Все позиции'!P300="","",'Все позиции'!P300)</f>
        <v>Цена снижена</v>
      </c>
      <c r="N151" s="18" t="str">
        <f aca="false">IF('Все позиции'!Q300="","",'Все позиции'!Q300)</f>
        <v/>
      </c>
      <c r="O151" s="18" t="str">
        <f aca="false">IF('Все позиции'!R300="","",'Все позиции'!R300)</f>
        <v/>
      </c>
    </row>
    <row r="152" customFormat="false" ht="26.85" hidden="false" customHeight="false" outlineLevel="0" collapsed="false">
      <c r="A152" s="17" t="str">
        <f aca="false">IF('Все позиции'!A186="","",'Все позиции'!A186)</f>
        <v>4. Вентиляция 10 этаж</v>
      </c>
      <c r="B152" s="17" t="str">
        <f aca="false">IF('Все позиции'!B186="","",'Все позиции'!B186)</f>
        <v>4.73</v>
      </c>
      <c r="C152" s="18" t="str">
        <f aca="false">IF('Все позиции'!C186="","",'Все позиции'!C186)</f>
        <v>Переход из оцинкованной стали толщиной 0,7мм, класса «В», 600x200/500x200</v>
      </c>
      <c r="D152" s="17" t="str">
        <f aca="false">IF('Все позиции'!D186="","",'Все позиции'!D186)</f>
        <v>шт.</v>
      </c>
      <c r="E152" s="19" t="n">
        <f aca="false">IF('Все позиции'!E186="","",'Все позиции'!E186)</f>
        <v>1</v>
      </c>
      <c r="F152" s="20" t="n">
        <f aca="false">IF('Все позиции'!F186="","",'Все позиции'!F186)</f>
        <v>1944</v>
      </c>
      <c r="G152" s="19" t="n">
        <f aca="false">IF('Все позиции'!H186="","",'Все позиции'!H186)</f>
        <v>1</v>
      </c>
      <c r="H152" s="20" t="n">
        <f aca="false">IF('Все позиции'!L186="","",'Все позиции'!L186)</f>
        <v>1020</v>
      </c>
      <c r="I152" s="21" t="n">
        <f aca="false">IF('Все позиции'!O186="","",'Все позиции'!O186)</f>
        <v>-0.475308641975309</v>
      </c>
      <c r="J152" s="20" t="n">
        <f aca="false">IF('Все позиции'!G186="","",'Все позиции'!G186)</f>
        <v>1944</v>
      </c>
      <c r="K152" s="20" t="n">
        <f aca="false">IF('Все позиции'!M186="","",'Все позиции'!M186)</f>
        <v>1020</v>
      </c>
      <c r="L152" s="22" t="n">
        <f aca="false">IF('Все позиции'!N186="","",'Все позиции'!N186)</f>
        <v>-924</v>
      </c>
      <c r="M152" s="17" t="str">
        <f aca="false">IF('Все позиции'!P186="","",'Все позиции'!P186)</f>
        <v>Цена снижена</v>
      </c>
      <c r="N152" s="18" t="str">
        <f aca="false">IF('Все позиции'!Q186="","",'Все позиции'!Q186)</f>
        <v/>
      </c>
      <c r="O152" s="18" t="str">
        <f aca="false">IF('Все позиции'!R186="","",'Все позиции'!R186)</f>
        <v/>
      </c>
    </row>
    <row r="153" customFormat="false" ht="26.85" hidden="false" customHeight="false" outlineLevel="0" collapsed="false">
      <c r="A153" s="17" t="str">
        <f aca="false">IF('Все позиции'!A153="","",'Все позиции'!A153)</f>
        <v>4. Вентиляция 10 этаж</v>
      </c>
      <c r="B153" s="17" t="str">
        <f aca="false">IF('Все позиции'!B153="","",'Все позиции'!B153)</f>
        <v>4.40</v>
      </c>
      <c r="C153" s="18" t="str">
        <f aca="false">IF('Все позиции'!C153="","",'Все позиции'!C153)</f>
        <v>Отвод 300 из оцинкованной стали толщиной 0,7мм, класса «В», 600x200</v>
      </c>
      <c r="D153" s="17" t="str">
        <f aca="false">IF('Все позиции'!D153="","",'Все позиции'!D153)</f>
        <v>шт.</v>
      </c>
      <c r="E153" s="19" t="n">
        <f aca="false">IF('Все позиции'!E153="","",'Все позиции'!E153)</f>
        <v>1</v>
      </c>
      <c r="F153" s="20" t="n">
        <f aca="false">IF('Все позиции'!F153="","",'Все позиции'!F153)</f>
        <v>2268</v>
      </c>
      <c r="G153" s="19" t="n">
        <f aca="false">IF('Все позиции'!H153="","",'Все позиции'!H153)</f>
        <v>1</v>
      </c>
      <c r="H153" s="20" t="n">
        <f aca="false">IF('Все позиции'!L153="","",'Все позиции'!L153)</f>
        <v>1360</v>
      </c>
      <c r="I153" s="21" t="n">
        <f aca="false">IF('Все позиции'!O153="","",'Все позиции'!O153)</f>
        <v>-0.400352733686067</v>
      </c>
      <c r="J153" s="20" t="n">
        <f aca="false">IF('Все позиции'!G153="","",'Все позиции'!G153)</f>
        <v>2268</v>
      </c>
      <c r="K153" s="20" t="n">
        <f aca="false">IF('Все позиции'!M153="","",'Все позиции'!M153)</f>
        <v>1360</v>
      </c>
      <c r="L153" s="22" t="n">
        <f aca="false">IF('Все позиции'!N153="","",'Все позиции'!N153)</f>
        <v>-908</v>
      </c>
      <c r="M153" s="17" t="str">
        <f aca="false">IF('Все позиции'!P153="","",'Все позиции'!P153)</f>
        <v>Цена снижена</v>
      </c>
      <c r="N153" s="18" t="str">
        <f aca="false">IF('Все позиции'!Q153="","",'Все позиции'!Q153)</f>
        <v/>
      </c>
      <c r="O153" s="18" t="str">
        <f aca="false">IF('Все позиции'!R153="","",'Все позиции'!R153)</f>
        <v/>
      </c>
    </row>
    <row r="154" customFormat="false" ht="26.85" hidden="false" customHeight="false" outlineLevel="0" collapsed="false">
      <c r="A154" s="17" t="str">
        <f aca="false">IF('Все позиции'!A272="","",'Все позиции'!A272)</f>
        <v>6. Вентиляция 2 этаж</v>
      </c>
      <c r="B154" s="17" t="str">
        <f aca="false">IF('Все позиции'!B272="","",'Все позиции'!B272)</f>
        <v>6.32</v>
      </c>
      <c r="C154" s="18" t="str">
        <f aca="false">IF('Все позиции'!C272="","",'Все позиции'!C272)</f>
        <v>Отвод 300 из оцинкованной стали толщиной 0,7мм, класса «В», 300x250</v>
      </c>
      <c r="D154" s="17" t="str">
        <f aca="false">IF('Все позиции'!D272="","",'Все позиции'!D272)</f>
        <v>шт.</v>
      </c>
      <c r="E154" s="19" t="n">
        <f aca="false">IF('Все позиции'!E272="","",'Все позиции'!E272)</f>
        <v>1</v>
      </c>
      <c r="F154" s="20" t="n">
        <f aca="false">IF('Все позиции'!F272="","",'Все позиции'!F272)</f>
        <v>1782</v>
      </c>
      <c r="G154" s="19" t="n">
        <f aca="false">IF('Все позиции'!H272="","",'Все позиции'!H272)</f>
        <v>1</v>
      </c>
      <c r="H154" s="20" t="n">
        <f aca="false">IF('Все позиции'!L272="","",'Все позиции'!L272)</f>
        <v>900</v>
      </c>
      <c r="I154" s="21" t="n">
        <f aca="false">IF('Все позиции'!O272="","",'Все позиции'!O272)</f>
        <v>-0.494949494949495</v>
      </c>
      <c r="J154" s="20" t="n">
        <f aca="false">IF('Все позиции'!G272="","",'Все позиции'!G272)</f>
        <v>1782</v>
      </c>
      <c r="K154" s="20" t="n">
        <f aca="false">IF('Все позиции'!M272="","",'Все позиции'!M272)</f>
        <v>900</v>
      </c>
      <c r="L154" s="22" t="n">
        <f aca="false">IF('Все позиции'!N272="","",'Все позиции'!N272)</f>
        <v>-882</v>
      </c>
      <c r="M154" s="17" t="str">
        <f aca="false">IF('Все позиции'!P272="","",'Все позиции'!P272)</f>
        <v>Цена снижена</v>
      </c>
      <c r="N154" s="18" t="str">
        <f aca="false">IF('Все позиции'!Q272="","",'Все позиции'!Q272)</f>
        <v/>
      </c>
      <c r="O154" s="18" t="str">
        <f aca="false">IF('Все позиции'!R272="","",'Все позиции'!R272)</f>
        <v/>
      </c>
    </row>
    <row r="155" customFormat="false" ht="15" hidden="false" customHeight="false" outlineLevel="0" collapsed="false">
      <c r="A155" s="17" t="str">
        <f aca="false">IF('Все позиции'!A121="","",'Все позиции'!A121)</f>
        <v>4. Вентиляция 10 этаж</v>
      </c>
      <c r="B155" s="17" t="str">
        <f aca="false">IF('Все позиции'!B121="","",'Все позиции'!B121)</f>
        <v>4.8</v>
      </c>
      <c r="C155" s="18" t="str">
        <f aca="false">IF('Все позиции'!C121="","",'Все позиции'!C121)</f>
        <v>Решетка щелевая, 1400мм ЛРЩ 22-1-1400-У2</v>
      </c>
      <c r="D155" s="17" t="str">
        <f aca="false">IF('Все позиции'!D121="","",'Все позиции'!D121)</f>
        <v>шт.</v>
      </c>
      <c r="E155" s="19" t="n">
        <f aca="false">IF('Все позиции'!E121="","",'Все позиции'!E121)</f>
        <v>1</v>
      </c>
      <c r="F155" s="20" t="n">
        <f aca="false">IF('Все позиции'!F121="","",'Все позиции'!F121)</f>
        <v>4860</v>
      </c>
      <c r="G155" s="19" t="n">
        <f aca="false">IF('Все позиции'!H121="","",'Все позиции'!H121)</f>
        <v>1</v>
      </c>
      <c r="H155" s="20" t="n">
        <f aca="false">IF('Все позиции'!L121="","",'Все позиции'!L121)</f>
        <v>4000</v>
      </c>
      <c r="I155" s="21" t="n">
        <f aca="false">IF('Все позиции'!O121="","",'Все позиции'!O121)</f>
        <v>-0.176954732510288</v>
      </c>
      <c r="J155" s="20" t="n">
        <f aca="false">IF('Все позиции'!G121="","",'Все позиции'!G121)</f>
        <v>4860</v>
      </c>
      <c r="K155" s="20" t="n">
        <f aca="false">IF('Все позиции'!M121="","",'Все позиции'!M121)</f>
        <v>4000</v>
      </c>
      <c r="L155" s="22" t="n">
        <f aca="false">IF('Все позиции'!N121="","",'Все позиции'!N121)</f>
        <v>-860</v>
      </c>
      <c r="M155" s="17" t="str">
        <f aca="false">IF('Все позиции'!P121="","",'Все позиции'!P121)</f>
        <v>Цена снижена</v>
      </c>
      <c r="N155" s="18" t="str">
        <f aca="false">IF('Все позиции'!Q121="","",'Все позиции'!Q121)</f>
        <v>по договору</v>
      </c>
      <c r="O155" s="18" t="str">
        <f aca="false">IF('Все позиции'!R121="","",'Все позиции'!R121)</f>
        <v/>
      </c>
    </row>
    <row r="156" customFormat="false" ht="15" hidden="false" customHeight="false" outlineLevel="0" collapsed="false">
      <c r="A156" s="17" t="str">
        <f aca="false">IF('Все позиции'!A125="","",'Все позиции'!A125)</f>
        <v>4. Вентиляция 10 этаж</v>
      </c>
      <c r="B156" s="17" t="str">
        <f aca="false">IF('Все позиции'!B125="","",'Все позиции'!B125)</f>
        <v>4.12</v>
      </c>
      <c r="C156" s="18" t="str">
        <f aca="false">IF('Все позиции'!C125="","",'Все позиции'!C125)</f>
        <v>Решетка щелевая, 500мм ЛРЩ 22-1-8500-У2</v>
      </c>
      <c r="D156" s="17" t="str">
        <f aca="false">IF('Все позиции'!D125="","",'Все позиции'!D125)</f>
        <v>шт.</v>
      </c>
      <c r="E156" s="19" t="n">
        <f aca="false">IF('Все позиции'!E125="","",'Все позиции'!E125)</f>
        <v>1</v>
      </c>
      <c r="F156" s="20" t="n">
        <f aca="false">IF('Все позиции'!F125="","",'Все позиции'!F125)</f>
        <v>4860</v>
      </c>
      <c r="G156" s="19" t="n">
        <f aca="false">IF('Все позиции'!H125="","",'Все позиции'!H125)</f>
        <v>1</v>
      </c>
      <c r="H156" s="20" t="n">
        <f aca="false">IF('Все позиции'!L125="","",'Все позиции'!L125)</f>
        <v>4000</v>
      </c>
      <c r="I156" s="21" t="n">
        <f aca="false">IF('Все позиции'!O125="","",'Все позиции'!O125)</f>
        <v>-0.176954732510288</v>
      </c>
      <c r="J156" s="20" t="n">
        <f aca="false">IF('Все позиции'!G125="","",'Все позиции'!G125)</f>
        <v>4860</v>
      </c>
      <c r="K156" s="20" t="n">
        <f aca="false">IF('Все позиции'!M125="","",'Все позиции'!M125)</f>
        <v>4000</v>
      </c>
      <c r="L156" s="22" t="n">
        <f aca="false">IF('Все позиции'!N125="","",'Все позиции'!N125)</f>
        <v>-860</v>
      </c>
      <c r="M156" s="17" t="str">
        <f aca="false">IF('Все позиции'!P125="","",'Все позиции'!P125)</f>
        <v>Цена снижена</v>
      </c>
      <c r="N156" s="18" t="str">
        <f aca="false">IF('Все позиции'!Q125="","",'Все позиции'!Q125)</f>
        <v>по договору</v>
      </c>
      <c r="O156" s="18" t="str">
        <f aca="false">IF('Все позиции'!R125="","",'Все позиции'!R125)</f>
        <v/>
      </c>
    </row>
    <row r="157" customFormat="false" ht="15" hidden="false" customHeight="false" outlineLevel="0" collapsed="false">
      <c r="A157" s="17" t="str">
        <f aca="false">IF('Все позиции'!A250="","",'Все позиции'!A250)</f>
        <v>6. Вентиляция 2 этаж</v>
      </c>
      <c r="B157" s="17" t="str">
        <f aca="false">IF('Все позиции'!B250="","",'Все позиции'!B250)</f>
        <v>6.10</v>
      </c>
      <c r="C157" s="18" t="str">
        <f aca="false">IF('Все позиции'!C250="","",'Все позиции'!C250)</f>
        <v>Регулятор расхода воздуха, Ø160 КВК 160</v>
      </c>
      <c r="D157" s="17" t="str">
        <f aca="false">IF('Все позиции'!D250="","",'Все позиции'!D250)</f>
        <v>шт.</v>
      </c>
      <c r="E157" s="19" t="n">
        <f aca="false">IF('Все позиции'!E250="","",'Все позиции'!E250)</f>
        <v>2</v>
      </c>
      <c r="F157" s="20" t="n">
        <f aca="false">IF('Все позиции'!F250="","",'Все позиции'!F250)</f>
        <v>1377</v>
      </c>
      <c r="G157" s="19" t="n">
        <f aca="false">IF('Все позиции'!H250="","",'Все позиции'!H250)</f>
        <v>2</v>
      </c>
      <c r="H157" s="20" t="n">
        <f aca="false">IF('Все позиции'!L250="","",'Все позиции'!L250)</f>
        <v>950</v>
      </c>
      <c r="I157" s="21" t="n">
        <f aca="false">IF('Все позиции'!O250="","",'Все позиции'!O250)</f>
        <v>-0.310094408133624</v>
      </c>
      <c r="J157" s="20" t="n">
        <f aca="false">IF('Все позиции'!G250="","",'Все позиции'!G250)</f>
        <v>2754</v>
      </c>
      <c r="K157" s="20" t="n">
        <f aca="false">IF('Все позиции'!M250="","",'Все позиции'!M250)</f>
        <v>1900</v>
      </c>
      <c r="L157" s="22" t="n">
        <f aca="false">IF('Все позиции'!N250="","",'Все позиции'!N250)</f>
        <v>-854</v>
      </c>
      <c r="M157" s="17" t="str">
        <f aca="false">IF('Все позиции'!P250="","",'Все позиции'!P250)</f>
        <v>Цена снижена</v>
      </c>
      <c r="N157" s="18" t="str">
        <f aca="false">IF('Все позиции'!Q250="","",'Все позиции'!Q250)</f>
        <v>по договору</v>
      </c>
      <c r="O157" s="18" t="str">
        <f aca="false">IF('Все позиции'!R250="","",'Все позиции'!R250)</f>
        <v/>
      </c>
    </row>
    <row r="158" customFormat="false" ht="26.85" hidden="false" customHeight="false" outlineLevel="0" collapsed="false">
      <c r="A158" s="17" t="str">
        <f aca="false">IF('Все позиции'!A269="","",'Все позиции'!A269)</f>
        <v>6. Вентиляция 2 этаж</v>
      </c>
      <c r="B158" s="17" t="str">
        <f aca="false">IF('Все позиции'!B269="","",'Все позиции'!B269)</f>
        <v>6.29</v>
      </c>
      <c r="C158" s="18" t="str">
        <f aca="false">IF('Все позиции'!C269="","",'Все позиции'!C269)</f>
        <v>Отвод 300 из оцинкованной стали толщиной 0,5мм, класса «В», Ø200</v>
      </c>
      <c r="D158" s="17" t="str">
        <f aca="false">IF('Все позиции'!D269="","",'Все позиции'!D269)</f>
        <v>шт.</v>
      </c>
      <c r="E158" s="19" t="n">
        <f aca="false">IF('Все позиции'!E269="","",'Все позиции'!E269)</f>
        <v>5</v>
      </c>
      <c r="F158" s="20" t="n">
        <f aca="false">IF('Все позиции'!F269="","",'Все позиции'!F269)</f>
        <v>1020</v>
      </c>
      <c r="G158" s="19" t="n">
        <f aca="false">IF('Все позиции'!H269="","",'Все позиции'!H269)</f>
        <v>5</v>
      </c>
      <c r="H158" s="20" t="n">
        <f aca="false">IF('Все позиции'!L269="","",'Все позиции'!L269)</f>
        <v>855</v>
      </c>
      <c r="I158" s="21" t="n">
        <f aca="false">IF('Все позиции'!O269="","",'Все позиции'!O269)</f>
        <v>-0.161764705882353</v>
      </c>
      <c r="J158" s="20" t="n">
        <f aca="false">IF('Все позиции'!G269="","",'Все позиции'!G269)</f>
        <v>5100</v>
      </c>
      <c r="K158" s="20" t="n">
        <f aca="false">IF('Все позиции'!M269="","",'Все позиции'!M269)</f>
        <v>4275</v>
      </c>
      <c r="L158" s="22" t="n">
        <f aca="false">IF('Все позиции'!N269="","",'Все позиции'!N269)</f>
        <v>-825</v>
      </c>
      <c r="M158" s="17" t="str">
        <f aca="false">IF('Все позиции'!P269="","",'Все позиции'!P269)</f>
        <v>Цена снижена</v>
      </c>
      <c r="N158" s="18" t="str">
        <f aca="false">IF('Все позиции'!Q269="","",'Все позиции'!Q269)</f>
        <v>по договру</v>
      </c>
      <c r="O158" s="18" t="str">
        <f aca="false">IF('Все позиции'!R269="","",'Все позиции'!R269)</f>
        <v/>
      </c>
    </row>
    <row r="159" customFormat="false" ht="26.85" hidden="false" customHeight="false" outlineLevel="0" collapsed="false">
      <c r="A159" s="17" t="str">
        <f aca="false">IF('Все позиции'!A295="","",'Все позиции'!A295)</f>
        <v>6. Вентиляция 2 этаж</v>
      </c>
      <c r="B159" s="17" t="str">
        <f aca="false">IF('Все позиции'!B295="","",'Все позиции'!B295)</f>
        <v>6.55</v>
      </c>
      <c r="C159" s="18" t="str">
        <f aca="false">IF('Все позиции'!C295="","",'Все позиции'!C295)</f>
        <v>Переход из оцинкованной стали толщиной 0,5мм, класса «В», Ø200/Ø125</v>
      </c>
      <c r="D159" s="17" t="str">
        <f aca="false">IF('Все позиции'!D295="","",'Все позиции'!D295)</f>
        <v>шт.</v>
      </c>
      <c r="E159" s="19" t="n">
        <f aca="false">IF('Все позиции'!E295="","",'Все позиции'!E295)</f>
        <v>5</v>
      </c>
      <c r="F159" s="20" t="n">
        <f aca="false">IF('Все позиции'!F295="","",'Все позиции'!F295)</f>
        <v>1020</v>
      </c>
      <c r="G159" s="19" t="n">
        <f aca="false">IF('Все позиции'!H295="","",'Все позиции'!H295)</f>
        <v>5</v>
      </c>
      <c r="H159" s="20" t="n">
        <f aca="false">IF('Все позиции'!L295="","",'Все позиции'!L295)</f>
        <v>855</v>
      </c>
      <c r="I159" s="21" t="n">
        <f aca="false">IF('Все позиции'!O295="","",'Все позиции'!O295)</f>
        <v>-0.161764705882353</v>
      </c>
      <c r="J159" s="20" t="n">
        <f aca="false">IF('Все позиции'!G295="","",'Все позиции'!G295)</f>
        <v>5100</v>
      </c>
      <c r="K159" s="20" t="n">
        <f aca="false">IF('Все позиции'!M295="","",'Все позиции'!M295)</f>
        <v>4275</v>
      </c>
      <c r="L159" s="22" t="n">
        <f aca="false">IF('Все позиции'!N295="","",'Все позиции'!N295)</f>
        <v>-825</v>
      </c>
      <c r="M159" s="17" t="str">
        <f aca="false">IF('Все позиции'!P295="","",'Все позиции'!P295)</f>
        <v>Цена снижена</v>
      </c>
      <c r="N159" s="18" t="str">
        <f aca="false">IF('Все позиции'!Q295="","",'Все позиции'!Q295)</f>
        <v>по договру</v>
      </c>
      <c r="O159" s="18" t="str">
        <f aca="false">IF('Все позиции'!R295="","",'Все позиции'!R295)</f>
        <v/>
      </c>
    </row>
    <row r="160" customFormat="false" ht="26.85" hidden="false" customHeight="false" outlineLevel="0" collapsed="false">
      <c r="A160" s="17" t="str">
        <f aca="false">IF('Все позиции'!A303="","",'Все позиции'!A303)</f>
        <v>6. Вентиляция 2 этаж</v>
      </c>
      <c r="B160" s="17" t="str">
        <f aca="false">IF('Все позиции'!B303="","",'Все позиции'!B303)</f>
        <v>6.63</v>
      </c>
      <c r="C160" s="18" t="str">
        <f aca="false">IF('Все позиции'!C303="","",'Все позиции'!C303)</f>
        <v>Заглушка из оцинкованной стали толщиной 0,5мм, класса «В», Ø200</v>
      </c>
      <c r="D160" s="17" t="str">
        <f aca="false">IF('Все позиции'!D303="","",'Все позиции'!D303)</f>
        <v>шт.</v>
      </c>
      <c r="E160" s="19" t="n">
        <f aca="false">IF('Все позиции'!E303="","",'Все позиции'!E303)</f>
        <v>5</v>
      </c>
      <c r="F160" s="20" t="n">
        <f aca="false">IF('Все позиции'!F303="","",'Все позиции'!F303)</f>
        <v>1020</v>
      </c>
      <c r="G160" s="19" t="n">
        <f aca="false">IF('Все позиции'!H303="","",'Все позиции'!H303)</f>
        <v>5</v>
      </c>
      <c r="H160" s="20" t="n">
        <f aca="false">IF('Все позиции'!L303="","",'Все позиции'!L303)</f>
        <v>855</v>
      </c>
      <c r="I160" s="21" t="n">
        <f aca="false">IF('Все позиции'!O303="","",'Все позиции'!O303)</f>
        <v>-0.161764705882353</v>
      </c>
      <c r="J160" s="20" t="n">
        <f aca="false">IF('Все позиции'!G303="","",'Все позиции'!G303)</f>
        <v>5100</v>
      </c>
      <c r="K160" s="20" t="n">
        <f aca="false">IF('Все позиции'!M303="","",'Все позиции'!M303)</f>
        <v>4275</v>
      </c>
      <c r="L160" s="22" t="n">
        <f aca="false">IF('Все позиции'!N303="","",'Все позиции'!N303)</f>
        <v>-825</v>
      </c>
      <c r="M160" s="17" t="str">
        <f aca="false">IF('Все позиции'!P303="","",'Все позиции'!P303)</f>
        <v>Цена снижена</v>
      </c>
      <c r="N160" s="18" t="str">
        <f aca="false">IF('Все позиции'!Q303="","",'Все позиции'!Q303)</f>
        <v>по договру</v>
      </c>
      <c r="O160" s="18" t="str">
        <f aca="false">IF('Все позиции'!R303="","",'Все позиции'!R303)</f>
        <v/>
      </c>
    </row>
    <row r="161" customFormat="false" ht="26.85" hidden="false" customHeight="false" outlineLevel="0" collapsed="false">
      <c r="A161" s="17" t="str">
        <f aca="false">IF('Все позиции'!A185="","",'Все позиции'!A185)</f>
        <v>4. Вентиляция 10 этаж</v>
      </c>
      <c r="B161" s="17" t="str">
        <f aca="false">IF('Все позиции'!B185="","",'Все позиции'!B185)</f>
        <v>4.72</v>
      </c>
      <c r="C161" s="18" t="str">
        <f aca="false">IF('Все позиции'!C185="","",'Все позиции'!C185)</f>
        <v>Переход из оцинкованной стали толщиной 0,7мм, класса «В», 500x300/500x200</v>
      </c>
      <c r="D161" s="17" t="str">
        <f aca="false">IF('Все позиции'!D185="","",'Все позиции'!D185)</f>
        <v>шт.</v>
      </c>
      <c r="E161" s="19" t="n">
        <f aca="false">IF('Все позиции'!E185="","",'Все позиции'!E185)</f>
        <v>1</v>
      </c>
      <c r="F161" s="20" t="n">
        <f aca="false">IF('Все позиции'!F185="","",'Все позиции'!F185)</f>
        <v>1620</v>
      </c>
      <c r="G161" s="19" t="n">
        <f aca="false">IF('Все позиции'!H185="","",'Все позиции'!H185)</f>
        <v>1</v>
      </c>
      <c r="H161" s="20" t="n">
        <f aca="false">IF('Все позиции'!L185="","",'Все позиции'!L185)</f>
        <v>850</v>
      </c>
      <c r="I161" s="21" t="n">
        <f aca="false">IF('Все позиции'!O185="","",'Все позиции'!O185)</f>
        <v>-0.475308641975309</v>
      </c>
      <c r="J161" s="20" t="n">
        <f aca="false">IF('Все позиции'!G185="","",'Все позиции'!G185)</f>
        <v>1620</v>
      </c>
      <c r="K161" s="20" t="n">
        <f aca="false">IF('Все позиции'!M185="","",'Все позиции'!M185)</f>
        <v>850</v>
      </c>
      <c r="L161" s="22" t="n">
        <f aca="false">IF('Все позиции'!N185="","",'Все позиции'!N185)</f>
        <v>-770</v>
      </c>
      <c r="M161" s="17" t="str">
        <f aca="false">IF('Все позиции'!P185="","",'Все позиции'!P185)</f>
        <v>Цена снижена</v>
      </c>
      <c r="N161" s="18" t="str">
        <f aca="false">IF('Все позиции'!Q185="","",'Все позиции'!Q185)</f>
        <v/>
      </c>
      <c r="O161" s="18" t="str">
        <f aca="false">IF('Все позиции'!R185="","",'Все позиции'!R185)</f>
        <v/>
      </c>
    </row>
    <row r="162" customFormat="false" ht="26.85" hidden="false" customHeight="false" outlineLevel="0" collapsed="false">
      <c r="A162" s="17" t="str">
        <f aca="false">IF('Все позиции'!A285="","",'Все позиции'!A285)</f>
        <v>6. Вентиляция 2 этаж</v>
      </c>
      <c r="B162" s="17" t="str">
        <f aca="false">IF('Все позиции'!B285="","",'Все позиции'!B285)</f>
        <v>6.45</v>
      </c>
      <c r="C162" s="18" t="str">
        <f aca="false">IF('Все позиции'!C285="","",'Все позиции'!C285)</f>
        <v>Отвод 900 из оцинкованной стали толщиной 0,7мм, класса «В», 300x200</v>
      </c>
      <c r="D162" s="17" t="str">
        <f aca="false">IF('Все позиции'!D285="","",'Все позиции'!D285)</f>
        <v>шт.</v>
      </c>
      <c r="E162" s="19" t="n">
        <f aca="false">IF('Все позиции'!E285="","",'Все позиции'!E285)</f>
        <v>1</v>
      </c>
      <c r="F162" s="20" t="n">
        <f aca="false">IF('Все позиции'!F285="","",'Все позиции'!F285)</f>
        <v>1620</v>
      </c>
      <c r="G162" s="19" t="n">
        <f aca="false">IF('Все позиции'!H285="","",'Все позиции'!H285)</f>
        <v>1</v>
      </c>
      <c r="H162" s="20" t="n">
        <f aca="false">IF('Все позиции'!L285="","",'Все позиции'!L285)</f>
        <v>850</v>
      </c>
      <c r="I162" s="21" t="n">
        <f aca="false">IF('Все позиции'!O285="","",'Все позиции'!O285)</f>
        <v>-0.475308641975309</v>
      </c>
      <c r="J162" s="20" t="n">
        <f aca="false">IF('Все позиции'!G285="","",'Все позиции'!G285)</f>
        <v>1620</v>
      </c>
      <c r="K162" s="20" t="n">
        <f aca="false">IF('Все позиции'!M285="","",'Все позиции'!M285)</f>
        <v>850</v>
      </c>
      <c r="L162" s="22" t="n">
        <f aca="false">IF('Все позиции'!N285="","",'Все позиции'!N285)</f>
        <v>-770</v>
      </c>
      <c r="M162" s="17" t="str">
        <f aca="false">IF('Все позиции'!P285="","",'Все позиции'!P285)</f>
        <v>Цена снижена</v>
      </c>
      <c r="N162" s="18" t="str">
        <f aca="false">IF('Все позиции'!Q285="","",'Все позиции'!Q285)</f>
        <v/>
      </c>
      <c r="O162" s="18" t="str">
        <f aca="false">IF('Все позиции'!R285="","",'Все позиции'!R285)</f>
        <v/>
      </c>
    </row>
    <row r="163" customFormat="false" ht="15" hidden="false" customHeight="false" outlineLevel="0" collapsed="false">
      <c r="A163" s="17" t="str">
        <f aca="false">IF('Все позиции'!A128="","",'Все позиции'!A128)</f>
        <v>4. Вентиляция 10 этаж</v>
      </c>
      <c r="B163" s="17" t="str">
        <f aca="false">IF('Все позиции'!B128="","",'Все позиции'!B128)</f>
        <v>4.15</v>
      </c>
      <c r="C163" s="18" t="str">
        <f aca="false">IF('Все позиции'!C128="","",'Все позиции'!C128)</f>
        <v>Воздуховод гофрированный, Ø100</v>
      </c>
      <c r="D163" s="17" t="str">
        <f aca="false">IF('Все позиции'!D128="","",'Все позиции'!D128)</f>
        <v>мп</v>
      </c>
      <c r="E163" s="19" t="n">
        <f aca="false">IF('Все позиции'!E128="","",'Все позиции'!E128)</f>
        <v>2</v>
      </c>
      <c r="F163" s="20" t="n">
        <f aca="false">IF('Все позиции'!F128="","",'Все позиции'!F128)</f>
        <v>1134</v>
      </c>
      <c r="G163" s="19" t="n">
        <f aca="false">IF('Все позиции'!H128="","",'Все позиции'!H128)</f>
        <v>2</v>
      </c>
      <c r="H163" s="20" t="n">
        <f aca="false">IF('Все позиции'!L128="","",'Все позиции'!L128)</f>
        <v>760</v>
      </c>
      <c r="I163" s="21" t="n">
        <f aca="false">IF('Все позиции'!O128="","",'Все позиции'!O128)</f>
        <v>-0.329805996472663</v>
      </c>
      <c r="J163" s="20" t="n">
        <f aca="false">IF('Все позиции'!G128="","",'Все позиции'!G128)</f>
        <v>2268</v>
      </c>
      <c r="K163" s="20" t="n">
        <f aca="false">IF('Все позиции'!M128="","",'Все позиции'!M128)</f>
        <v>1520</v>
      </c>
      <c r="L163" s="22" t="n">
        <f aca="false">IF('Все позиции'!N128="","",'Все позиции'!N128)</f>
        <v>-748</v>
      </c>
      <c r="M163" s="17" t="str">
        <f aca="false">IF('Все позиции'!P128="","",'Все позиции'!P128)</f>
        <v>Цена снижена</v>
      </c>
      <c r="N163" s="18" t="str">
        <f aca="false">IF('Все позиции'!Q128="","",'Все позиции'!Q128)</f>
        <v>по договору</v>
      </c>
      <c r="O163" s="18" t="str">
        <f aca="false">IF('Все позиции'!R128="","",'Все позиции'!R128)</f>
        <v/>
      </c>
    </row>
    <row r="164" customFormat="false" ht="15" hidden="false" customHeight="false" outlineLevel="0" collapsed="false">
      <c r="A164" s="17" t="str">
        <f aca="false">IF('Все позиции'!A129="","",'Все позиции'!A129)</f>
        <v>4. Вентиляция 10 этаж</v>
      </c>
      <c r="B164" s="17" t="str">
        <f aca="false">IF('Все позиции'!B129="","",'Все позиции'!B129)</f>
        <v>4.16</v>
      </c>
      <c r="C164" s="18" t="str">
        <f aca="false">IF('Все позиции'!C129="","",'Все позиции'!C129)</f>
        <v>Воздуховод гофрированный, Ø125</v>
      </c>
      <c r="D164" s="17" t="str">
        <f aca="false">IF('Все позиции'!D129="","",'Все позиции'!D129)</f>
        <v>мп</v>
      </c>
      <c r="E164" s="19" t="n">
        <f aca="false">IF('Все позиции'!E129="","",'Все позиции'!E129)</f>
        <v>2</v>
      </c>
      <c r="F164" s="20" t="n">
        <f aca="false">IF('Все позиции'!F129="","",'Все позиции'!F129)</f>
        <v>1134</v>
      </c>
      <c r="G164" s="19" t="n">
        <f aca="false">IF('Все позиции'!H129="","",'Все позиции'!H129)</f>
        <v>2</v>
      </c>
      <c r="H164" s="20" t="n">
        <f aca="false">IF('Все позиции'!L129="","",'Все позиции'!L129)</f>
        <v>760</v>
      </c>
      <c r="I164" s="21" t="n">
        <f aca="false">IF('Все позиции'!O129="","",'Все позиции'!O129)</f>
        <v>-0.329805996472663</v>
      </c>
      <c r="J164" s="20" t="n">
        <f aca="false">IF('Все позиции'!G129="","",'Все позиции'!G129)</f>
        <v>2268</v>
      </c>
      <c r="K164" s="20" t="n">
        <f aca="false">IF('Все позиции'!M129="","",'Все позиции'!M129)</f>
        <v>1520</v>
      </c>
      <c r="L164" s="22" t="n">
        <f aca="false">IF('Все позиции'!N129="","",'Все позиции'!N129)</f>
        <v>-748</v>
      </c>
      <c r="M164" s="17" t="str">
        <f aca="false">IF('Все позиции'!P129="","",'Все позиции'!P129)</f>
        <v>Цена снижена</v>
      </c>
      <c r="N164" s="18" t="str">
        <f aca="false">IF('Все позиции'!Q129="","",'Все позиции'!Q129)</f>
        <v>по договору</v>
      </c>
      <c r="O164" s="18" t="str">
        <f aca="false">IF('Все позиции'!R129="","",'Все позиции'!R129)</f>
        <v/>
      </c>
    </row>
    <row r="165" customFormat="false" ht="26.85" hidden="false" customHeight="false" outlineLevel="0" collapsed="false">
      <c r="A165" s="17" t="str">
        <f aca="false">IF('Все позиции'!A148="","",'Все позиции'!A148)</f>
        <v>4. Вентиляция 10 этаж</v>
      </c>
      <c r="B165" s="17" t="str">
        <f aca="false">IF('Все позиции'!B148="","",'Все позиции'!B148)</f>
        <v>4.35</v>
      </c>
      <c r="C165" s="18" t="str">
        <f aca="false">IF('Все позиции'!C148="","",'Все позиции'!C148)</f>
        <v>Отвод 150 из оцинкованной стали толщиной 0,5мм, класса «В», Ø160</v>
      </c>
      <c r="D165" s="17" t="str">
        <f aca="false">IF('Все позиции'!D148="","",'Все позиции'!D148)</f>
        <v>шт.</v>
      </c>
      <c r="E165" s="19" t="n">
        <f aca="false">IF('Все позиции'!E148="","",'Все позиции'!E148)</f>
        <v>4</v>
      </c>
      <c r="F165" s="20" t="n">
        <f aca="false">IF('Все позиции'!F148="","",'Все позиции'!F148)</f>
        <v>1020</v>
      </c>
      <c r="G165" s="19" t="n">
        <f aca="false">IF('Все позиции'!H148="","",'Все позиции'!H148)</f>
        <v>4</v>
      </c>
      <c r="H165" s="20" t="n">
        <f aca="false">IF('Все позиции'!L148="","",'Все позиции'!L148)</f>
        <v>855</v>
      </c>
      <c r="I165" s="21" t="n">
        <f aca="false">IF('Все позиции'!O148="","",'Все позиции'!O148)</f>
        <v>-0.161764705882353</v>
      </c>
      <c r="J165" s="20" t="n">
        <f aca="false">IF('Все позиции'!G148="","",'Все позиции'!G148)</f>
        <v>4080</v>
      </c>
      <c r="K165" s="20" t="n">
        <f aca="false">IF('Все позиции'!M148="","",'Все позиции'!M148)</f>
        <v>3420</v>
      </c>
      <c r="L165" s="22" t="n">
        <f aca="false">IF('Все позиции'!N148="","",'Все позиции'!N148)</f>
        <v>-660</v>
      </c>
      <c r="M165" s="17" t="str">
        <f aca="false">IF('Все позиции'!P148="","",'Все позиции'!P148)</f>
        <v>Цена снижена</v>
      </c>
      <c r="N165" s="18" t="str">
        <f aca="false">IF('Все позиции'!Q148="","",'Все позиции'!Q148)</f>
        <v>по договру</v>
      </c>
      <c r="O165" s="18" t="str">
        <f aca="false">IF('Все позиции'!R148="","",'Все позиции'!R148)</f>
        <v/>
      </c>
    </row>
    <row r="166" customFormat="false" ht="26.85" hidden="false" customHeight="false" outlineLevel="0" collapsed="false">
      <c r="A166" s="17" t="str">
        <f aca="false">IF('Все позиции'!A172="","",'Все позиции'!A172)</f>
        <v>4. Вентиляция 10 этаж</v>
      </c>
      <c r="B166" s="17" t="str">
        <f aca="false">IF('Все позиции'!B172="","",'Все позиции'!B172)</f>
        <v>4.59</v>
      </c>
      <c r="C166" s="18" t="str">
        <f aca="false">IF('Все позиции'!C172="","",'Все позиции'!C172)</f>
        <v>Врезка-седло из оцинкованной стали толщиной 0,5мм, класса «В», Ø160/Ø100</v>
      </c>
      <c r="D166" s="17" t="str">
        <f aca="false">IF('Все позиции'!D172="","",'Все позиции'!D172)</f>
        <v>шт.</v>
      </c>
      <c r="E166" s="19" t="n">
        <f aca="false">IF('Все позиции'!E172="","",'Все позиции'!E172)</f>
        <v>1</v>
      </c>
      <c r="F166" s="20" t="n">
        <f aca="false">IF('Все позиции'!F172="","",'Все позиции'!F172)</f>
        <v>1020</v>
      </c>
      <c r="G166" s="19" t="n">
        <f aca="false">IF('Все позиции'!H172="","",'Все позиции'!H172)</f>
        <v>1</v>
      </c>
      <c r="H166" s="20" t="n">
        <f aca="false">IF('Все позиции'!L172="","",'Все позиции'!L172)</f>
        <v>370</v>
      </c>
      <c r="I166" s="21" t="n">
        <f aca="false">IF('Все позиции'!O172="","",'Все позиции'!O172)</f>
        <v>-0.637254901960784</v>
      </c>
      <c r="J166" s="20" t="n">
        <f aca="false">IF('Все позиции'!G172="","",'Все позиции'!G172)</f>
        <v>1020</v>
      </c>
      <c r="K166" s="20" t="n">
        <f aca="false">IF('Все позиции'!M172="","",'Все позиции'!M172)</f>
        <v>370</v>
      </c>
      <c r="L166" s="22" t="n">
        <f aca="false">IF('Все позиции'!N172="","",'Все позиции'!N172)</f>
        <v>-650</v>
      </c>
      <c r="M166" s="17" t="str">
        <f aca="false">IF('Все позиции'!P172="","",'Все позиции'!P172)</f>
        <v>Цена снижена</v>
      </c>
      <c r="N166" s="18" t="str">
        <f aca="false">IF('Все позиции'!Q172="","",'Все позиции'!Q172)</f>
        <v/>
      </c>
      <c r="O166" s="18" t="str">
        <f aca="false">IF('Все позиции'!R172="","",'Все позиции'!R172)</f>
        <v/>
      </c>
    </row>
    <row r="167" customFormat="false" ht="26.85" hidden="false" customHeight="false" outlineLevel="0" collapsed="false">
      <c r="A167" s="17" t="str">
        <f aca="false">IF('Все позиции'!A173="","",'Все позиции'!A173)</f>
        <v>4. Вентиляция 10 этаж</v>
      </c>
      <c r="B167" s="17" t="str">
        <f aca="false">IF('Все позиции'!B173="","",'Все позиции'!B173)</f>
        <v>4.60</v>
      </c>
      <c r="C167" s="18" t="str">
        <f aca="false">IF('Все позиции'!C173="","",'Все позиции'!C173)</f>
        <v>Врезка-седло из оцинкованной стали толщиной 0,5мм, класса «В», Ø160/Ø125</v>
      </c>
      <c r="D167" s="17" t="str">
        <f aca="false">IF('Все позиции'!D173="","",'Все позиции'!D173)</f>
        <v>шт.</v>
      </c>
      <c r="E167" s="19" t="n">
        <f aca="false">IF('Все позиции'!E173="","",'Все позиции'!E173)</f>
        <v>1</v>
      </c>
      <c r="F167" s="20" t="n">
        <f aca="false">IF('Все позиции'!F173="","",'Все позиции'!F173)</f>
        <v>1020</v>
      </c>
      <c r="G167" s="19" t="n">
        <f aca="false">IF('Все позиции'!H173="","",'Все позиции'!H173)</f>
        <v>1</v>
      </c>
      <c r="H167" s="20" t="n">
        <f aca="false">IF('Все позиции'!L173="","",'Все позиции'!L173)</f>
        <v>370</v>
      </c>
      <c r="I167" s="21" t="n">
        <f aca="false">IF('Все позиции'!O173="","",'Все позиции'!O173)</f>
        <v>-0.637254901960784</v>
      </c>
      <c r="J167" s="20" t="n">
        <f aca="false">IF('Все позиции'!G173="","",'Все позиции'!G173)</f>
        <v>1020</v>
      </c>
      <c r="K167" s="20" t="n">
        <f aca="false">IF('Все позиции'!M173="","",'Все позиции'!M173)</f>
        <v>370</v>
      </c>
      <c r="L167" s="22" t="n">
        <f aca="false">IF('Все позиции'!N173="","",'Все позиции'!N173)</f>
        <v>-650</v>
      </c>
      <c r="M167" s="17" t="str">
        <f aca="false">IF('Все позиции'!P173="","",'Все позиции'!P173)</f>
        <v>Цена снижена</v>
      </c>
      <c r="N167" s="18" t="str">
        <f aca="false">IF('Все позиции'!Q173="","",'Все позиции'!Q173)</f>
        <v/>
      </c>
      <c r="O167" s="18" t="str">
        <f aca="false">IF('Все позиции'!R173="","",'Все позиции'!R173)</f>
        <v/>
      </c>
    </row>
    <row r="168" customFormat="false" ht="26.85" hidden="false" customHeight="false" outlineLevel="0" collapsed="false">
      <c r="A168" s="17" t="str">
        <f aca="false">IF('Все позиции'!A175="","",'Все позиции'!A175)</f>
        <v>4. Вентиляция 10 этаж</v>
      </c>
      <c r="B168" s="17" t="str">
        <f aca="false">IF('Все позиции'!B175="","",'Все позиции'!B175)</f>
        <v>4.62</v>
      </c>
      <c r="C168" s="18" t="str">
        <f aca="false">IF('Все позиции'!C175="","",'Все позиции'!C175)</f>
        <v>Тройник из оцинкованной стали толщиной 0,5мм, класса «В», Ø125/Ø125/Ø125</v>
      </c>
      <c r="D168" s="17" t="str">
        <f aca="false">IF('Все позиции'!D175="","",'Все позиции'!D175)</f>
        <v>шт.</v>
      </c>
      <c r="E168" s="19" t="n">
        <f aca="false">IF('Все позиции'!E175="","",'Все позиции'!E175)</f>
        <v>1</v>
      </c>
      <c r="F168" s="20" t="n">
        <f aca="false">IF('Все позиции'!F175="","",'Все позиции'!F175)</f>
        <v>1020</v>
      </c>
      <c r="G168" s="19" t="n">
        <f aca="false">IF('Все позиции'!H175="","",'Все позиции'!H175)</f>
        <v>1</v>
      </c>
      <c r="H168" s="20" t="n">
        <f aca="false">IF('Все позиции'!L175="","",'Все позиции'!L175)</f>
        <v>370</v>
      </c>
      <c r="I168" s="21" t="n">
        <f aca="false">IF('Все позиции'!O175="","",'Все позиции'!O175)</f>
        <v>-0.637254901960784</v>
      </c>
      <c r="J168" s="20" t="n">
        <f aca="false">IF('Все позиции'!G175="","",'Все позиции'!G175)</f>
        <v>1020</v>
      </c>
      <c r="K168" s="20" t="n">
        <f aca="false">IF('Все позиции'!M175="","",'Все позиции'!M175)</f>
        <v>370</v>
      </c>
      <c r="L168" s="22" t="n">
        <f aca="false">IF('Все позиции'!N175="","",'Все позиции'!N175)</f>
        <v>-650</v>
      </c>
      <c r="M168" s="17" t="str">
        <f aca="false">IF('Все позиции'!P175="","",'Все позиции'!P175)</f>
        <v>Цена снижена</v>
      </c>
      <c r="N168" s="18" t="str">
        <f aca="false">IF('Все позиции'!Q175="","",'Все позиции'!Q175)</f>
        <v/>
      </c>
      <c r="O168" s="18" t="str">
        <f aca="false">IF('Все позиции'!R175="","",'Все позиции'!R175)</f>
        <v/>
      </c>
    </row>
    <row r="169" customFormat="false" ht="26.85" hidden="false" customHeight="false" outlineLevel="0" collapsed="false">
      <c r="A169" s="17" t="str">
        <f aca="false">IF('Все позиции'!A177="","",'Все позиции'!A177)</f>
        <v>4. Вентиляция 10 этаж</v>
      </c>
      <c r="B169" s="17" t="str">
        <f aca="false">IF('Все позиции'!B177="","",'Все позиции'!B177)</f>
        <v>4.64</v>
      </c>
      <c r="C169" s="18" t="str">
        <f aca="false">IF('Все позиции'!C177="","",'Все позиции'!C177)</f>
        <v>Переход из оцинкованной стали толщиной 0,5мм, класса «В», Ø160/Ø100</v>
      </c>
      <c r="D169" s="17" t="str">
        <f aca="false">IF('Все позиции'!D177="","",'Все позиции'!D177)</f>
        <v>шт.</v>
      </c>
      <c r="E169" s="19" t="n">
        <f aca="false">IF('Все позиции'!E177="","",'Все позиции'!E177)</f>
        <v>1</v>
      </c>
      <c r="F169" s="20" t="n">
        <f aca="false">IF('Все позиции'!F177="","",'Все позиции'!F177)</f>
        <v>1020</v>
      </c>
      <c r="G169" s="19" t="n">
        <f aca="false">IF('Все позиции'!H177="","",'Все позиции'!H177)</f>
        <v>1</v>
      </c>
      <c r="H169" s="20" t="n">
        <f aca="false">IF('Все позиции'!L177="","",'Все позиции'!L177)</f>
        <v>370</v>
      </c>
      <c r="I169" s="21" t="n">
        <f aca="false">IF('Все позиции'!O177="","",'Все позиции'!O177)</f>
        <v>-0.637254901960784</v>
      </c>
      <c r="J169" s="20" t="n">
        <f aca="false">IF('Все позиции'!G177="","",'Все позиции'!G177)</f>
        <v>1020</v>
      </c>
      <c r="K169" s="20" t="n">
        <f aca="false">IF('Все позиции'!M177="","",'Все позиции'!M177)</f>
        <v>370</v>
      </c>
      <c r="L169" s="22" t="n">
        <f aca="false">IF('Все позиции'!N177="","",'Все позиции'!N177)</f>
        <v>-650</v>
      </c>
      <c r="M169" s="17" t="str">
        <f aca="false">IF('Все позиции'!P177="","",'Все позиции'!P177)</f>
        <v>Цена снижена</v>
      </c>
      <c r="N169" s="18" t="str">
        <f aca="false">IF('Все позиции'!Q177="","",'Все позиции'!Q177)</f>
        <v/>
      </c>
      <c r="O169" s="18" t="str">
        <f aca="false">IF('Все позиции'!R177="","",'Все позиции'!R177)</f>
        <v/>
      </c>
    </row>
    <row r="170" customFormat="false" ht="26.85" hidden="false" customHeight="false" outlineLevel="0" collapsed="false">
      <c r="A170" s="17" t="str">
        <f aca="false">IF('Все позиции'!A180="","",'Все позиции'!A180)</f>
        <v>4. Вентиляция 10 этаж</v>
      </c>
      <c r="B170" s="17" t="str">
        <f aca="false">IF('Все позиции'!B180="","",'Все позиции'!B180)</f>
        <v>4.67</v>
      </c>
      <c r="C170" s="18" t="str">
        <f aca="false">IF('Все позиции'!C180="","",'Все позиции'!C180)</f>
        <v>Переход из оцинкованной стали толщиной 0,7мм, класса «В», 300x200/Ø160</v>
      </c>
      <c r="D170" s="17" t="str">
        <f aca="false">IF('Все позиции'!D180="","",'Все позиции'!D180)</f>
        <v>шт.</v>
      </c>
      <c r="E170" s="19" t="n">
        <f aca="false">IF('Все позиции'!E180="","",'Все позиции'!E180)</f>
        <v>1</v>
      </c>
      <c r="F170" s="20" t="n">
        <f aca="false">IF('Все позиции'!F180="","",'Все позиции'!F180)</f>
        <v>1296</v>
      </c>
      <c r="G170" s="19" t="n">
        <f aca="false">IF('Все позиции'!H180="","",'Все позиции'!H180)</f>
        <v>1</v>
      </c>
      <c r="H170" s="20" t="n">
        <f aca="false">IF('Все позиции'!L180="","",'Все позиции'!L180)</f>
        <v>680</v>
      </c>
      <c r="I170" s="21" t="n">
        <f aca="false">IF('Все позиции'!O180="","",'Все позиции'!O180)</f>
        <v>-0.475308641975309</v>
      </c>
      <c r="J170" s="20" t="n">
        <f aca="false">IF('Все позиции'!G180="","",'Все позиции'!G180)</f>
        <v>1296</v>
      </c>
      <c r="K170" s="20" t="n">
        <f aca="false">IF('Все позиции'!M180="","",'Все позиции'!M180)</f>
        <v>680</v>
      </c>
      <c r="L170" s="22" t="n">
        <f aca="false">IF('Все позиции'!N180="","",'Все позиции'!N180)</f>
        <v>-616</v>
      </c>
      <c r="M170" s="17" t="str">
        <f aca="false">IF('Все позиции'!P180="","",'Все позиции'!P180)</f>
        <v>Цена снижена</v>
      </c>
      <c r="N170" s="18" t="str">
        <f aca="false">IF('Все позиции'!Q180="","",'Все позиции'!Q180)</f>
        <v/>
      </c>
      <c r="O170" s="18" t="str">
        <f aca="false">IF('Все позиции'!R180="","",'Все позиции'!R180)</f>
        <v/>
      </c>
    </row>
    <row r="171" customFormat="false" ht="26.85" hidden="false" customHeight="false" outlineLevel="0" collapsed="false">
      <c r="A171" s="17" t="str">
        <f aca="false">IF('Все позиции'!A178="","",'Все позиции'!A178)</f>
        <v>4. Вентиляция 10 этаж</v>
      </c>
      <c r="B171" s="17" t="str">
        <f aca="false">IF('Все позиции'!B178="","",'Все позиции'!B178)</f>
        <v>4.65</v>
      </c>
      <c r="C171" s="18" t="str">
        <f aca="false">IF('Все позиции'!C178="","",'Все позиции'!C178)</f>
        <v>Переход из оцинкованной стали толщиной 0,5мм, класса «В», Ø160/Ø125</v>
      </c>
      <c r="D171" s="17" t="str">
        <f aca="false">IF('Все позиции'!D178="","",'Все позиции'!D178)</f>
        <v>шт.</v>
      </c>
      <c r="E171" s="19" t="n">
        <f aca="false">IF('Все позиции'!E178="","",'Все позиции'!E178)</f>
        <v>1</v>
      </c>
      <c r="F171" s="20" t="n">
        <f aca="false">IF('Все позиции'!F178="","",'Все позиции'!F178)</f>
        <v>1020</v>
      </c>
      <c r="G171" s="19" t="n">
        <f aca="false">IF('Все позиции'!H178="","",'Все позиции'!H178)</f>
        <v>1</v>
      </c>
      <c r="H171" s="20" t="n">
        <f aca="false">IF('Все позиции'!L178="","",'Все позиции'!L178)</f>
        <v>440</v>
      </c>
      <c r="I171" s="21" t="n">
        <f aca="false">IF('Все позиции'!O178="","",'Все позиции'!O178)</f>
        <v>-0.568627450980392</v>
      </c>
      <c r="J171" s="20" t="n">
        <f aca="false">IF('Все позиции'!G178="","",'Все позиции'!G178)</f>
        <v>1020</v>
      </c>
      <c r="K171" s="20" t="n">
        <f aca="false">IF('Все позиции'!M178="","",'Все позиции'!M178)</f>
        <v>440</v>
      </c>
      <c r="L171" s="22" t="n">
        <f aca="false">IF('Все позиции'!N178="","",'Все позиции'!N178)</f>
        <v>-580</v>
      </c>
      <c r="M171" s="17" t="str">
        <f aca="false">IF('Все позиции'!P178="","",'Все позиции'!P178)</f>
        <v>Цена снижена</v>
      </c>
      <c r="N171" s="18" t="str">
        <f aca="false">IF('Все позиции'!Q178="","",'Все позиции'!Q178)</f>
        <v/>
      </c>
      <c r="O171" s="18" t="str">
        <f aca="false">IF('Все позиции'!R178="","",'Все позиции'!R178)</f>
        <v/>
      </c>
    </row>
    <row r="172" customFormat="false" ht="26.85" hidden="false" customHeight="false" outlineLevel="0" collapsed="false">
      <c r="A172" s="17" t="str">
        <f aca="false">IF('Все позиции'!A179="","",'Все позиции'!A179)</f>
        <v>4. Вентиляция 10 этаж</v>
      </c>
      <c r="B172" s="17" t="str">
        <f aca="false">IF('Все позиции'!B179="","",'Все позиции'!B179)</f>
        <v>4.66</v>
      </c>
      <c r="C172" s="18" t="str">
        <f aca="false">IF('Все позиции'!C179="","",'Все позиции'!C179)</f>
        <v>Переход из оцинкованной стали толщиной 0,5мм, класса «В», Ø200/Ø160</v>
      </c>
      <c r="D172" s="17" t="str">
        <f aca="false">IF('Все позиции'!D179="","",'Все позиции'!D179)</f>
        <v>шт.</v>
      </c>
      <c r="E172" s="19" t="n">
        <f aca="false">IF('Все позиции'!E179="","",'Все позиции'!E179)</f>
        <v>1</v>
      </c>
      <c r="F172" s="20" t="n">
        <f aca="false">IF('Все позиции'!F179="","",'Все позиции'!F179)</f>
        <v>1020</v>
      </c>
      <c r="G172" s="19" t="n">
        <f aca="false">IF('Все позиции'!H179="","",'Все позиции'!H179)</f>
        <v>1</v>
      </c>
      <c r="H172" s="20" t="n">
        <f aca="false">IF('Все позиции'!L179="","",'Все позиции'!L179)</f>
        <v>440</v>
      </c>
      <c r="I172" s="21" t="n">
        <f aca="false">IF('Все позиции'!O179="","",'Все позиции'!O179)</f>
        <v>-0.568627450980392</v>
      </c>
      <c r="J172" s="20" t="n">
        <f aca="false">IF('Все позиции'!G179="","",'Все позиции'!G179)</f>
        <v>1020</v>
      </c>
      <c r="K172" s="20" t="n">
        <f aca="false">IF('Все позиции'!M179="","",'Все позиции'!M179)</f>
        <v>440</v>
      </c>
      <c r="L172" s="22" t="n">
        <f aca="false">IF('Все позиции'!N179="","",'Все позиции'!N179)</f>
        <v>-580</v>
      </c>
      <c r="M172" s="17" t="str">
        <f aca="false">IF('Все позиции'!P179="","",'Все позиции'!P179)</f>
        <v>Цена снижена</v>
      </c>
      <c r="N172" s="18" t="str">
        <f aca="false">IF('Все позиции'!Q179="","",'Все позиции'!Q179)</f>
        <v/>
      </c>
      <c r="O172" s="18" t="str">
        <f aca="false">IF('Все позиции'!R179="","",'Все позиции'!R179)</f>
        <v/>
      </c>
    </row>
    <row r="173" customFormat="false" ht="26.85" hidden="false" customHeight="false" outlineLevel="0" collapsed="false">
      <c r="A173" s="17" t="str">
        <f aca="false">IF('Все позиции'!A164="","",'Все позиции'!A164)</f>
        <v>4. Вентиляция 10 этаж</v>
      </c>
      <c r="B173" s="17" t="str">
        <f aca="false">IF('Все позиции'!B164="","",'Все позиции'!B164)</f>
        <v>4.51</v>
      </c>
      <c r="C173" s="18" t="str">
        <f aca="false">IF('Все позиции'!C164="","",'Все позиции'!C164)</f>
        <v>Отвод 900 из оцинкованной стали толщиной 0,7мм, класса «В», 500x250</v>
      </c>
      <c r="D173" s="17" t="str">
        <f aca="false">IF('Все позиции'!D164="","",'Все позиции'!D164)</f>
        <v>шт.</v>
      </c>
      <c r="E173" s="19" t="n">
        <f aca="false">IF('Все позиции'!E164="","",'Все позиции'!E164)</f>
        <v>1</v>
      </c>
      <c r="F173" s="20" t="n">
        <f aca="false">IF('Все позиции'!F164="","",'Все позиции'!F164)</f>
        <v>2268</v>
      </c>
      <c r="G173" s="19" t="n">
        <f aca="false">IF('Все позиции'!H164="","",'Все позиции'!H164)</f>
        <v>1</v>
      </c>
      <c r="H173" s="20" t="n">
        <f aca="false">IF('Все позиции'!L164="","",'Все позиции'!L164)</f>
        <v>1700</v>
      </c>
      <c r="I173" s="21" t="n">
        <f aca="false">IF('Все позиции'!O164="","",'Все позиции'!O164)</f>
        <v>-0.250440917107584</v>
      </c>
      <c r="J173" s="20" t="n">
        <f aca="false">IF('Все позиции'!G164="","",'Все позиции'!G164)</f>
        <v>2268</v>
      </c>
      <c r="K173" s="20" t="n">
        <f aca="false">IF('Все позиции'!M164="","",'Все позиции'!M164)</f>
        <v>1700</v>
      </c>
      <c r="L173" s="22" t="n">
        <f aca="false">IF('Все позиции'!N164="","",'Все позиции'!N164)</f>
        <v>-568</v>
      </c>
      <c r="M173" s="17" t="str">
        <f aca="false">IF('Все позиции'!P164="","",'Все позиции'!P164)</f>
        <v>Цена снижена</v>
      </c>
      <c r="N173" s="18" t="str">
        <f aca="false">IF('Все позиции'!Q164="","",'Все позиции'!Q164)</f>
        <v/>
      </c>
      <c r="O173" s="18" t="str">
        <f aca="false">IF('Все позиции'!R164="","",'Все позиции'!R164)</f>
        <v/>
      </c>
    </row>
    <row r="174" customFormat="false" ht="26.85" hidden="false" customHeight="false" outlineLevel="0" collapsed="false">
      <c r="A174" s="17" t="str">
        <f aca="false">IF('Все позиции'!A298="","",'Все позиции'!A298)</f>
        <v>6. Вентиляция 2 этаж</v>
      </c>
      <c r="B174" s="17" t="str">
        <f aca="false">IF('Все позиции'!B298="","",'Все позиции'!B298)</f>
        <v>6.58</v>
      </c>
      <c r="C174" s="18" t="str">
        <f aca="false">IF('Все позиции'!C298="","",'Все позиции'!C298)</f>
        <v>Переход из оцинкованной стали толщиной 0,7мм, класса «В», 300x250/Ø200</v>
      </c>
      <c r="D174" s="17" t="str">
        <f aca="false">IF('Все позиции'!D298="","",'Все позиции'!D298)</f>
        <v>шт.</v>
      </c>
      <c r="E174" s="19" t="n">
        <f aca="false">IF('Все позиции'!E298="","",'Все позиции'!E298)</f>
        <v>1</v>
      </c>
      <c r="F174" s="20" t="n">
        <f aca="false">IF('Все позиции'!F298="","",'Все позиции'!F298)</f>
        <v>1377</v>
      </c>
      <c r="G174" s="19" t="n">
        <f aca="false">IF('Все позиции'!H298="","",'Все позиции'!H298)</f>
        <v>1</v>
      </c>
      <c r="H174" s="20" t="n">
        <f aca="false">IF('Все позиции'!L298="","",'Все позиции'!L298)</f>
        <v>850</v>
      </c>
      <c r="I174" s="21" t="n">
        <f aca="false">IF('Все позиции'!O298="","",'Все позиции'!O298)</f>
        <v>-0.382716049382716</v>
      </c>
      <c r="J174" s="20" t="n">
        <f aca="false">IF('Все позиции'!G298="","",'Все позиции'!G298)</f>
        <v>1377</v>
      </c>
      <c r="K174" s="20" t="n">
        <f aca="false">IF('Все позиции'!M298="","",'Все позиции'!M298)</f>
        <v>850</v>
      </c>
      <c r="L174" s="22" t="n">
        <f aca="false">IF('Все позиции'!N298="","",'Все позиции'!N298)</f>
        <v>-527</v>
      </c>
      <c r="M174" s="17" t="str">
        <f aca="false">IF('Все позиции'!P298="","",'Все позиции'!P298)</f>
        <v>Цена снижена</v>
      </c>
      <c r="N174" s="18" t="str">
        <f aca="false">IF('Все позиции'!Q298="","",'Все позиции'!Q298)</f>
        <v/>
      </c>
      <c r="O174" s="18" t="str">
        <f aca="false">IF('Все позиции'!R298="","",'Все позиции'!R298)</f>
        <v/>
      </c>
    </row>
    <row r="175" customFormat="false" ht="26.85" hidden="false" customHeight="false" outlineLevel="0" collapsed="false">
      <c r="A175" s="17" t="str">
        <f aca="false">IF('Все позиции'!A299="","",'Все позиции'!A299)</f>
        <v>6. Вентиляция 2 этаж</v>
      </c>
      <c r="B175" s="17" t="str">
        <f aca="false">IF('Все позиции'!B299="","",'Все позиции'!B299)</f>
        <v>6.59</v>
      </c>
      <c r="C175" s="18" t="str">
        <f aca="false">IF('Все позиции'!C299="","",'Все позиции'!C299)</f>
        <v>Переход из оцинкованной стали толщиной 0,7мм, класса «В», 400x200/Ø250</v>
      </c>
      <c r="D175" s="17" t="str">
        <f aca="false">IF('Все позиции'!D299="","",'Все позиции'!D299)</f>
        <v>шт.</v>
      </c>
      <c r="E175" s="19" t="n">
        <f aca="false">IF('Все позиции'!E299="","",'Все позиции'!E299)</f>
        <v>1</v>
      </c>
      <c r="F175" s="20" t="n">
        <f aca="false">IF('Все позиции'!F299="","",'Все позиции'!F299)</f>
        <v>1377</v>
      </c>
      <c r="G175" s="19" t="n">
        <f aca="false">IF('Все позиции'!H299="","",'Все позиции'!H299)</f>
        <v>1</v>
      </c>
      <c r="H175" s="20" t="n">
        <f aca="false">IF('Все позиции'!L299="","",'Все позиции'!L299)</f>
        <v>850</v>
      </c>
      <c r="I175" s="21" t="n">
        <f aca="false">IF('Все позиции'!O299="","",'Все позиции'!O299)</f>
        <v>-0.382716049382716</v>
      </c>
      <c r="J175" s="20" t="n">
        <f aca="false">IF('Все позиции'!G299="","",'Все позиции'!G299)</f>
        <v>1377</v>
      </c>
      <c r="K175" s="20" t="n">
        <f aca="false">IF('Все позиции'!M299="","",'Все позиции'!M299)</f>
        <v>850</v>
      </c>
      <c r="L175" s="22" t="n">
        <f aca="false">IF('Все позиции'!N299="","",'Все позиции'!N299)</f>
        <v>-527</v>
      </c>
      <c r="M175" s="17" t="str">
        <f aca="false">IF('Все позиции'!P299="","",'Все позиции'!P299)</f>
        <v>Цена снижена</v>
      </c>
      <c r="N175" s="18" t="str">
        <f aca="false">IF('Все позиции'!Q299="","",'Все позиции'!Q299)</f>
        <v/>
      </c>
      <c r="O175" s="18" t="str">
        <f aca="false">IF('Все позиции'!R299="","",'Все позиции'!R299)</f>
        <v/>
      </c>
    </row>
    <row r="176" customFormat="false" ht="15" hidden="false" customHeight="false" outlineLevel="0" collapsed="false">
      <c r="A176" s="17" t="str">
        <f aca="false">IF('Все позиции'!A118="","",'Все позиции'!A118)</f>
        <v>4. Вентиляция 10 этаж</v>
      </c>
      <c r="B176" s="17" t="str">
        <f aca="false">IF('Все позиции'!B118="","",'Все позиции'!B118)</f>
        <v>4.5</v>
      </c>
      <c r="C176" s="18" t="str">
        <f aca="false">IF('Все позиции'!C118="","",'Все позиции'!C118)</f>
        <v>Решетка щелевая, 1000мм ЛРЩ 22-1-1000-У1</v>
      </c>
      <c r="D176" s="17" t="str">
        <f aca="false">IF('Все позиции'!D118="","",'Все позиции'!D118)</f>
        <v>шт.</v>
      </c>
      <c r="E176" s="19" t="n">
        <f aca="false">IF('Все позиции'!E118="","",'Все позиции'!E118)</f>
        <v>10</v>
      </c>
      <c r="F176" s="20" t="n">
        <f aca="false">IF('Все позиции'!F118="","",'Все позиции'!F118)</f>
        <v>4050</v>
      </c>
      <c r="G176" s="19" t="n">
        <f aca="false">IF('Все позиции'!H118="","",'Все позиции'!H118)</f>
        <v>10</v>
      </c>
      <c r="H176" s="20" t="n">
        <f aca="false">IF('Все позиции'!L118="","",'Все позиции'!L118)</f>
        <v>4000</v>
      </c>
      <c r="I176" s="21" t="n">
        <f aca="false">IF('Все позиции'!O118="","",'Все позиции'!O118)</f>
        <v>-0.0123456790123457</v>
      </c>
      <c r="J176" s="20" t="n">
        <f aca="false">IF('Все позиции'!G118="","",'Все позиции'!G118)</f>
        <v>40500</v>
      </c>
      <c r="K176" s="20" t="n">
        <f aca="false">IF('Все позиции'!M118="","",'Все позиции'!M118)</f>
        <v>40000</v>
      </c>
      <c r="L176" s="22" t="n">
        <f aca="false">IF('Все позиции'!N118="","",'Все позиции'!N118)</f>
        <v>-500</v>
      </c>
      <c r="M176" s="17" t="str">
        <f aca="false">IF('Все позиции'!P118="","",'Все позиции'!P118)</f>
        <v>Цена снижена</v>
      </c>
      <c r="N176" s="18" t="str">
        <f aca="false">IF('Все позиции'!Q118="","",'Все позиции'!Q118)</f>
        <v>по договору</v>
      </c>
      <c r="O176" s="18" t="str">
        <f aca="false">IF('Все позиции'!R118="","",'Все позиции'!R118)</f>
        <v/>
      </c>
    </row>
    <row r="177" customFormat="false" ht="15" hidden="false" customHeight="false" outlineLevel="0" collapsed="false">
      <c r="A177" s="17" t="str">
        <f aca="false">IF('Все позиции'!A231="","",'Все позиции'!A231)</f>
        <v>5. Холодоснабжение 10 этаж</v>
      </c>
      <c r="B177" s="17" t="str">
        <f aca="false">IF('Все позиции'!B231="","",'Все позиции'!B231)</f>
        <v>5.28</v>
      </c>
      <c r="C177" s="18" t="str">
        <f aca="false">IF('Все позиции'!C231="","",'Все позиции'!C231)</f>
        <v>Угольник 900 полипропиленовый, 40</v>
      </c>
      <c r="D177" s="17" t="str">
        <f aca="false">IF('Все позиции'!D231="","",'Все позиции'!D231)</f>
        <v>шт.</v>
      </c>
      <c r="E177" s="19" t="n">
        <f aca="false">IF('Все позиции'!E231="","",'Все позиции'!E231)</f>
        <v>1</v>
      </c>
      <c r="F177" s="20" t="n">
        <f aca="false">IF('Все позиции'!F231="","",'Все позиции'!F231)</f>
        <v>1020</v>
      </c>
      <c r="G177" s="19" t="n">
        <f aca="false">IF('Все позиции'!H231="","",'Все позиции'!H231)</f>
        <v>1</v>
      </c>
      <c r="H177" s="20" t="n">
        <f aca="false">IF('Все позиции'!L231="","",'Все позиции'!L231)</f>
        <v>520</v>
      </c>
      <c r="I177" s="21" t="n">
        <f aca="false">IF('Все позиции'!O231="","",'Все позиции'!O231)</f>
        <v>-0.490196078431373</v>
      </c>
      <c r="J177" s="20" t="n">
        <f aca="false">IF('Все позиции'!G231="","",'Все позиции'!G231)</f>
        <v>1020</v>
      </c>
      <c r="K177" s="20" t="n">
        <f aca="false">IF('Все позиции'!M231="","",'Все позиции'!M231)</f>
        <v>520</v>
      </c>
      <c r="L177" s="22" t="n">
        <f aca="false">IF('Все позиции'!N231="","",'Все позиции'!N231)</f>
        <v>-500</v>
      </c>
      <c r="M177" s="17" t="str">
        <f aca="false">IF('Все позиции'!P231="","",'Все позиции'!P231)</f>
        <v>Цена снижена</v>
      </c>
      <c r="N177" s="18" t="str">
        <f aca="false">IF('Все позиции'!Q231="","",'Все позиции'!Q231)</f>
        <v/>
      </c>
      <c r="O177" s="18" t="str">
        <f aca="false">IF('Все позиции'!R231="","",'Все позиции'!R231)</f>
        <v>Цена Согласована Марк</v>
      </c>
    </row>
    <row r="178" customFormat="false" ht="26.85" hidden="false" customHeight="false" outlineLevel="0" collapsed="false">
      <c r="A178" s="17" t="str">
        <f aca="false">IF('Все позиции'!A159="","",'Все позиции'!A159)</f>
        <v>4. Вентиляция 10 этаж</v>
      </c>
      <c r="B178" s="17" t="str">
        <f aca="false">IF('Все позиции'!B159="","",'Все позиции'!B159)</f>
        <v>4.46</v>
      </c>
      <c r="C178" s="18" t="str">
        <f aca="false">IF('Все позиции'!C159="","",'Все позиции'!C159)</f>
        <v>Отвод 900 из оцинкованной стали толщиной 0,5мм, класса «В», Ø125</v>
      </c>
      <c r="D178" s="17" t="str">
        <f aca="false">IF('Все позиции'!D159="","",'Все позиции'!D159)</f>
        <v>шт.</v>
      </c>
      <c r="E178" s="19" t="n">
        <f aca="false">IF('Все позиции'!E159="","",'Все позиции'!E159)</f>
        <v>3</v>
      </c>
      <c r="F178" s="20" t="n">
        <f aca="false">IF('Все позиции'!F159="","",'Все позиции'!F159)</f>
        <v>1020</v>
      </c>
      <c r="G178" s="19" t="n">
        <f aca="false">IF('Все позиции'!H159="","",'Все позиции'!H159)</f>
        <v>3</v>
      </c>
      <c r="H178" s="20" t="n">
        <f aca="false">IF('Все позиции'!L159="","",'Все позиции'!L159)</f>
        <v>855</v>
      </c>
      <c r="I178" s="21" t="n">
        <f aca="false">IF('Все позиции'!O159="","",'Все позиции'!O159)</f>
        <v>-0.161764705882353</v>
      </c>
      <c r="J178" s="20" t="n">
        <f aca="false">IF('Все позиции'!G159="","",'Все позиции'!G159)</f>
        <v>3060</v>
      </c>
      <c r="K178" s="20" t="n">
        <f aca="false">IF('Все позиции'!M159="","",'Все позиции'!M159)</f>
        <v>2565</v>
      </c>
      <c r="L178" s="22" t="n">
        <f aca="false">IF('Все позиции'!N159="","",'Все позиции'!N159)</f>
        <v>-495</v>
      </c>
      <c r="M178" s="17" t="str">
        <f aca="false">IF('Все позиции'!P159="","",'Все позиции'!P159)</f>
        <v>Цена снижена</v>
      </c>
      <c r="N178" s="18" t="str">
        <f aca="false">IF('Все позиции'!Q159="","",'Все позиции'!Q159)</f>
        <v>по договру</v>
      </c>
      <c r="O178" s="18" t="str">
        <f aca="false">IF('Все позиции'!R159="","",'Все позиции'!R159)</f>
        <v/>
      </c>
    </row>
    <row r="179" customFormat="false" ht="26.85" hidden="false" customHeight="false" outlineLevel="0" collapsed="false">
      <c r="A179" s="17" t="str">
        <f aca="false">IF('Все позиции'!A274="","",'Все позиции'!A274)</f>
        <v>6. Вентиляция 2 этаж</v>
      </c>
      <c r="B179" s="17" t="str">
        <f aca="false">IF('Все позиции'!B274="","",'Все позиции'!B274)</f>
        <v>6.34</v>
      </c>
      <c r="C179" s="18" t="str">
        <f aca="false">IF('Все позиции'!C274="","",'Все позиции'!C274)</f>
        <v>Отвод 450 из оцинкованной стали толщиной 0,5мм, класса «В», Ø125</v>
      </c>
      <c r="D179" s="17" t="str">
        <f aca="false">IF('Все позиции'!D274="","",'Все позиции'!D274)</f>
        <v>шт.</v>
      </c>
      <c r="E179" s="19" t="n">
        <f aca="false">IF('Все позиции'!E274="","",'Все позиции'!E274)</f>
        <v>3</v>
      </c>
      <c r="F179" s="20" t="n">
        <f aca="false">IF('Все позиции'!F274="","",'Все позиции'!F274)</f>
        <v>1020</v>
      </c>
      <c r="G179" s="19" t="n">
        <f aca="false">IF('Все позиции'!H274="","",'Все позиции'!H274)</f>
        <v>3</v>
      </c>
      <c r="H179" s="20" t="n">
        <f aca="false">IF('Все позиции'!L274="","",'Все позиции'!L274)</f>
        <v>855</v>
      </c>
      <c r="I179" s="21" t="n">
        <f aca="false">IF('Все позиции'!O274="","",'Все позиции'!O274)</f>
        <v>-0.161764705882353</v>
      </c>
      <c r="J179" s="20" t="n">
        <f aca="false">IF('Все позиции'!G274="","",'Все позиции'!G274)</f>
        <v>3060</v>
      </c>
      <c r="K179" s="20" t="n">
        <f aca="false">IF('Все позиции'!M274="","",'Все позиции'!M274)</f>
        <v>2565</v>
      </c>
      <c r="L179" s="22" t="n">
        <f aca="false">IF('Все позиции'!N274="","",'Все позиции'!N274)</f>
        <v>-495</v>
      </c>
      <c r="M179" s="17" t="str">
        <f aca="false">IF('Все позиции'!P274="","",'Все позиции'!P274)</f>
        <v>Цена снижена</v>
      </c>
      <c r="N179" s="18" t="str">
        <f aca="false">IF('Все позиции'!Q274="","",'Все позиции'!Q274)</f>
        <v>по договру</v>
      </c>
      <c r="O179" s="18" t="str">
        <f aca="false">IF('Все позиции'!R274="","",'Все позиции'!R274)</f>
        <v/>
      </c>
    </row>
    <row r="180" customFormat="false" ht="26.85" hidden="false" customHeight="false" outlineLevel="0" collapsed="false">
      <c r="A180" s="17" t="str">
        <f aca="false">IF('Все позиции'!A162="","",'Все позиции'!A162)</f>
        <v>4. Вентиляция 10 этаж</v>
      </c>
      <c r="B180" s="17" t="str">
        <f aca="false">IF('Все позиции'!B162="","",'Все позиции'!B162)</f>
        <v>4.49</v>
      </c>
      <c r="C180" s="18" t="str">
        <f aca="false">IF('Все позиции'!C162="","",'Все позиции'!C162)</f>
        <v>Отвод 900 из оцинкованной стали толщиной 0,7мм, класса «В», 300x200</v>
      </c>
      <c r="D180" s="17" t="str">
        <f aca="false">IF('Все позиции'!D162="","",'Все позиции'!D162)</f>
        <v>шт.</v>
      </c>
      <c r="E180" s="19" t="n">
        <f aca="false">IF('Все позиции'!E162="","",'Все позиции'!E162)</f>
        <v>1</v>
      </c>
      <c r="F180" s="20" t="n">
        <f aca="false">IF('Все позиции'!F162="","",'Все позиции'!F162)</f>
        <v>1296</v>
      </c>
      <c r="G180" s="19" t="n">
        <f aca="false">IF('Все позиции'!H162="","",'Все позиции'!H162)</f>
        <v>1</v>
      </c>
      <c r="H180" s="20" t="n">
        <f aca="false">IF('Все позиции'!L162="","",'Все позиции'!L162)</f>
        <v>850</v>
      </c>
      <c r="I180" s="21" t="n">
        <f aca="false">IF('Все позиции'!O162="","",'Все позиции'!O162)</f>
        <v>-0.344135802469136</v>
      </c>
      <c r="J180" s="20" t="n">
        <f aca="false">IF('Все позиции'!G162="","",'Все позиции'!G162)</f>
        <v>1296</v>
      </c>
      <c r="K180" s="20" t="n">
        <f aca="false">IF('Все позиции'!M162="","",'Все позиции'!M162)</f>
        <v>850</v>
      </c>
      <c r="L180" s="22" t="n">
        <f aca="false">IF('Все позиции'!N162="","",'Все позиции'!N162)</f>
        <v>-446</v>
      </c>
      <c r="M180" s="17" t="str">
        <f aca="false">IF('Все позиции'!P162="","",'Все позиции'!P162)</f>
        <v>Цена снижена</v>
      </c>
      <c r="N180" s="18" t="str">
        <f aca="false">IF('Все позиции'!Q162="","",'Все позиции'!Q162)</f>
        <v/>
      </c>
      <c r="O180" s="18" t="str">
        <f aca="false">IF('Все позиции'!R162="","",'Все позиции'!R162)</f>
        <v/>
      </c>
    </row>
    <row r="181" customFormat="false" ht="26.85" hidden="false" customHeight="false" outlineLevel="0" collapsed="false">
      <c r="A181" s="17" t="str">
        <f aca="false">IF('Все позиции'!A182="","",'Все позиции'!A182)</f>
        <v>4. Вентиляция 10 этаж</v>
      </c>
      <c r="B181" s="17" t="str">
        <f aca="false">IF('Все позиции'!B182="","",'Все позиции'!B182)</f>
        <v>4.69</v>
      </c>
      <c r="C181" s="18" t="str">
        <f aca="false">IF('Все позиции'!C182="","",'Все позиции'!C182)</f>
        <v>Переход из оцинкованной стали толщиной 0,7мм, класса «В», 500x200/300x200</v>
      </c>
      <c r="D181" s="17" t="str">
        <f aca="false">IF('Все позиции'!D182="","",'Все позиции'!D182)</f>
        <v>шт.</v>
      </c>
      <c r="E181" s="19" t="n">
        <f aca="false">IF('Все позиции'!E182="","",'Все позиции'!E182)</f>
        <v>1</v>
      </c>
      <c r="F181" s="20" t="n">
        <f aca="false">IF('Все позиции'!F182="","",'Все позиции'!F182)</f>
        <v>1296</v>
      </c>
      <c r="G181" s="19" t="n">
        <f aca="false">IF('Все позиции'!H182="","",'Все позиции'!H182)</f>
        <v>1</v>
      </c>
      <c r="H181" s="20" t="n">
        <f aca="false">IF('Все позиции'!L182="","",'Все позиции'!L182)</f>
        <v>850</v>
      </c>
      <c r="I181" s="21" t="n">
        <f aca="false">IF('Все позиции'!O182="","",'Все позиции'!O182)</f>
        <v>-0.344135802469136</v>
      </c>
      <c r="J181" s="20" t="n">
        <f aca="false">IF('Все позиции'!G182="","",'Все позиции'!G182)</f>
        <v>1296</v>
      </c>
      <c r="K181" s="20" t="n">
        <f aca="false">IF('Все позиции'!M182="","",'Все позиции'!M182)</f>
        <v>850</v>
      </c>
      <c r="L181" s="22" t="n">
        <f aca="false">IF('Все позиции'!N182="","",'Все позиции'!N182)</f>
        <v>-446</v>
      </c>
      <c r="M181" s="17" t="str">
        <f aca="false">IF('Все позиции'!P182="","",'Все позиции'!P182)</f>
        <v>Цена снижена</v>
      </c>
      <c r="N181" s="18" t="str">
        <f aca="false">IF('Все позиции'!Q182="","",'Все позиции'!Q182)</f>
        <v/>
      </c>
      <c r="O181" s="18" t="str">
        <f aca="false">IF('Все позиции'!R182="","",'Все позиции'!R182)</f>
        <v/>
      </c>
    </row>
    <row r="182" customFormat="false" ht="26.85" hidden="false" customHeight="false" outlineLevel="0" collapsed="false">
      <c r="A182" s="17" t="str">
        <f aca="false">IF('Все позиции'!A183="","",'Все позиции'!A183)</f>
        <v>4. Вентиляция 10 этаж</v>
      </c>
      <c r="B182" s="17" t="str">
        <f aca="false">IF('Все позиции'!B183="","",'Все позиции'!B183)</f>
        <v>4.70</v>
      </c>
      <c r="C182" s="18" t="str">
        <f aca="false">IF('Все позиции'!C183="","",'Все позиции'!C183)</f>
        <v>Переход из оцинкованной стали толщиной 0,7мм, класса «В», 500x200/400x200</v>
      </c>
      <c r="D182" s="17" t="str">
        <f aca="false">IF('Все позиции'!D183="","",'Все позиции'!D183)</f>
        <v>шт.</v>
      </c>
      <c r="E182" s="19" t="n">
        <f aca="false">IF('Все позиции'!E183="","",'Все позиции'!E183)</f>
        <v>1</v>
      </c>
      <c r="F182" s="20" t="n">
        <f aca="false">IF('Все позиции'!F183="","",'Все позиции'!F183)</f>
        <v>1296</v>
      </c>
      <c r="G182" s="19" t="n">
        <f aca="false">IF('Все позиции'!H183="","",'Все позиции'!H183)</f>
        <v>1</v>
      </c>
      <c r="H182" s="20" t="n">
        <f aca="false">IF('Все позиции'!L183="","",'Все позиции'!L183)</f>
        <v>850</v>
      </c>
      <c r="I182" s="21" t="n">
        <f aca="false">IF('Все позиции'!O183="","",'Все позиции'!O183)</f>
        <v>-0.344135802469136</v>
      </c>
      <c r="J182" s="20" t="n">
        <f aca="false">IF('Все позиции'!G183="","",'Все позиции'!G183)</f>
        <v>1296</v>
      </c>
      <c r="K182" s="20" t="n">
        <f aca="false">IF('Все позиции'!M183="","",'Все позиции'!M183)</f>
        <v>850</v>
      </c>
      <c r="L182" s="22" t="n">
        <f aca="false">IF('Все позиции'!N183="","",'Все позиции'!N183)</f>
        <v>-446</v>
      </c>
      <c r="M182" s="17" t="str">
        <f aca="false">IF('Все позиции'!P183="","",'Все позиции'!P183)</f>
        <v>Цена снижена</v>
      </c>
      <c r="N182" s="18" t="str">
        <f aca="false">IF('Все позиции'!Q183="","",'Все позиции'!Q183)</f>
        <v/>
      </c>
      <c r="O182" s="18" t="str">
        <f aca="false">IF('Все позиции'!R183="","",'Все позиции'!R183)</f>
        <v/>
      </c>
    </row>
    <row r="183" customFormat="false" ht="26.85" hidden="false" customHeight="false" outlineLevel="0" collapsed="false">
      <c r="A183" s="17" t="str">
        <f aca="false">IF('Все позиции'!A132="","",'Все позиции'!A132)</f>
        <v>4. Вентиляция 10 этаж</v>
      </c>
      <c r="B183" s="17" t="str">
        <f aca="false">IF('Все позиции'!B132="","",'Все позиции'!B132)</f>
        <v>4.19</v>
      </c>
      <c r="C183" s="18" t="str">
        <f aca="false">IF('Все позиции'!C132="","",'Все позиции'!C132)</f>
        <v>Воздуховод гофрированный изолированный, Ø100</v>
      </c>
      <c r="D183" s="17" t="str">
        <f aca="false">IF('Все позиции'!D132="","",'Все позиции'!D132)</f>
        <v>мп</v>
      </c>
      <c r="E183" s="19" t="n">
        <f aca="false">IF('Все позиции'!E132="","",'Все позиции'!E132)</f>
        <v>1</v>
      </c>
      <c r="F183" s="20" t="n">
        <f aca="false">IF('Все позиции'!F132="","",'Все позиции'!F132)</f>
        <v>1134</v>
      </c>
      <c r="G183" s="19" t="n">
        <f aca="false">IF('Все позиции'!H132="","",'Все позиции'!H132)</f>
        <v>1</v>
      </c>
      <c r="H183" s="20" t="n">
        <f aca="false">IF('Все позиции'!L132="","",'Все позиции'!L132)</f>
        <v>760</v>
      </c>
      <c r="I183" s="21" t="n">
        <f aca="false">IF('Все позиции'!O132="","",'Все позиции'!O132)</f>
        <v>-0.329805996472663</v>
      </c>
      <c r="J183" s="20" t="n">
        <f aca="false">IF('Все позиции'!G132="","",'Все позиции'!G132)</f>
        <v>1134</v>
      </c>
      <c r="K183" s="20" t="n">
        <f aca="false">IF('Все позиции'!M132="","",'Все позиции'!M132)</f>
        <v>760</v>
      </c>
      <c r="L183" s="22" t="n">
        <f aca="false">IF('Все позиции'!N132="","",'Все позиции'!N132)</f>
        <v>-374</v>
      </c>
      <c r="M183" s="17" t="str">
        <f aca="false">IF('Все позиции'!P132="","",'Все позиции'!P132)</f>
        <v>Цена снижена</v>
      </c>
      <c r="N183" s="18" t="str">
        <f aca="false">IF('Все позиции'!Q132="","",'Все позиции'!Q132)</f>
        <v>по договору</v>
      </c>
      <c r="O183" s="18" t="str">
        <f aca="false">IF('Все позиции'!R132="","",'Все позиции'!R132)</f>
        <v/>
      </c>
    </row>
    <row r="184" customFormat="false" ht="26.85" hidden="false" customHeight="false" outlineLevel="0" collapsed="false">
      <c r="A184" s="17" t="str">
        <f aca="false">IF('Все позиции'!A133="","",'Все позиции'!A133)</f>
        <v>4. Вентиляция 10 этаж</v>
      </c>
      <c r="B184" s="17" t="str">
        <f aca="false">IF('Все позиции'!B133="","",'Все позиции'!B133)</f>
        <v>4.20</v>
      </c>
      <c r="C184" s="18" t="str">
        <f aca="false">IF('Все позиции'!C133="","",'Все позиции'!C133)</f>
        <v>Воздуховод гофрированный изолированный, Ø125</v>
      </c>
      <c r="D184" s="17" t="str">
        <f aca="false">IF('Все позиции'!D133="","",'Все позиции'!D133)</f>
        <v>мп</v>
      </c>
      <c r="E184" s="19" t="n">
        <f aca="false">IF('Все позиции'!E133="","",'Все позиции'!E133)</f>
        <v>1</v>
      </c>
      <c r="F184" s="20" t="n">
        <f aca="false">IF('Все позиции'!F133="","",'Все позиции'!F133)</f>
        <v>1134</v>
      </c>
      <c r="G184" s="19" t="n">
        <f aca="false">IF('Все позиции'!H133="","",'Все позиции'!H133)</f>
        <v>1</v>
      </c>
      <c r="H184" s="20" t="n">
        <f aca="false">IF('Все позиции'!L133="","",'Все позиции'!L133)</f>
        <v>760</v>
      </c>
      <c r="I184" s="21" t="n">
        <f aca="false">IF('Все позиции'!O133="","",'Все позиции'!O133)</f>
        <v>-0.329805996472663</v>
      </c>
      <c r="J184" s="20" t="n">
        <f aca="false">IF('Все позиции'!G133="","",'Все позиции'!G133)</f>
        <v>1134</v>
      </c>
      <c r="K184" s="20" t="n">
        <f aca="false">IF('Все позиции'!M133="","",'Все позиции'!M133)</f>
        <v>760</v>
      </c>
      <c r="L184" s="22" t="n">
        <f aca="false">IF('Все позиции'!N133="","",'Все позиции'!N133)</f>
        <v>-374</v>
      </c>
      <c r="M184" s="17" t="str">
        <f aca="false">IF('Все позиции'!P133="","",'Все позиции'!P133)</f>
        <v>Цена снижена</v>
      </c>
      <c r="N184" s="18" t="str">
        <f aca="false">IF('Все позиции'!Q133="","",'Все позиции'!Q133)</f>
        <v>по договору</v>
      </c>
      <c r="O184" s="18" t="str">
        <f aca="false">IF('Все позиции'!R133="","",'Все позиции'!R133)</f>
        <v/>
      </c>
    </row>
    <row r="185" customFormat="false" ht="26.85" hidden="false" customHeight="false" outlineLevel="0" collapsed="false">
      <c r="A185" s="17" t="str">
        <f aca="false">IF('Все позиции'!A149="","",'Все позиции'!A149)</f>
        <v>4. Вентиляция 10 этаж</v>
      </c>
      <c r="B185" s="17" t="str">
        <f aca="false">IF('Все позиции'!B149="","",'Все позиции'!B149)</f>
        <v>4.36</v>
      </c>
      <c r="C185" s="18" t="str">
        <f aca="false">IF('Все позиции'!C149="","",'Все позиции'!C149)</f>
        <v>Отвод 300 из оцинкованной стали толщиной 0,5мм, класса «В», Ø200</v>
      </c>
      <c r="D185" s="17" t="str">
        <f aca="false">IF('Все позиции'!D149="","",'Все позиции'!D149)</f>
        <v>шт.</v>
      </c>
      <c r="E185" s="19" t="n">
        <f aca="false">IF('Все позиции'!E149="","",'Все позиции'!E149)</f>
        <v>2</v>
      </c>
      <c r="F185" s="20" t="n">
        <f aca="false">IF('Все позиции'!F149="","",'Все позиции'!F149)</f>
        <v>1020</v>
      </c>
      <c r="G185" s="19" t="n">
        <f aca="false">IF('Все позиции'!H149="","",'Все позиции'!H149)</f>
        <v>2</v>
      </c>
      <c r="H185" s="20" t="n">
        <f aca="false">IF('Все позиции'!L149="","",'Все позиции'!L149)</f>
        <v>855</v>
      </c>
      <c r="I185" s="21" t="n">
        <f aca="false">IF('Все позиции'!O149="","",'Все позиции'!O149)</f>
        <v>-0.161764705882353</v>
      </c>
      <c r="J185" s="20" t="n">
        <f aca="false">IF('Все позиции'!G149="","",'Все позиции'!G149)</f>
        <v>2040</v>
      </c>
      <c r="K185" s="20" t="n">
        <f aca="false">IF('Все позиции'!M149="","",'Все позиции'!M149)</f>
        <v>1710</v>
      </c>
      <c r="L185" s="22" t="n">
        <f aca="false">IF('Все позиции'!N149="","",'Все позиции'!N149)</f>
        <v>-330</v>
      </c>
      <c r="M185" s="17" t="str">
        <f aca="false">IF('Все позиции'!P149="","",'Все позиции'!P149)</f>
        <v>Цена снижена</v>
      </c>
      <c r="N185" s="18" t="str">
        <f aca="false">IF('Все позиции'!Q149="","",'Все позиции'!Q149)</f>
        <v>по договру</v>
      </c>
      <c r="O185" s="18" t="str">
        <f aca="false">IF('Все позиции'!R149="","",'Все позиции'!R149)</f>
        <v/>
      </c>
    </row>
    <row r="186" customFormat="false" ht="26.85" hidden="false" customHeight="false" outlineLevel="0" collapsed="false">
      <c r="A186" s="17" t="str">
        <f aca="false">IF('Все позиции'!A267="","",'Все позиции'!A267)</f>
        <v>6. Вентиляция 2 этаж</v>
      </c>
      <c r="B186" s="17" t="str">
        <f aca="false">IF('Все позиции'!B267="","",'Все позиции'!B267)</f>
        <v>6.27</v>
      </c>
      <c r="C186" s="18" t="str">
        <f aca="false">IF('Все позиции'!C267="","",'Все позиции'!C267)</f>
        <v>Отвод 300 из оцинкованной стали толщиной 0,5мм, класса «В», Ø100</v>
      </c>
      <c r="D186" s="17" t="str">
        <f aca="false">IF('Все позиции'!D267="","",'Все позиции'!D267)</f>
        <v>шт.</v>
      </c>
      <c r="E186" s="19" t="n">
        <f aca="false">IF('Все позиции'!E267="","",'Все позиции'!E267)</f>
        <v>2</v>
      </c>
      <c r="F186" s="20" t="n">
        <f aca="false">IF('Все позиции'!F267="","",'Все позиции'!F267)</f>
        <v>1020</v>
      </c>
      <c r="G186" s="19" t="n">
        <f aca="false">IF('Все позиции'!H267="","",'Все позиции'!H267)</f>
        <v>2</v>
      </c>
      <c r="H186" s="20" t="n">
        <f aca="false">IF('Все позиции'!L267="","",'Все позиции'!L267)</f>
        <v>855</v>
      </c>
      <c r="I186" s="21" t="n">
        <f aca="false">IF('Все позиции'!O267="","",'Все позиции'!O267)</f>
        <v>-0.161764705882353</v>
      </c>
      <c r="J186" s="20" t="n">
        <f aca="false">IF('Все позиции'!G267="","",'Все позиции'!G267)</f>
        <v>2040</v>
      </c>
      <c r="K186" s="20" t="n">
        <f aca="false">IF('Все позиции'!M267="","",'Все позиции'!M267)</f>
        <v>1710</v>
      </c>
      <c r="L186" s="22" t="n">
        <f aca="false">IF('Все позиции'!N267="","",'Все позиции'!N267)</f>
        <v>-330</v>
      </c>
      <c r="M186" s="17" t="str">
        <f aca="false">IF('Все позиции'!P267="","",'Все позиции'!P267)</f>
        <v>Цена снижена</v>
      </c>
      <c r="N186" s="18" t="str">
        <f aca="false">IF('Все позиции'!Q267="","",'Все позиции'!Q267)</f>
        <v>по договру</v>
      </c>
      <c r="O186" s="18" t="str">
        <f aca="false">IF('Все позиции'!R267="","",'Все позиции'!R267)</f>
        <v/>
      </c>
    </row>
    <row r="187" customFormat="false" ht="26.85" hidden="false" customHeight="false" outlineLevel="0" collapsed="false">
      <c r="A187" s="17" t="str">
        <f aca="false">IF('Все позиции'!A275="","",'Все позиции'!A275)</f>
        <v>6. Вентиляция 2 этаж</v>
      </c>
      <c r="B187" s="17" t="str">
        <f aca="false">IF('Все позиции'!B275="","",'Все позиции'!B275)</f>
        <v>6.35</v>
      </c>
      <c r="C187" s="18" t="str">
        <f aca="false">IF('Все позиции'!C275="","",'Все позиции'!C275)</f>
        <v>Отвод 450 из оцинкованной стали толщиной 0,5мм, класса «В», Ø200</v>
      </c>
      <c r="D187" s="17" t="str">
        <f aca="false">IF('Все позиции'!D275="","",'Все позиции'!D275)</f>
        <v>шт.</v>
      </c>
      <c r="E187" s="19" t="n">
        <f aca="false">IF('Все позиции'!E275="","",'Все позиции'!E275)</f>
        <v>2</v>
      </c>
      <c r="F187" s="20" t="n">
        <f aca="false">IF('Все позиции'!F275="","",'Все позиции'!F275)</f>
        <v>1020</v>
      </c>
      <c r="G187" s="19" t="n">
        <f aca="false">IF('Все позиции'!H275="","",'Все позиции'!H275)</f>
        <v>2</v>
      </c>
      <c r="H187" s="20" t="n">
        <f aca="false">IF('Все позиции'!L275="","",'Все позиции'!L275)</f>
        <v>855</v>
      </c>
      <c r="I187" s="21" t="n">
        <f aca="false">IF('Все позиции'!O275="","",'Все позиции'!O275)</f>
        <v>-0.161764705882353</v>
      </c>
      <c r="J187" s="20" t="n">
        <f aca="false">IF('Все позиции'!G275="","",'Все позиции'!G275)</f>
        <v>2040</v>
      </c>
      <c r="K187" s="20" t="n">
        <f aca="false">IF('Все позиции'!M275="","",'Все позиции'!M275)</f>
        <v>1710</v>
      </c>
      <c r="L187" s="22" t="n">
        <f aca="false">IF('Все позиции'!N275="","",'Все позиции'!N275)</f>
        <v>-330</v>
      </c>
      <c r="M187" s="17" t="str">
        <f aca="false">IF('Все позиции'!P275="","",'Все позиции'!P275)</f>
        <v>Цена снижена</v>
      </c>
      <c r="N187" s="18" t="str">
        <f aca="false">IF('Все позиции'!Q275="","",'Все позиции'!Q275)</f>
        <v>по договру</v>
      </c>
      <c r="O187" s="18" t="str">
        <f aca="false">IF('Все позиции'!R275="","",'Все позиции'!R275)</f>
        <v/>
      </c>
    </row>
    <row r="188" customFormat="false" ht="26.85" hidden="false" customHeight="false" outlineLevel="0" collapsed="false">
      <c r="A188" s="17" t="str">
        <f aca="false">IF('Все позиции'!A278="","",'Все позиции'!A278)</f>
        <v>6. Вентиляция 2 этаж</v>
      </c>
      <c r="B188" s="17" t="str">
        <f aca="false">IF('Все позиции'!B278="","",'Все позиции'!B278)</f>
        <v>6.38</v>
      </c>
      <c r="C188" s="18" t="str">
        <f aca="false">IF('Все позиции'!C278="","",'Все позиции'!C278)</f>
        <v>Отвод 600 из оцинкованной стали толщиной 0,5мм, класса «В», Ø200</v>
      </c>
      <c r="D188" s="17" t="str">
        <f aca="false">IF('Все позиции'!D278="","",'Все позиции'!D278)</f>
        <v>шт.</v>
      </c>
      <c r="E188" s="19" t="n">
        <f aca="false">IF('Все позиции'!E278="","",'Все позиции'!E278)</f>
        <v>2</v>
      </c>
      <c r="F188" s="20" t="n">
        <f aca="false">IF('Все позиции'!F278="","",'Все позиции'!F278)</f>
        <v>1020</v>
      </c>
      <c r="G188" s="19" t="n">
        <f aca="false">IF('Все позиции'!H278="","",'Все позиции'!H278)</f>
        <v>2</v>
      </c>
      <c r="H188" s="20" t="n">
        <f aca="false">IF('Все позиции'!L278="","",'Все позиции'!L278)</f>
        <v>855</v>
      </c>
      <c r="I188" s="21" t="n">
        <f aca="false">IF('Все позиции'!O278="","",'Все позиции'!O278)</f>
        <v>-0.161764705882353</v>
      </c>
      <c r="J188" s="20" t="n">
        <f aca="false">IF('Все позиции'!G278="","",'Все позиции'!G278)</f>
        <v>2040</v>
      </c>
      <c r="K188" s="20" t="n">
        <f aca="false">IF('Все позиции'!M278="","",'Все позиции'!M278)</f>
        <v>1710</v>
      </c>
      <c r="L188" s="22" t="n">
        <f aca="false">IF('Все позиции'!N278="","",'Все позиции'!N278)</f>
        <v>-330</v>
      </c>
      <c r="M188" s="17" t="str">
        <f aca="false">IF('Все позиции'!P278="","",'Все позиции'!P278)</f>
        <v>Цена снижена</v>
      </c>
      <c r="N188" s="18" t="str">
        <f aca="false">IF('Все позиции'!Q278="","",'Все позиции'!Q278)</f>
        <v>по договру</v>
      </c>
      <c r="O188" s="18" t="str">
        <f aca="false">IF('Все позиции'!R278="","",'Все позиции'!R278)</f>
        <v/>
      </c>
    </row>
    <row r="189" customFormat="false" ht="26.85" hidden="false" customHeight="false" outlineLevel="0" collapsed="false">
      <c r="A189" s="17" t="str">
        <f aca="false">IF('Все позиции'!A289="","",'Все позиции'!A289)</f>
        <v>6. Вентиляция 2 этаж</v>
      </c>
      <c r="B189" s="17" t="str">
        <f aca="false">IF('Все позиции'!B289="","",'Все позиции'!B289)</f>
        <v>6.49</v>
      </c>
      <c r="C189" s="18" t="str">
        <f aca="false">IF('Все позиции'!C289="","",'Все позиции'!C289)</f>
        <v>Врезка плоская из оцинкованной стали толщиной 0,5мм, класса «В», Ø125</v>
      </c>
      <c r="D189" s="17" t="str">
        <f aca="false">IF('Все позиции'!D289="","",'Все позиции'!D289)</f>
        <v>шт.</v>
      </c>
      <c r="E189" s="19" t="n">
        <f aca="false">IF('Все позиции'!E289="","",'Все позиции'!E289)</f>
        <v>2</v>
      </c>
      <c r="F189" s="20" t="n">
        <f aca="false">IF('Все позиции'!F289="","",'Все позиции'!F289)</f>
        <v>1020</v>
      </c>
      <c r="G189" s="19" t="n">
        <f aca="false">IF('Все позиции'!H289="","",'Все позиции'!H289)</f>
        <v>2</v>
      </c>
      <c r="H189" s="20" t="n">
        <f aca="false">IF('Все позиции'!L289="","",'Все позиции'!L289)</f>
        <v>855</v>
      </c>
      <c r="I189" s="21" t="n">
        <f aca="false">IF('Все позиции'!O289="","",'Все позиции'!O289)</f>
        <v>-0.161764705882353</v>
      </c>
      <c r="J189" s="20" t="n">
        <f aca="false">IF('Все позиции'!G289="","",'Все позиции'!G289)</f>
        <v>2040</v>
      </c>
      <c r="K189" s="20" t="n">
        <f aca="false">IF('Все позиции'!M289="","",'Все позиции'!M289)</f>
        <v>1710</v>
      </c>
      <c r="L189" s="22" t="n">
        <f aca="false">IF('Все позиции'!N289="","",'Все позиции'!N289)</f>
        <v>-330</v>
      </c>
      <c r="M189" s="17" t="str">
        <f aca="false">IF('Все позиции'!P289="","",'Все позиции'!P289)</f>
        <v>Цена снижена</v>
      </c>
      <c r="N189" s="18" t="str">
        <f aca="false">IF('Все позиции'!Q289="","",'Все позиции'!Q289)</f>
        <v>по договру</v>
      </c>
      <c r="O189" s="18" t="str">
        <f aca="false">IF('Все позиции'!R289="","",'Все позиции'!R289)</f>
        <v/>
      </c>
    </row>
    <row r="190" customFormat="false" ht="26.85" hidden="false" customHeight="false" outlineLevel="0" collapsed="false">
      <c r="A190" s="17" t="str">
        <f aca="false">IF('Все позиции'!A290="","",'Все позиции'!A290)</f>
        <v>6. Вентиляция 2 этаж</v>
      </c>
      <c r="B190" s="17" t="str">
        <f aca="false">IF('Все позиции'!B290="","",'Все позиции'!B290)</f>
        <v>6.50</v>
      </c>
      <c r="C190" s="18" t="str">
        <f aca="false">IF('Все позиции'!C290="","",'Все позиции'!C290)</f>
        <v>Врезка плоская из оцинкованной стали толщиной 0,5мм, класса «В», Ø160</v>
      </c>
      <c r="D190" s="17" t="str">
        <f aca="false">IF('Все позиции'!D290="","",'Все позиции'!D290)</f>
        <v>шт.</v>
      </c>
      <c r="E190" s="19" t="n">
        <f aca="false">IF('Все позиции'!E290="","",'Все позиции'!E290)</f>
        <v>2</v>
      </c>
      <c r="F190" s="20" t="n">
        <f aca="false">IF('Все позиции'!F290="","",'Все позиции'!F290)</f>
        <v>1020</v>
      </c>
      <c r="G190" s="19" t="n">
        <f aca="false">IF('Все позиции'!H290="","",'Все позиции'!H290)</f>
        <v>2</v>
      </c>
      <c r="H190" s="20" t="n">
        <f aca="false">IF('Все позиции'!L290="","",'Все позиции'!L290)</f>
        <v>855</v>
      </c>
      <c r="I190" s="21" t="n">
        <f aca="false">IF('Все позиции'!O290="","",'Все позиции'!O290)</f>
        <v>-0.161764705882353</v>
      </c>
      <c r="J190" s="20" t="n">
        <f aca="false">IF('Все позиции'!G290="","",'Все позиции'!G290)</f>
        <v>2040</v>
      </c>
      <c r="K190" s="20" t="n">
        <f aca="false">IF('Все позиции'!M290="","",'Все позиции'!M290)</f>
        <v>1710</v>
      </c>
      <c r="L190" s="22" t="n">
        <f aca="false">IF('Все позиции'!N290="","",'Все позиции'!N290)</f>
        <v>-330</v>
      </c>
      <c r="M190" s="17" t="str">
        <f aca="false">IF('Все позиции'!P290="","",'Все позиции'!P290)</f>
        <v>Цена снижена</v>
      </c>
      <c r="N190" s="18" t="str">
        <f aca="false">IF('Все позиции'!Q290="","",'Все позиции'!Q290)</f>
        <v>по договру</v>
      </c>
      <c r="O190" s="18" t="str">
        <f aca="false">IF('Все позиции'!R290="","",'Все позиции'!R290)</f>
        <v/>
      </c>
    </row>
    <row r="191" customFormat="false" ht="26.85" hidden="false" customHeight="false" outlineLevel="0" collapsed="false">
      <c r="A191" s="17" t="str">
        <f aca="false">IF('Все позиции'!A292="","",'Все позиции'!A292)</f>
        <v>6. Вентиляция 2 этаж</v>
      </c>
      <c r="B191" s="17" t="str">
        <f aca="false">IF('Все позиции'!B292="","",'Все позиции'!B292)</f>
        <v>6.52</v>
      </c>
      <c r="C191" s="18" t="str">
        <f aca="false">IF('Все позиции'!C292="","",'Все позиции'!C292)</f>
        <v>Врезка-седло из оцинкованной стали толщиной 0,5мм, класса «В», Ø160/Ø100</v>
      </c>
      <c r="D191" s="17" t="str">
        <f aca="false">IF('Все позиции'!D292="","",'Все позиции'!D292)</f>
        <v>шт.</v>
      </c>
      <c r="E191" s="19" t="n">
        <f aca="false">IF('Все позиции'!E292="","",'Все позиции'!E292)</f>
        <v>2</v>
      </c>
      <c r="F191" s="20" t="n">
        <f aca="false">IF('Все позиции'!F292="","",'Все позиции'!F292)</f>
        <v>1020</v>
      </c>
      <c r="G191" s="19" t="n">
        <f aca="false">IF('Все позиции'!H292="","",'Все позиции'!H292)</f>
        <v>2</v>
      </c>
      <c r="H191" s="20" t="n">
        <f aca="false">IF('Все позиции'!L292="","",'Все позиции'!L292)</f>
        <v>855</v>
      </c>
      <c r="I191" s="21" t="n">
        <f aca="false">IF('Все позиции'!O292="","",'Все позиции'!O292)</f>
        <v>-0.161764705882353</v>
      </c>
      <c r="J191" s="20" t="n">
        <f aca="false">IF('Все позиции'!G292="","",'Все позиции'!G292)</f>
        <v>2040</v>
      </c>
      <c r="K191" s="20" t="n">
        <f aca="false">IF('Все позиции'!M292="","",'Все позиции'!M292)</f>
        <v>1710</v>
      </c>
      <c r="L191" s="22" t="n">
        <f aca="false">IF('Все позиции'!N292="","",'Все позиции'!N292)</f>
        <v>-330</v>
      </c>
      <c r="M191" s="17" t="str">
        <f aca="false">IF('Все позиции'!P292="","",'Все позиции'!P292)</f>
        <v>Цена снижена</v>
      </c>
      <c r="N191" s="18" t="str">
        <f aca="false">IF('Все позиции'!Q292="","",'Все позиции'!Q292)</f>
        <v>по договру</v>
      </c>
      <c r="O191" s="18" t="str">
        <f aca="false">IF('Все позиции'!R292="","",'Все позиции'!R292)</f>
        <v/>
      </c>
    </row>
    <row r="192" customFormat="false" ht="26.85" hidden="false" customHeight="false" outlineLevel="0" collapsed="false">
      <c r="A192" s="17" t="str">
        <f aca="false">IF('Все позиции'!A294="","",'Все позиции'!A294)</f>
        <v>6. Вентиляция 2 этаж</v>
      </c>
      <c r="B192" s="17" t="str">
        <f aca="false">IF('Все позиции'!B294="","",'Все позиции'!B294)</f>
        <v>6.54</v>
      </c>
      <c r="C192" s="18" t="str">
        <f aca="false">IF('Все позиции'!C294="","",'Все позиции'!C294)</f>
        <v>Переход из оцинкованной стали толщиной 0,5мм, класса «В», Ø160/Ø125</v>
      </c>
      <c r="D192" s="17" t="str">
        <f aca="false">IF('Все позиции'!D294="","",'Все позиции'!D294)</f>
        <v>шт.</v>
      </c>
      <c r="E192" s="19" t="n">
        <f aca="false">IF('Все позиции'!E294="","",'Все позиции'!E294)</f>
        <v>2</v>
      </c>
      <c r="F192" s="20" t="n">
        <f aca="false">IF('Все позиции'!F294="","",'Все позиции'!F294)</f>
        <v>1020</v>
      </c>
      <c r="G192" s="19" t="n">
        <f aca="false">IF('Все позиции'!H294="","",'Все позиции'!H294)</f>
        <v>2</v>
      </c>
      <c r="H192" s="20" t="n">
        <f aca="false">IF('Все позиции'!L294="","",'Все позиции'!L294)</f>
        <v>855</v>
      </c>
      <c r="I192" s="21" t="n">
        <f aca="false">IF('Все позиции'!O294="","",'Все позиции'!O294)</f>
        <v>-0.161764705882353</v>
      </c>
      <c r="J192" s="20" t="n">
        <f aca="false">IF('Все позиции'!G294="","",'Все позиции'!G294)</f>
        <v>2040</v>
      </c>
      <c r="K192" s="20" t="n">
        <f aca="false">IF('Все позиции'!M294="","",'Все позиции'!M294)</f>
        <v>1710</v>
      </c>
      <c r="L192" s="22" t="n">
        <f aca="false">IF('Все позиции'!N294="","",'Все позиции'!N294)</f>
        <v>-330</v>
      </c>
      <c r="M192" s="17" t="str">
        <f aca="false">IF('Все позиции'!P294="","",'Все позиции'!P294)</f>
        <v>Цена снижена</v>
      </c>
      <c r="N192" s="18" t="str">
        <f aca="false">IF('Все позиции'!Q294="","",'Все позиции'!Q294)</f>
        <v>по договру</v>
      </c>
      <c r="O192" s="18" t="str">
        <f aca="false">IF('Все позиции'!R294="","",'Все позиции'!R294)</f>
        <v/>
      </c>
    </row>
    <row r="193" customFormat="false" ht="26.85" hidden="false" customHeight="false" outlineLevel="0" collapsed="false">
      <c r="A193" s="17" t="str">
        <f aca="false">IF('Все позиции'!A264="","",'Все позиции'!A264)</f>
        <v>6. Вентиляция 2 этаж</v>
      </c>
      <c r="B193" s="17" t="str">
        <f aca="false">IF('Все позиции'!B264="","",'Все позиции'!B264)</f>
        <v>6.24</v>
      </c>
      <c r="C193" s="18" t="str">
        <f aca="false">IF('Все позиции'!C264="","",'Все позиции'!C264)</f>
        <v>Воздуховод из оцинкованной стали толщиной 0,7мм, класса «В», 700x200</v>
      </c>
      <c r="D193" s="17" t="str">
        <f aca="false">IF('Все позиции'!D264="","",'Все позиции'!D264)</f>
        <v>мп</v>
      </c>
      <c r="E193" s="19" t="n">
        <f aca="false">IF('Все позиции'!E264="","",'Все позиции'!E264)</f>
        <v>1</v>
      </c>
      <c r="F193" s="20" t="n">
        <f aca="false">IF('Все позиции'!F264="","",'Все позиции'!F264)</f>
        <v>3000</v>
      </c>
      <c r="G193" s="19" t="n">
        <f aca="false">IF('Все позиции'!H264="","",'Все позиции'!H264)</f>
        <v>1</v>
      </c>
      <c r="H193" s="20" t="n">
        <f aca="false">IF('Все позиции'!L264="","",'Все позиции'!L264)</f>
        <v>2720</v>
      </c>
      <c r="I193" s="21" t="n">
        <f aca="false">IF('Все позиции'!O264="","",'Все позиции'!O264)</f>
        <v>-0.0933333333333334</v>
      </c>
      <c r="J193" s="20" t="n">
        <f aca="false">IF('Все позиции'!G264="","",'Все позиции'!G264)</f>
        <v>3000</v>
      </c>
      <c r="K193" s="20" t="n">
        <f aca="false">IF('Все позиции'!M264="","",'Все позиции'!M264)</f>
        <v>2720</v>
      </c>
      <c r="L193" s="22" t="n">
        <f aca="false">IF('Все позиции'!N264="","",'Все позиции'!N264)</f>
        <v>-280</v>
      </c>
      <c r="M193" s="17" t="str">
        <f aca="false">IF('Все позиции'!P264="","",'Все позиции'!P264)</f>
        <v>Цена снижена</v>
      </c>
      <c r="N193" s="18" t="str">
        <f aca="false">IF('Все позиции'!Q264="","",'Все позиции'!Q264)</f>
        <v/>
      </c>
      <c r="O193" s="18" t="str">
        <f aca="false">IF('Все позиции'!R264="","",'Все позиции'!R264)</f>
        <v/>
      </c>
    </row>
    <row r="194" customFormat="false" ht="26.85" hidden="false" customHeight="false" outlineLevel="0" collapsed="false">
      <c r="A194" s="17" t="str">
        <f aca="false">IF('Все позиции'!A166="","",'Все позиции'!A166)</f>
        <v>4. Вентиляция 10 этаж</v>
      </c>
      <c r="B194" s="17" t="str">
        <f aca="false">IF('Все позиции'!B166="","",'Все позиции'!B166)</f>
        <v>4.53</v>
      </c>
      <c r="C194" s="18" t="str">
        <f aca="false">IF('Все позиции'!C166="","",'Все позиции'!C166)</f>
        <v>Отвод 900 из оцинкованной стали толщиной 0,7мм, класса «В», 600x200</v>
      </c>
      <c r="D194" s="17" t="str">
        <f aca="false">IF('Все позиции'!D166="","",'Все позиции'!D166)</f>
        <v>шт.</v>
      </c>
      <c r="E194" s="19" t="n">
        <f aca="false">IF('Все позиции'!E166="","",'Все позиции'!E166)</f>
        <v>1</v>
      </c>
      <c r="F194" s="20" t="n">
        <f aca="false">IF('Все позиции'!F166="","",'Все позиции'!F166)</f>
        <v>2268</v>
      </c>
      <c r="G194" s="19" t="n">
        <f aca="false">IF('Все позиции'!H166="","",'Все позиции'!H166)</f>
        <v>1</v>
      </c>
      <c r="H194" s="20" t="n">
        <f aca="false">IF('Все позиции'!L166="","",'Все позиции'!L166)</f>
        <v>2040</v>
      </c>
      <c r="I194" s="21" t="n">
        <f aca="false">IF('Все позиции'!O166="","",'Все позиции'!O166)</f>
        <v>-0.100529100529101</v>
      </c>
      <c r="J194" s="20" t="n">
        <f aca="false">IF('Все позиции'!G166="","",'Все позиции'!G166)</f>
        <v>2268</v>
      </c>
      <c r="K194" s="20" t="n">
        <f aca="false">IF('Все позиции'!M166="","",'Все позиции'!M166)</f>
        <v>2040</v>
      </c>
      <c r="L194" s="22" t="n">
        <f aca="false">IF('Все позиции'!N166="","",'Все позиции'!N166)</f>
        <v>-228</v>
      </c>
      <c r="M194" s="17" t="str">
        <f aca="false">IF('Все позиции'!P166="","",'Все позиции'!P166)</f>
        <v>Цена снижена</v>
      </c>
      <c r="N194" s="18" t="str">
        <f aca="false">IF('Все позиции'!Q166="","",'Все позиции'!Q166)</f>
        <v/>
      </c>
      <c r="O194" s="18" t="str">
        <f aca="false">IF('Все позиции'!R166="","",'Все позиции'!R166)</f>
        <v/>
      </c>
    </row>
    <row r="195" customFormat="false" ht="26.85" hidden="false" customHeight="false" outlineLevel="0" collapsed="false">
      <c r="A195" s="17" t="str">
        <f aca="false">IF('Все позиции'!A268="","",'Все позиции'!A268)</f>
        <v>6. Вентиляция 2 этаж</v>
      </c>
      <c r="B195" s="17" t="str">
        <f aca="false">IF('Все позиции'!B268="","",'Все позиции'!B268)</f>
        <v>6.28</v>
      </c>
      <c r="C195" s="18" t="str">
        <f aca="false">IF('Все позиции'!C268="","",'Все позиции'!C268)</f>
        <v>Отвод 300 из оцинкованной стали толщиной 0,5мм, класса «В», Ø125</v>
      </c>
      <c r="D195" s="17" t="str">
        <f aca="false">IF('Все позиции'!D268="","",'Все позиции'!D268)</f>
        <v>шт.</v>
      </c>
      <c r="E195" s="19" t="n">
        <f aca="false">IF('Все позиции'!E268="","",'Все позиции'!E268)</f>
        <v>1</v>
      </c>
      <c r="F195" s="20" t="n">
        <f aca="false">IF('Все позиции'!F268="","",'Все позиции'!F268)</f>
        <v>1020</v>
      </c>
      <c r="G195" s="19" t="n">
        <f aca="false">IF('Все позиции'!H268="","",'Все позиции'!H268)</f>
        <v>1</v>
      </c>
      <c r="H195" s="20" t="n">
        <f aca="false">IF('Все позиции'!L268="","",'Все позиции'!L268)</f>
        <v>855</v>
      </c>
      <c r="I195" s="21" t="n">
        <f aca="false">IF('Все позиции'!O268="","",'Все позиции'!O268)</f>
        <v>-0.161764705882353</v>
      </c>
      <c r="J195" s="20" t="n">
        <f aca="false">IF('Все позиции'!G268="","",'Все позиции'!G268)</f>
        <v>1020</v>
      </c>
      <c r="K195" s="20" t="n">
        <f aca="false">IF('Все позиции'!M268="","",'Все позиции'!M268)</f>
        <v>855</v>
      </c>
      <c r="L195" s="22" t="n">
        <f aca="false">IF('Все позиции'!N268="","",'Все позиции'!N268)</f>
        <v>-165</v>
      </c>
      <c r="M195" s="17" t="str">
        <f aca="false">IF('Все позиции'!P268="","",'Все позиции'!P268)</f>
        <v>Цена снижена</v>
      </c>
      <c r="N195" s="18" t="str">
        <f aca="false">IF('Все позиции'!Q268="","",'Все позиции'!Q268)</f>
        <v>по договру</v>
      </c>
      <c r="O195" s="18" t="str">
        <f aca="false">IF('Все позиции'!R268="","",'Все позиции'!R268)</f>
        <v/>
      </c>
    </row>
    <row r="196" customFormat="false" ht="26.85" hidden="false" customHeight="false" outlineLevel="0" collapsed="false">
      <c r="A196" s="17" t="str">
        <f aca="false">IF('Все позиции'!A270="","",'Все позиции'!A270)</f>
        <v>6. Вентиляция 2 этаж</v>
      </c>
      <c r="B196" s="17" t="str">
        <f aca="false">IF('Все позиции'!B270="","",'Все позиции'!B270)</f>
        <v>6.30</v>
      </c>
      <c r="C196" s="18" t="str">
        <f aca="false">IF('Все позиции'!C270="","",'Все позиции'!C270)</f>
        <v>Отвод 300 из оцинкованной стали толщиной 0,6мм, класса «В», Ø250</v>
      </c>
      <c r="D196" s="17" t="str">
        <f aca="false">IF('Все позиции'!D270="","",'Все позиции'!D270)</f>
        <v>шт.</v>
      </c>
      <c r="E196" s="19" t="n">
        <f aca="false">IF('Все позиции'!E270="","",'Все позиции'!E270)</f>
        <v>1</v>
      </c>
      <c r="F196" s="20" t="n">
        <f aca="false">IF('Все позиции'!F270="","",'Все позиции'!F270)</f>
        <v>1020</v>
      </c>
      <c r="G196" s="19" t="n">
        <f aca="false">IF('Все позиции'!H270="","",'Все позиции'!H270)</f>
        <v>1</v>
      </c>
      <c r="H196" s="20" t="n">
        <f aca="false">IF('Все позиции'!L270="","",'Все позиции'!L270)</f>
        <v>855</v>
      </c>
      <c r="I196" s="21" t="n">
        <f aca="false">IF('Все позиции'!O270="","",'Все позиции'!O270)</f>
        <v>-0.161764705882353</v>
      </c>
      <c r="J196" s="20" t="n">
        <f aca="false">IF('Все позиции'!G270="","",'Все позиции'!G270)</f>
        <v>1020</v>
      </c>
      <c r="K196" s="20" t="n">
        <f aca="false">IF('Все позиции'!M270="","",'Все позиции'!M270)</f>
        <v>855</v>
      </c>
      <c r="L196" s="22" t="n">
        <f aca="false">IF('Все позиции'!N270="","",'Все позиции'!N270)</f>
        <v>-165</v>
      </c>
      <c r="M196" s="17" t="str">
        <f aca="false">IF('Все позиции'!P270="","",'Все позиции'!P270)</f>
        <v>Цена снижена</v>
      </c>
      <c r="N196" s="18" t="str">
        <f aca="false">IF('Все позиции'!Q270="","",'Все позиции'!Q270)</f>
        <v>по договру</v>
      </c>
      <c r="O196" s="18" t="str">
        <f aca="false">IF('Все позиции'!R270="","",'Все позиции'!R270)</f>
        <v/>
      </c>
    </row>
    <row r="197" customFormat="false" ht="26.85" hidden="false" customHeight="false" outlineLevel="0" collapsed="false">
      <c r="A197" s="17" t="str">
        <f aca="false">IF('Все позиции'!A282="","",'Все позиции'!A282)</f>
        <v>6. Вентиляция 2 этаж</v>
      </c>
      <c r="B197" s="17" t="str">
        <f aca="false">IF('Все позиции'!B282="","",'Все позиции'!B282)</f>
        <v>6.42</v>
      </c>
      <c r="C197" s="18" t="str">
        <f aca="false">IF('Все позиции'!C282="","",'Все позиции'!C282)</f>
        <v>Отвод 900 из оцинкованной стали толщиной 0,6мм, класса «В», Ø250</v>
      </c>
      <c r="D197" s="17" t="str">
        <f aca="false">IF('Все позиции'!D282="","",'Все позиции'!D282)</f>
        <v>шт.</v>
      </c>
      <c r="E197" s="19" t="n">
        <f aca="false">IF('Все позиции'!E282="","",'Все позиции'!E282)</f>
        <v>1</v>
      </c>
      <c r="F197" s="20" t="n">
        <f aca="false">IF('Все позиции'!F282="","",'Все позиции'!F282)</f>
        <v>1020</v>
      </c>
      <c r="G197" s="19" t="n">
        <f aca="false">IF('Все позиции'!H282="","",'Все позиции'!H282)</f>
        <v>1</v>
      </c>
      <c r="H197" s="20" t="n">
        <f aca="false">IF('Все позиции'!L282="","",'Все позиции'!L282)</f>
        <v>855</v>
      </c>
      <c r="I197" s="21" t="n">
        <f aca="false">IF('Все позиции'!O282="","",'Все позиции'!O282)</f>
        <v>-0.161764705882353</v>
      </c>
      <c r="J197" s="20" t="n">
        <f aca="false">IF('Все позиции'!G282="","",'Все позиции'!G282)</f>
        <v>1020</v>
      </c>
      <c r="K197" s="20" t="n">
        <f aca="false">IF('Все позиции'!M282="","",'Все позиции'!M282)</f>
        <v>855</v>
      </c>
      <c r="L197" s="22" t="n">
        <f aca="false">IF('Все позиции'!N282="","",'Все позиции'!N282)</f>
        <v>-165</v>
      </c>
      <c r="M197" s="17" t="str">
        <f aca="false">IF('Все позиции'!P282="","",'Все позиции'!P282)</f>
        <v>Цена снижена</v>
      </c>
      <c r="N197" s="18" t="str">
        <f aca="false">IF('Все позиции'!Q282="","",'Все позиции'!Q282)</f>
        <v>по договру</v>
      </c>
      <c r="O197" s="18" t="str">
        <f aca="false">IF('Все позиции'!R282="","",'Все позиции'!R282)</f>
        <v/>
      </c>
    </row>
    <row r="198" customFormat="false" ht="26.85" hidden="false" customHeight="false" outlineLevel="0" collapsed="false">
      <c r="A198" s="17" t="str">
        <f aca="false">IF('Все позиции'!A293="","",'Все позиции'!A293)</f>
        <v>6. Вентиляция 2 этаж</v>
      </c>
      <c r="B198" s="17" t="str">
        <f aca="false">IF('Все позиции'!B293="","",'Все позиции'!B293)</f>
        <v>6.53</v>
      </c>
      <c r="C198" s="18" t="str">
        <f aca="false">IF('Все позиции'!C293="","",'Все позиции'!C293)</f>
        <v>Врезка-седло из оцинкованной стали толщиной 0,6мм, класса «В», Ø250/Ø100</v>
      </c>
      <c r="D198" s="17" t="str">
        <f aca="false">IF('Все позиции'!D293="","",'Все позиции'!D293)</f>
        <v>шт.</v>
      </c>
      <c r="E198" s="19" t="n">
        <f aca="false">IF('Все позиции'!E293="","",'Все позиции'!E293)</f>
        <v>1</v>
      </c>
      <c r="F198" s="20" t="n">
        <f aca="false">IF('Все позиции'!F293="","",'Все позиции'!F293)</f>
        <v>1020</v>
      </c>
      <c r="G198" s="19" t="n">
        <f aca="false">IF('Все позиции'!H293="","",'Все позиции'!H293)</f>
        <v>1</v>
      </c>
      <c r="H198" s="20" t="n">
        <f aca="false">IF('Все позиции'!L293="","",'Все позиции'!L293)</f>
        <v>855</v>
      </c>
      <c r="I198" s="21" t="n">
        <f aca="false">IF('Все позиции'!O293="","",'Все позиции'!O293)</f>
        <v>-0.161764705882353</v>
      </c>
      <c r="J198" s="20" t="n">
        <f aca="false">IF('Все позиции'!G293="","",'Все позиции'!G293)</f>
        <v>1020</v>
      </c>
      <c r="K198" s="20" t="n">
        <f aca="false">IF('Все позиции'!M293="","",'Все позиции'!M293)</f>
        <v>855</v>
      </c>
      <c r="L198" s="22" t="n">
        <f aca="false">IF('Все позиции'!N293="","",'Все позиции'!N293)</f>
        <v>-165</v>
      </c>
      <c r="M198" s="17" t="str">
        <f aca="false">IF('Все позиции'!P293="","",'Все позиции'!P293)</f>
        <v>Цена снижена</v>
      </c>
      <c r="N198" s="18" t="str">
        <f aca="false">IF('Все позиции'!Q293="","",'Все позиции'!Q293)</f>
        <v>по договру</v>
      </c>
      <c r="O198" s="18" t="str">
        <f aca="false">IF('Все позиции'!R293="","",'Все позиции'!R293)</f>
        <v/>
      </c>
    </row>
    <row r="199" customFormat="false" ht="26.85" hidden="false" customHeight="false" outlineLevel="0" collapsed="false">
      <c r="A199" s="17" t="str">
        <f aca="false">IF('Все позиции'!A296="","",'Все позиции'!A296)</f>
        <v>6. Вентиляция 2 этаж</v>
      </c>
      <c r="B199" s="17" t="str">
        <f aca="false">IF('Все позиции'!B296="","",'Все позиции'!B296)</f>
        <v>6.56</v>
      </c>
      <c r="C199" s="18" t="str">
        <f aca="false">IF('Все позиции'!C296="","",'Все позиции'!C296)</f>
        <v>Переход из оцинкованной стали толщиной 0,6мм, класса «В», Ø250/Ø200</v>
      </c>
      <c r="D199" s="17" t="str">
        <f aca="false">IF('Все позиции'!D296="","",'Все позиции'!D296)</f>
        <v>шт.</v>
      </c>
      <c r="E199" s="19" t="n">
        <f aca="false">IF('Все позиции'!E296="","",'Все позиции'!E296)</f>
        <v>1</v>
      </c>
      <c r="F199" s="20" t="n">
        <f aca="false">IF('Все позиции'!F296="","",'Все позиции'!F296)</f>
        <v>1020</v>
      </c>
      <c r="G199" s="19" t="n">
        <f aca="false">IF('Все позиции'!H296="","",'Все позиции'!H296)</f>
        <v>1</v>
      </c>
      <c r="H199" s="20" t="n">
        <f aca="false">IF('Все позиции'!L296="","",'Все позиции'!L296)</f>
        <v>855</v>
      </c>
      <c r="I199" s="21" t="n">
        <f aca="false">IF('Все позиции'!O296="","",'Все позиции'!O296)</f>
        <v>-0.161764705882353</v>
      </c>
      <c r="J199" s="20" t="n">
        <f aca="false">IF('Все позиции'!G296="","",'Все позиции'!G296)</f>
        <v>1020</v>
      </c>
      <c r="K199" s="20" t="n">
        <f aca="false">IF('Все позиции'!M296="","",'Все позиции'!M296)</f>
        <v>855</v>
      </c>
      <c r="L199" s="22" t="n">
        <f aca="false">IF('Все позиции'!N296="","",'Все позиции'!N296)</f>
        <v>-165</v>
      </c>
      <c r="M199" s="17" t="str">
        <f aca="false">IF('Все позиции'!P296="","",'Все позиции'!P296)</f>
        <v>Цена снижена</v>
      </c>
      <c r="N199" s="18" t="str">
        <f aca="false">IF('Все позиции'!Q296="","",'Все позиции'!Q296)</f>
        <v>по договру</v>
      </c>
      <c r="O199" s="18" t="str">
        <f aca="false">IF('Все позиции'!R296="","",'Все позиции'!R296)</f>
        <v/>
      </c>
    </row>
    <row r="200" customFormat="false" ht="15" hidden="false" customHeight="false" outlineLevel="0" collapsed="false">
      <c r="A200" s="17" t="str">
        <f aca="false">IF('Все позиции'!A119="","",'Все позиции'!A119)</f>
        <v>4. Вентиляция 10 этаж</v>
      </c>
      <c r="B200" s="17" t="str">
        <f aca="false">IF('Все позиции'!B119="","",'Все позиции'!B119)</f>
        <v>4.6</v>
      </c>
      <c r="C200" s="18" t="str">
        <f aca="false">IF('Все позиции'!C119="","",'Все позиции'!C119)</f>
        <v>Решетка щелевая, 1000мм ЛРЩ 22-1-1000-У2</v>
      </c>
      <c r="D200" s="17" t="str">
        <f aca="false">IF('Все позиции'!D119="","",'Все позиции'!D119)</f>
        <v>шт.</v>
      </c>
      <c r="E200" s="19" t="n">
        <f aca="false">IF('Все позиции'!E119="","",'Все позиции'!E119)</f>
        <v>2</v>
      </c>
      <c r="F200" s="20" t="n">
        <f aca="false">IF('Все позиции'!F119="","",'Все позиции'!F119)</f>
        <v>4050</v>
      </c>
      <c r="G200" s="19" t="n">
        <f aca="false">IF('Все позиции'!H119="","",'Все позиции'!H119)</f>
        <v>2</v>
      </c>
      <c r="H200" s="20" t="n">
        <f aca="false">IF('Все позиции'!L119="","",'Все позиции'!L119)</f>
        <v>4000</v>
      </c>
      <c r="I200" s="21" t="n">
        <f aca="false">IF('Все позиции'!O119="","",'Все позиции'!O119)</f>
        <v>-0.0123456790123457</v>
      </c>
      <c r="J200" s="20" t="n">
        <f aca="false">IF('Все позиции'!G119="","",'Все позиции'!G119)</f>
        <v>8100</v>
      </c>
      <c r="K200" s="20" t="n">
        <f aca="false">IF('Все позиции'!M119="","",'Все позиции'!M119)</f>
        <v>8000</v>
      </c>
      <c r="L200" s="22" t="n">
        <f aca="false">IF('Все позиции'!N119="","",'Все позиции'!N119)</f>
        <v>-100</v>
      </c>
      <c r="M200" s="17" t="str">
        <f aca="false">IF('Все позиции'!P119="","",'Все позиции'!P119)</f>
        <v>Цена снижена</v>
      </c>
      <c r="N200" s="18" t="str">
        <f aca="false">IF('Все позиции'!Q119="","",'Все позиции'!Q119)</f>
        <v>по договору</v>
      </c>
      <c r="O200" s="18" t="str">
        <f aca="false">IF('Все позиции'!R119="","",'Все позиции'!R119)</f>
        <v/>
      </c>
    </row>
    <row r="201" customFormat="false" ht="15" hidden="false" customHeight="false" outlineLevel="0" collapsed="false">
      <c r="A201" s="17" t="str">
        <f aca="false">IF('Все позиции'!A127="","",'Все позиции'!A127)</f>
        <v>4. Вентиляция 10 этаж</v>
      </c>
      <c r="B201" s="17" t="str">
        <f aca="false">IF('Все позиции'!B127="","",'Все позиции'!B127)</f>
        <v>4.14</v>
      </c>
      <c r="C201" s="18" t="str">
        <f aca="false">IF('Все позиции'!C127="","",'Все позиции'!C127)</f>
        <v>Регулятор расхода воздуха, Ø100 квк100</v>
      </c>
      <c r="D201" s="17" t="str">
        <f aca="false">IF('Все позиции'!D127="","",'Все позиции'!D127)</f>
        <v>шт.</v>
      </c>
      <c r="E201" s="19" t="n">
        <f aca="false">IF('Все позиции'!E127="","",'Все позиции'!E127)</f>
        <v>1</v>
      </c>
      <c r="F201" s="20" t="n">
        <f aca="false">IF('Все позиции'!F127="","",'Все позиции'!F127)</f>
        <v>1020</v>
      </c>
      <c r="G201" s="19" t="n">
        <f aca="false">IF('Все позиции'!H127="","",'Все позиции'!H127)</f>
        <v>1</v>
      </c>
      <c r="H201" s="20" t="n">
        <f aca="false">IF('Все позиции'!L127="","",'Все позиции'!L127)</f>
        <v>950</v>
      </c>
      <c r="I201" s="21" t="n">
        <f aca="false">IF('Все позиции'!O127="","",'Все позиции'!O127)</f>
        <v>-0.0686274509803921</v>
      </c>
      <c r="J201" s="20" t="n">
        <f aca="false">IF('Все позиции'!G127="","",'Все позиции'!G127)</f>
        <v>1020</v>
      </c>
      <c r="K201" s="20" t="n">
        <f aca="false">IF('Все позиции'!M127="","",'Все позиции'!M127)</f>
        <v>950</v>
      </c>
      <c r="L201" s="22" t="n">
        <f aca="false">IF('Все позиции'!N127="","",'Все позиции'!N127)</f>
        <v>-70</v>
      </c>
      <c r="M201" s="17" t="str">
        <f aca="false">IF('Все позиции'!P127="","",'Все позиции'!P127)</f>
        <v>Цена снижена</v>
      </c>
      <c r="N201" s="18" t="str">
        <f aca="false">IF('Все позиции'!Q127="","",'Все позиции'!Q127)</f>
        <v>по договору</v>
      </c>
      <c r="O201" s="18" t="str">
        <f aca="false">IF('Все позиции'!R127="","",'Все позиции'!R127)</f>
        <v/>
      </c>
    </row>
    <row r="202" customFormat="false" ht="26.85" hidden="false" customHeight="false" outlineLevel="0" collapsed="false">
      <c r="A202" s="17" t="str">
        <f aca="false">IF('Все позиции'!A167="","",'Все позиции'!A167)</f>
        <v>4. Вентиляция 10 этаж</v>
      </c>
      <c r="B202" s="17" t="str">
        <f aca="false">IF('Все позиции'!B167="","",'Все позиции'!B167)</f>
        <v>4.54</v>
      </c>
      <c r="C202" s="18" t="str">
        <f aca="false">IF('Все позиции'!C167="","",'Все позиции'!C167)</f>
        <v>Отвод 900 из оцинкованной стали толщиной 0,7мм, класса «В», 600x250</v>
      </c>
      <c r="D202" s="17" t="str">
        <f aca="false">IF('Все позиции'!D167="","",'Все позиции'!D167)</f>
        <v>шт.</v>
      </c>
      <c r="E202" s="19" t="n">
        <f aca="false">IF('Все позиции'!E167="","",'Все позиции'!E167)</f>
        <v>1</v>
      </c>
      <c r="F202" s="20" t="n">
        <f aca="false">IF('Все позиции'!F167="","",'Все позиции'!F167)</f>
        <v>2268</v>
      </c>
      <c r="G202" s="19" t="n">
        <f aca="false">IF('Все позиции'!H167="","",'Все позиции'!H167)</f>
        <v>1</v>
      </c>
      <c r="H202" s="20" t="n">
        <f aca="false">IF('Все позиции'!L167="","",'Все позиции'!L167)</f>
        <v>2210</v>
      </c>
      <c r="I202" s="21" t="n">
        <f aca="false">IF('Все позиции'!O167="","",'Все позиции'!O167)</f>
        <v>-0.0255731922398589</v>
      </c>
      <c r="J202" s="20" t="n">
        <f aca="false">IF('Все позиции'!G167="","",'Все позиции'!G167)</f>
        <v>2268</v>
      </c>
      <c r="K202" s="20" t="n">
        <f aca="false">IF('Все позиции'!M167="","",'Все позиции'!M167)</f>
        <v>2210</v>
      </c>
      <c r="L202" s="22" t="n">
        <f aca="false">IF('Все позиции'!N167="","",'Все позиции'!N167)</f>
        <v>-58</v>
      </c>
      <c r="M202" s="17" t="str">
        <f aca="false">IF('Все позиции'!P167="","",'Все позиции'!P167)</f>
        <v>Цена снижена</v>
      </c>
      <c r="N202" s="18" t="str">
        <f aca="false">IF('Все позиции'!Q167="","",'Все позиции'!Q167)</f>
        <v/>
      </c>
      <c r="O202" s="18" t="str">
        <f aca="false">IF('Все позиции'!R167="","",'Все позиции'!R167)</f>
        <v/>
      </c>
    </row>
    <row r="203" customFormat="false" ht="26.85" hidden="false" customHeight="false" outlineLevel="0" collapsed="false">
      <c r="A203" s="29" t="str">
        <f aca="false">IF('Все позиции'!A157="","",'Все позиции'!A157)</f>
        <v>4. Вентиляция 10 этаж</v>
      </c>
      <c r="B203" s="29" t="str">
        <f aca="false">IF('Все позиции'!B157="","",'Все позиции'!B157)</f>
        <v>4.44</v>
      </c>
      <c r="C203" s="30" t="str">
        <f aca="false">IF('Все позиции'!C157="","",'Все позиции'!C157)</f>
        <v>Отвод 600 из оцинкованной стали толщиной 0,7мм, класса «В», 600x200</v>
      </c>
      <c r="D203" s="29" t="str">
        <f aca="false">IF('Все позиции'!D157="","",'Все позиции'!D157)</f>
        <v>шт.</v>
      </c>
      <c r="E203" s="31" t="n">
        <f aca="false">IF('Все позиции'!E157="","",'Все позиции'!E157)</f>
        <v>1</v>
      </c>
      <c r="F203" s="32" t="n">
        <f aca="false">IF('Все позиции'!F157="","",'Все позиции'!F157)</f>
        <v>1944</v>
      </c>
      <c r="G203" s="31" t="n">
        <f aca="false">IF('Все позиции'!H157="","",'Все позиции'!H157)</f>
        <v>1</v>
      </c>
      <c r="H203" s="32" t="n">
        <f aca="false">IF('Все позиции'!L157="","",'Все позиции'!L157)</f>
        <v>2040</v>
      </c>
      <c r="I203" s="33" t="n">
        <f aca="false">IF('Все позиции'!O157="","",'Все позиции'!O157)</f>
        <v>0.0493827160493827</v>
      </c>
      <c r="J203" s="32" t="n">
        <f aca="false">IF('Все позиции'!G157="","",'Все позиции'!G157)</f>
        <v>1944</v>
      </c>
      <c r="K203" s="32" t="n">
        <f aca="false">IF('Все позиции'!M157="","",'Все позиции'!M157)</f>
        <v>2040</v>
      </c>
      <c r="L203" s="34" t="n">
        <f aca="false">IF('Все позиции'!N157="","",'Все позиции'!N157)</f>
        <v>96</v>
      </c>
      <c r="M203" s="29" t="str">
        <f aca="false">IF('Все позиции'!P157="","",'Все позиции'!P157)</f>
        <v>Цена повышена</v>
      </c>
      <c r="N203" s="30" t="str">
        <f aca="false">IF('Все позиции'!Q157="","",'Все позиции'!Q157)</f>
        <v/>
      </c>
      <c r="O203" s="30" t="str">
        <f aca="false">IF('Все позиции'!R157="","",'Все позиции'!R157)</f>
        <v/>
      </c>
    </row>
    <row r="204" customFormat="false" ht="26.85" hidden="false" customHeight="false" outlineLevel="0" collapsed="false">
      <c r="A204" s="29" t="str">
        <f aca="false">IF('Все позиции'!A287="","",'Все позиции'!A287)</f>
        <v>6. Вентиляция 2 этаж</v>
      </c>
      <c r="B204" s="29" t="str">
        <f aca="false">IF('Все позиции'!B287="","",'Все позиции'!B287)</f>
        <v>6.47</v>
      </c>
      <c r="C204" s="30" t="str">
        <f aca="false">IF('Все позиции'!C287="","",'Все позиции'!C287)</f>
        <v>Отвод 900 из оцинкованной стали толщиной 0,7мм, класса «В», 600x250</v>
      </c>
      <c r="D204" s="29" t="str">
        <f aca="false">IF('Все позиции'!D287="","",'Все позиции'!D287)</f>
        <v>шт.</v>
      </c>
      <c r="E204" s="31" t="n">
        <f aca="false">IF('Все позиции'!E287="","",'Все позиции'!E287)</f>
        <v>4</v>
      </c>
      <c r="F204" s="32" t="n">
        <f aca="false">IF('Все позиции'!F287="","",'Все позиции'!F287)</f>
        <v>2106</v>
      </c>
      <c r="G204" s="31" t="n">
        <f aca="false">IF('Все позиции'!H287="","",'Все позиции'!H287)</f>
        <v>4</v>
      </c>
      <c r="H204" s="32" t="n">
        <f aca="false">IF('Все позиции'!L287="","",'Все позиции'!L287)</f>
        <v>2210</v>
      </c>
      <c r="I204" s="33" t="n">
        <f aca="false">IF('Все позиции'!O287="","",'Все позиции'!O287)</f>
        <v>0.0493827160493827</v>
      </c>
      <c r="J204" s="32" t="n">
        <f aca="false">IF('Все позиции'!G287="","",'Все позиции'!G287)</f>
        <v>8424</v>
      </c>
      <c r="K204" s="32" t="n">
        <f aca="false">IF('Все позиции'!M287="","",'Все позиции'!M287)</f>
        <v>8840</v>
      </c>
      <c r="L204" s="34" t="n">
        <f aca="false">IF('Все позиции'!N287="","",'Все позиции'!N287)</f>
        <v>416</v>
      </c>
      <c r="M204" s="29" t="str">
        <f aca="false">IF('Все позиции'!P287="","",'Все позиции'!P287)</f>
        <v>Цена повышена</v>
      </c>
      <c r="N204" s="30" t="str">
        <f aca="false">IF('Все позиции'!Q287="","",'Все позиции'!Q287)</f>
        <v/>
      </c>
      <c r="O204" s="30" t="str">
        <f aca="false">IF('Все позиции'!R287="","",'Все позиции'!R287)</f>
        <v/>
      </c>
    </row>
    <row r="205" customFormat="false" ht="26.85" hidden="false" customHeight="false" outlineLevel="0" collapsed="false">
      <c r="A205" s="29" t="str">
        <f aca="false">IF('Все позиции'!A168="","",'Все позиции'!A168)</f>
        <v>4. Вентиляция 10 этаж</v>
      </c>
      <c r="B205" s="29" t="str">
        <f aca="false">IF('Все позиции'!B168="","",'Все позиции'!B168)</f>
        <v>4.55</v>
      </c>
      <c r="C205" s="30" t="str">
        <f aca="false">IF('Все позиции'!C168="","",'Все позиции'!C168)</f>
        <v>Отвод 900 из оцинкованной стали толщиной 0,7мм, класса «В», 700x250</v>
      </c>
      <c r="D205" s="29" t="str">
        <f aca="false">IF('Все позиции'!D168="","",'Все позиции'!D168)</f>
        <v>шт.</v>
      </c>
      <c r="E205" s="31" t="n">
        <f aca="false">IF('Все позиции'!E168="","",'Все позиции'!E168)</f>
        <v>4</v>
      </c>
      <c r="F205" s="32" t="n">
        <f aca="false">IF('Все позиции'!F168="","",'Все позиции'!F168)</f>
        <v>2592</v>
      </c>
      <c r="G205" s="31" t="n">
        <f aca="false">IF('Все позиции'!H168="","",'Все позиции'!H168)</f>
        <v>4</v>
      </c>
      <c r="H205" s="32" t="n">
        <f aca="false">IF('Все позиции'!L168="","",'Все позиции'!L168)</f>
        <v>2720</v>
      </c>
      <c r="I205" s="33" t="n">
        <f aca="false">IF('Все позиции'!O168="","",'Все позиции'!O168)</f>
        <v>0.0493827160493827</v>
      </c>
      <c r="J205" s="32" t="n">
        <f aca="false">IF('Все позиции'!G168="","",'Все позиции'!G168)</f>
        <v>10368</v>
      </c>
      <c r="K205" s="32" t="n">
        <f aca="false">IF('Все позиции'!M168="","",'Все позиции'!M168)</f>
        <v>10880</v>
      </c>
      <c r="L205" s="34" t="n">
        <f aca="false">IF('Все позиции'!N168="","",'Все позиции'!N168)</f>
        <v>512</v>
      </c>
      <c r="M205" s="29" t="str">
        <f aca="false">IF('Все позиции'!P168="","",'Все позиции'!P168)</f>
        <v>Цена повышена</v>
      </c>
      <c r="N205" s="30" t="str">
        <f aca="false">IF('Все позиции'!Q168="","",'Все позиции'!Q168)</f>
        <v/>
      </c>
      <c r="O205" s="30" t="str">
        <f aca="false">IF('Все позиции'!R168="","",'Все позиции'!R168)</f>
        <v/>
      </c>
    </row>
    <row r="206" customFormat="false" ht="15" hidden="false" customHeight="false" outlineLevel="0" collapsed="false">
      <c r="C206" s="35" t="s">
        <v>53</v>
      </c>
      <c r="J206" s="36" t="n">
        <f aca="false">SUM(J4:J205)</f>
        <v>12669858.18</v>
      </c>
      <c r="K206" s="36" t="n">
        <f aca="false">SUM(K4:K205)</f>
        <v>6078801.18</v>
      </c>
      <c r="L206" s="36" t="n">
        <f aca="false">SUM(L4:L205)</f>
        <v>-6591057</v>
      </c>
    </row>
  </sheetData>
  <autoFilter ref="A3:O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6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3" customFormat="false" ht="15" hidden="false" customHeight="false" outlineLevel="0" collapsed="false">
      <c r="A3" s="12" t="s">
        <v>56</v>
      </c>
      <c r="B3" s="12" t="s">
        <v>57</v>
      </c>
      <c r="C3" s="12" t="s">
        <v>58</v>
      </c>
      <c r="D3" s="12" t="s">
        <v>59</v>
      </c>
      <c r="E3" s="12" t="s">
        <v>60</v>
      </c>
    </row>
    <row r="4" customFormat="false" ht="52.2" hidden="false" customHeight="false" outlineLevel="0" collapsed="false">
      <c r="A4" s="30" t="s">
        <v>61</v>
      </c>
      <c r="B4" s="37" t="s">
        <v>62</v>
      </c>
      <c r="C4" s="37" t="s">
        <v>63</v>
      </c>
      <c r="D4" s="37" t="s">
        <v>64</v>
      </c>
      <c r="E4" s="38" t="n">
        <f aca="false">'Все позиции'!G238+'Все позиции'!G311+'Все позиции'!G322+'Все позиции'!G328+'Все позиции'!G329+'Все позиции'!G330</f>
        <v>1151370</v>
      </c>
    </row>
    <row r="5" customFormat="false" ht="39.55" hidden="false" customHeight="false" outlineLevel="0" collapsed="false">
      <c r="A5" s="30" t="s">
        <v>61</v>
      </c>
      <c r="B5" s="37" t="s">
        <v>65</v>
      </c>
      <c r="C5" s="37" t="s">
        <v>66</v>
      </c>
      <c r="D5" s="37" t="s">
        <v>67</v>
      </c>
      <c r="E5" s="38" t="n">
        <f aca="false">-('Все позиции'!N241+'Все позиции'!N242+'Все позиции'!N243)</f>
        <v>48296.18</v>
      </c>
    </row>
    <row r="6" customFormat="false" ht="26.85" hidden="false" customHeight="false" outlineLevel="0" collapsed="false">
      <c r="A6" s="30" t="s">
        <v>61</v>
      </c>
      <c r="B6" s="37" t="s">
        <v>68</v>
      </c>
      <c r="C6" s="37" t="s">
        <v>69</v>
      </c>
      <c r="D6" s="37" t="s">
        <v>70</v>
      </c>
      <c r="E6" s="38" t="n">
        <f aca="false">'Все позиции'!H189*(630-'Все позиции'!L189)+'Все позиции'!H190*(630-'Все позиции'!L190)+'Все позиции'!H191*(630-'Все позиции'!L191)+'Все позиции'!H192*(630-'Все позиции'!L192)+'Все позиции'!H305*(630-'Все позиции'!L305)+'Все позиции'!H306*(630-'Все позиции'!L306)+'Все позиции'!H307*(630-'Все позиции'!L307)+'Все позиции'!H308*(630-'Все позиции'!L308)</f>
        <v>24960</v>
      </c>
    </row>
    <row r="7" customFormat="false" ht="39.55" hidden="false" customHeight="false" outlineLevel="0" collapsed="false">
      <c r="A7" s="30" t="s">
        <v>61</v>
      </c>
      <c r="B7" s="37" t="s">
        <v>71</v>
      </c>
      <c r="C7" s="37" t="s">
        <v>72</v>
      </c>
      <c r="D7" s="37" t="s">
        <v>73</v>
      </c>
      <c r="E7" s="38" t="n">
        <f aca="false">'Все позиции'!H169*(855-'Все позиции'!L169)+'Все позиции'!H170*(855-'Все позиции'!L170)+'Все позиции'!H171*(855-'Все позиции'!L171)+'Все позиции'!H172*(855-'Все позиции'!L172)+'Все позиции'!H173*(855-'Все позиции'!L173)+'Все позиции'!H174*(855-'Все позиции'!L174)+'Все позиции'!H175*(855-'Все позиции'!L175)+'Все позиции'!H176*(855-'Все позиции'!L176)+'Все позиции'!H177*(855-'Все позиции'!L177)+'Все позиции'!H178*(855-'Все позиции'!L178)+'Все позиции'!H179*(855-'Все позиции'!L179)</f>
        <v>18775</v>
      </c>
    </row>
    <row r="8" customFormat="false" ht="26.85" hidden="false" customHeight="false" outlineLevel="0" collapsed="false">
      <c r="A8" s="30" t="s">
        <v>61</v>
      </c>
      <c r="B8" s="37" t="s">
        <v>74</v>
      </c>
      <c r="C8" s="37" t="s">
        <v>75</v>
      </c>
      <c r="D8" s="37" t="s">
        <v>76</v>
      </c>
      <c r="E8" s="38" t="n">
        <f aca="false">'Все позиции'!H195*(800-'Все позиции'!L195)+'Все позиции'!H196*(800-'Все позиции'!L196)</f>
        <v>27135</v>
      </c>
    </row>
    <row r="9" customFormat="false" ht="15" hidden="false" customHeight="false" outlineLevel="0" collapsed="false">
      <c r="A9" s="30" t="s">
        <v>61</v>
      </c>
      <c r="B9" s="37" t="s">
        <v>77</v>
      </c>
      <c r="C9" s="37" t="s">
        <v>78</v>
      </c>
      <c r="D9" s="37" t="s">
        <v>79</v>
      </c>
      <c r="E9" s="38" t="n">
        <f aca="false">'Все позиции'!H265*(855-'Все позиции'!L265)</f>
        <v>1030</v>
      </c>
    </row>
    <row r="10" customFormat="false" ht="26.85" hidden="false" customHeight="false" outlineLevel="0" collapsed="false">
      <c r="A10" s="30" t="s">
        <v>61</v>
      </c>
      <c r="B10" s="37" t="s">
        <v>80</v>
      </c>
      <c r="C10" s="37" t="s">
        <v>81</v>
      </c>
      <c r="D10" s="37" t="s">
        <v>82</v>
      </c>
      <c r="E10" s="38" t="n">
        <f aca="false">'Все позиции'!H304*(855-'Все позиции'!L304)</f>
        <v>970</v>
      </c>
    </row>
    <row r="11" customFormat="false" ht="26.85" hidden="false" customHeight="false" outlineLevel="0" collapsed="false">
      <c r="A11" s="24" t="s">
        <v>83</v>
      </c>
      <c r="B11" s="37" t="s">
        <v>84</v>
      </c>
      <c r="C11" s="37" t="s">
        <v>85</v>
      </c>
      <c r="D11" s="37" t="s">
        <v>86</v>
      </c>
      <c r="E11" s="38" t="n">
        <f aca="false">'Все позиции'!G199+'Все позиции'!G200+'Все позиции'!G201+'Все позиции'!G202+'Все позиции'!G316+'Все позиции'!G317+'Все позиции'!G318+'Все позиции'!G319</f>
        <v>1028480</v>
      </c>
    </row>
    <row r="12" customFormat="false" ht="39.55" hidden="false" customHeight="false" outlineLevel="0" collapsed="false">
      <c r="A12" s="39" t="s">
        <v>87</v>
      </c>
      <c r="B12" s="37" t="s">
        <v>88</v>
      </c>
      <c r="C12" s="37" t="s">
        <v>89</v>
      </c>
      <c r="D12" s="37" t="s">
        <v>90</v>
      </c>
      <c r="E12" s="38" t="n">
        <f aca="false">('Все позиции'!N37+'Все позиции'!N48+'Все позиции'!N49+'Все позиции'!N76+'Все позиции'!N77+'Все позиции'!N241+'Все позиции'!N242+'Все позиции'!N243+'Все позиции'!N327)</f>
        <v>-452611.16</v>
      </c>
    </row>
    <row r="13" customFormat="false" ht="26.85" hidden="false" customHeight="false" outlineLevel="0" collapsed="false">
      <c r="A13" s="18" t="s">
        <v>91</v>
      </c>
      <c r="B13" s="37" t="s">
        <v>92</v>
      </c>
      <c r="C13" s="37" t="s">
        <v>93</v>
      </c>
      <c r="D13" s="37" t="s">
        <v>94</v>
      </c>
      <c r="E13" s="38" t="n">
        <f aca="false">-('Все позиции'!H325+'Все позиции'!H326)*50</f>
        <v>-3100</v>
      </c>
    </row>
    <row r="14" customFormat="false" ht="52.2" hidden="false" customHeight="false" outlineLevel="0" collapsed="false">
      <c r="A14" s="18" t="s">
        <v>91</v>
      </c>
      <c r="B14" s="37" t="s">
        <v>95</v>
      </c>
      <c r="C14" s="37" t="s">
        <v>96</v>
      </c>
      <c r="D14" s="37" t="s">
        <v>97</v>
      </c>
      <c r="E14" s="38" t="n">
        <f aca="false">-(('Все позиции'!H138+'Все позиции'!H257)*(862.23-689.79)+'Все позиции'!H139*(1077.79-862.23))</f>
        <v>-10648.32</v>
      </c>
    </row>
    <row r="15" customFormat="false" ht="26.85" hidden="false" customHeight="false" outlineLevel="0" collapsed="false">
      <c r="A15" s="18" t="s">
        <v>91</v>
      </c>
      <c r="B15" s="37" t="s">
        <v>98</v>
      </c>
      <c r="C15" s="37" t="s">
        <v>99</v>
      </c>
      <c r="D15" s="37" t="s">
        <v>100</v>
      </c>
      <c r="E15" s="38" t="n">
        <f aca="false">-('Все позиции'!H309*('Все позиции'!L309-450)+'Все позиции'!H310*('Все позиции'!L310-665))</f>
        <v>-3421</v>
      </c>
    </row>
    <row r="16" customFormat="false" ht="15" hidden="false" customHeight="false" outlineLevel="0" collapsed="false">
      <c r="D16" s="35" t="s">
        <v>101</v>
      </c>
      <c r="E16" s="36" t="n">
        <f aca="false">SUMIFS(E4:E15,A4:A15,"Потенциал")</f>
        <v>1272536.18</v>
      </c>
    </row>
    <row r="17" customFormat="false" ht="15" hidden="false" customHeight="false" outlineLevel="0" collapsed="false">
      <c r="D17" s="35" t="s">
        <v>102</v>
      </c>
      <c r="E17" s="36" t="n">
        <f aca="false">SUMIFS(E4:E15,A4:A15,"Риск")</f>
        <v>-17169.32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48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4" min="13" style="0" width="15"/>
    <col collapsed="false" customWidth="true" hidden="false" outlineLevel="0" max="15" min="15" style="0" width="10"/>
    <col collapsed="false" customWidth="true" hidden="false" outlineLevel="0" max="16" min="16" style="0" width="26"/>
    <col collapsed="false" customWidth="true" hidden="false" outlineLevel="0" max="17" min="17" style="0" width="40"/>
    <col collapsed="false" customWidth="true" hidden="false" outlineLevel="0" max="18" min="18" style="0" width="45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3" customFormat="false" ht="72" hidden="false" customHeight="true" outlineLevel="0" collapsed="false">
      <c r="A3" s="12" t="s">
        <v>10</v>
      </c>
      <c r="B3" s="12" t="s">
        <v>41</v>
      </c>
      <c r="C3" s="12" t="s">
        <v>42</v>
      </c>
      <c r="D3" s="12" t="s">
        <v>43</v>
      </c>
      <c r="E3" s="12" t="s">
        <v>105</v>
      </c>
      <c r="F3" s="12" t="s">
        <v>106</v>
      </c>
      <c r="G3" s="12" t="s">
        <v>107</v>
      </c>
      <c r="H3" s="12" t="s">
        <v>108</v>
      </c>
      <c r="I3" s="12" t="s">
        <v>109</v>
      </c>
      <c r="J3" s="12" t="s">
        <v>110</v>
      </c>
      <c r="K3" s="12" t="s">
        <v>111</v>
      </c>
      <c r="L3" s="12" t="s">
        <v>112</v>
      </c>
      <c r="M3" s="12" t="s">
        <v>113</v>
      </c>
      <c r="N3" s="12" t="s">
        <v>114</v>
      </c>
      <c r="O3" s="12" t="s">
        <v>115</v>
      </c>
      <c r="P3" s="12" t="s">
        <v>27</v>
      </c>
      <c r="Q3" s="12" t="s">
        <v>51</v>
      </c>
      <c r="R3" s="12" t="s">
        <v>116</v>
      </c>
    </row>
    <row r="4" customFormat="false" ht="15" hidden="false" customHeight="false" outlineLevel="0" collapsed="false">
      <c r="A4" s="40"/>
      <c r="B4" s="41" t="s">
        <v>16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customFormat="false" ht="15" hidden="false" customHeight="false" outlineLevel="0" collapsed="false">
      <c r="A5" s="42" t="s">
        <v>16</v>
      </c>
      <c r="B5" s="42" t="s">
        <v>117</v>
      </c>
      <c r="C5" s="37" t="s">
        <v>118</v>
      </c>
      <c r="D5" s="42" t="s">
        <v>119</v>
      </c>
      <c r="E5" s="43" t="n">
        <v>72</v>
      </c>
      <c r="F5" s="44" t="n">
        <v>600</v>
      </c>
      <c r="G5" s="44" t="n">
        <f aca="false">E5*F5</f>
        <v>43200</v>
      </c>
      <c r="H5" s="43" t="n">
        <v>72</v>
      </c>
      <c r="I5" s="44" t="n">
        <v>600</v>
      </c>
      <c r="J5" s="44" t="n">
        <f aca="false">H5*I5</f>
        <v>43200</v>
      </c>
      <c r="K5" s="44"/>
      <c r="L5" s="44" t="n">
        <f aca="false">IF(K5&lt;&gt;"",K5,I5)</f>
        <v>600</v>
      </c>
      <c r="M5" s="44" t="n">
        <f aca="false">H5*L5</f>
        <v>43200</v>
      </c>
      <c r="N5" s="45" t="n">
        <f aca="false">M5-G5</f>
        <v>0</v>
      </c>
      <c r="O5" s="46" t="n">
        <f aca="false">IF(F5&gt;0,L5/F5-1,"")</f>
        <v>0</v>
      </c>
      <c r="P5" s="37" t="s">
        <v>37</v>
      </c>
      <c r="Q5" s="37"/>
      <c r="R5" s="37"/>
    </row>
    <row r="6" customFormat="false" ht="15" hidden="false" customHeight="false" outlineLevel="0" collapsed="false">
      <c r="A6" s="42" t="s">
        <v>16</v>
      </c>
      <c r="B6" s="42" t="s">
        <v>120</v>
      </c>
      <c r="C6" s="37" t="s">
        <v>121</v>
      </c>
      <c r="D6" s="42" t="s">
        <v>119</v>
      </c>
      <c r="E6" s="43" t="n">
        <v>0</v>
      </c>
      <c r="F6" s="44" t="n">
        <v>0</v>
      </c>
      <c r="G6" s="44" t="n">
        <f aca="false">E6*F6</f>
        <v>0</v>
      </c>
      <c r="H6" s="43" t="n">
        <v>0</v>
      </c>
      <c r="I6" s="44"/>
      <c r="J6" s="44" t="n">
        <f aca="false">H6*I6</f>
        <v>0</v>
      </c>
      <c r="K6" s="44"/>
      <c r="L6" s="44" t="n">
        <f aca="false">IF(K6&lt;&gt;"",K6,I6)</f>
        <v>0</v>
      </c>
      <c r="M6" s="44" t="n">
        <f aca="false">H6*L6</f>
        <v>0</v>
      </c>
      <c r="N6" s="45" t="n">
        <f aca="false">M6-G6</f>
        <v>0</v>
      </c>
      <c r="O6" s="46" t="str">
        <f aca="false">IF(F6&gt;0,L6/F6-1,"")</f>
        <v/>
      </c>
      <c r="P6" s="37" t="s">
        <v>37</v>
      </c>
      <c r="Q6" s="37"/>
      <c r="R6" s="37"/>
    </row>
    <row r="7" customFormat="false" ht="15" hidden="false" customHeight="false" outlineLevel="0" collapsed="false">
      <c r="A7" s="42" t="s">
        <v>16</v>
      </c>
      <c r="B7" s="42" t="s">
        <v>122</v>
      </c>
      <c r="C7" s="37" t="s">
        <v>123</v>
      </c>
      <c r="D7" s="42" t="s">
        <v>119</v>
      </c>
      <c r="E7" s="43" t="n">
        <v>8</v>
      </c>
      <c r="F7" s="44" t="n">
        <v>600</v>
      </c>
      <c r="G7" s="44" t="n">
        <f aca="false">E7*F7</f>
        <v>4800</v>
      </c>
      <c r="H7" s="43" t="n">
        <v>8</v>
      </c>
      <c r="I7" s="44" t="n">
        <v>600</v>
      </c>
      <c r="J7" s="44" t="n">
        <f aca="false">H7*I7</f>
        <v>4800</v>
      </c>
      <c r="K7" s="44"/>
      <c r="L7" s="44" t="n">
        <f aca="false">IF(K7&lt;&gt;"",K7,I7)</f>
        <v>600</v>
      </c>
      <c r="M7" s="44" t="n">
        <f aca="false">H7*L7</f>
        <v>4800</v>
      </c>
      <c r="N7" s="45" t="n">
        <f aca="false">M7-G7</f>
        <v>0</v>
      </c>
      <c r="O7" s="46" t="n">
        <f aca="false">IF(F7&gt;0,L7/F7-1,"")</f>
        <v>0</v>
      </c>
      <c r="P7" s="37" t="s">
        <v>37</v>
      </c>
      <c r="Q7" s="37"/>
      <c r="R7" s="37"/>
    </row>
    <row r="8" customFormat="false" ht="26.85" hidden="false" customHeight="false" outlineLevel="0" collapsed="false">
      <c r="A8" s="42" t="s">
        <v>16</v>
      </c>
      <c r="B8" s="42" t="s">
        <v>124</v>
      </c>
      <c r="C8" s="37" t="s">
        <v>125</v>
      </c>
      <c r="D8" s="42" t="s">
        <v>119</v>
      </c>
      <c r="E8" s="43" t="n">
        <v>0</v>
      </c>
      <c r="F8" s="44" t="n">
        <v>0</v>
      </c>
      <c r="G8" s="44" t="n">
        <f aca="false">E8*F8</f>
        <v>0</v>
      </c>
      <c r="H8" s="43" t="n">
        <v>0</v>
      </c>
      <c r="I8" s="44"/>
      <c r="J8" s="44" t="n">
        <f aca="false">H8*I8</f>
        <v>0</v>
      </c>
      <c r="K8" s="44"/>
      <c r="L8" s="44" t="n">
        <f aca="false">IF(K8&lt;&gt;"",K8,I8)</f>
        <v>0</v>
      </c>
      <c r="M8" s="44" t="n">
        <f aca="false">H8*L8</f>
        <v>0</v>
      </c>
      <c r="N8" s="45" t="n">
        <f aca="false">M8-G8</f>
        <v>0</v>
      </c>
      <c r="O8" s="46" t="str">
        <f aca="false">IF(F8&gt;0,L8/F8-1,"")</f>
        <v/>
      </c>
      <c r="P8" s="37" t="s">
        <v>37</v>
      </c>
      <c r="Q8" s="37"/>
      <c r="R8" s="37"/>
    </row>
    <row r="9" customFormat="false" ht="15" hidden="false" customHeight="false" outlineLevel="0" collapsed="false">
      <c r="A9" s="42" t="s">
        <v>16</v>
      </c>
      <c r="B9" s="42" t="s">
        <v>126</v>
      </c>
      <c r="C9" s="37" t="s">
        <v>127</v>
      </c>
      <c r="D9" s="42" t="s">
        <v>119</v>
      </c>
      <c r="E9" s="43" t="n">
        <v>12</v>
      </c>
      <c r="F9" s="44" t="n">
        <v>950</v>
      </c>
      <c r="G9" s="44" t="n">
        <f aca="false">E9*F9</f>
        <v>11400</v>
      </c>
      <c r="H9" s="43" t="n">
        <v>12</v>
      </c>
      <c r="I9" s="44" t="n">
        <v>950</v>
      </c>
      <c r="J9" s="44" t="n">
        <f aca="false">H9*I9</f>
        <v>11400</v>
      </c>
      <c r="K9" s="44"/>
      <c r="L9" s="44" t="n">
        <f aca="false">IF(K9&lt;&gt;"",K9,I9)</f>
        <v>950</v>
      </c>
      <c r="M9" s="44" t="n">
        <f aca="false">H9*L9</f>
        <v>11400</v>
      </c>
      <c r="N9" s="45" t="n">
        <f aca="false">M9-G9</f>
        <v>0</v>
      </c>
      <c r="O9" s="46" t="n">
        <f aca="false">IF(F9&gt;0,L9/F9-1,"")</f>
        <v>0</v>
      </c>
      <c r="P9" s="37" t="s">
        <v>37</v>
      </c>
      <c r="Q9" s="37"/>
      <c r="R9" s="37"/>
    </row>
    <row r="10" customFormat="false" ht="15" hidden="false" customHeight="false" outlineLevel="0" collapsed="false">
      <c r="A10" s="42" t="s">
        <v>16</v>
      </c>
      <c r="B10" s="42" t="s">
        <v>128</v>
      </c>
      <c r="C10" s="37" t="s">
        <v>129</v>
      </c>
      <c r="D10" s="42" t="s">
        <v>119</v>
      </c>
      <c r="E10" s="43" t="n">
        <v>60</v>
      </c>
      <c r="F10" s="44" t="n">
        <v>950</v>
      </c>
      <c r="G10" s="44" t="n">
        <f aca="false">E10*F10</f>
        <v>57000</v>
      </c>
      <c r="H10" s="43" t="n">
        <v>60</v>
      </c>
      <c r="I10" s="44" t="n">
        <v>950</v>
      </c>
      <c r="J10" s="44" t="n">
        <f aca="false">H10*I10</f>
        <v>57000</v>
      </c>
      <c r="K10" s="44"/>
      <c r="L10" s="44" t="n">
        <f aca="false">IF(K10&lt;&gt;"",K10,I10)</f>
        <v>950</v>
      </c>
      <c r="M10" s="44" t="n">
        <f aca="false">H10*L10</f>
        <v>57000</v>
      </c>
      <c r="N10" s="45" t="n">
        <f aca="false">M10-G10</f>
        <v>0</v>
      </c>
      <c r="O10" s="46" t="n">
        <f aca="false">IF(F10&gt;0,L10/F10-1,"")</f>
        <v>0</v>
      </c>
      <c r="P10" s="37" t="s">
        <v>37</v>
      </c>
      <c r="Q10" s="37"/>
      <c r="R10" s="37"/>
    </row>
    <row r="11" customFormat="false" ht="15" hidden="false" customHeight="false" outlineLevel="0" collapsed="false">
      <c r="A11" s="42" t="s">
        <v>16</v>
      </c>
      <c r="B11" s="42" t="s">
        <v>130</v>
      </c>
      <c r="C11" s="37" t="s">
        <v>131</v>
      </c>
      <c r="D11" s="42" t="s">
        <v>119</v>
      </c>
      <c r="E11" s="43" t="n">
        <v>64</v>
      </c>
      <c r="F11" s="44" t="n">
        <v>950</v>
      </c>
      <c r="G11" s="44" t="n">
        <f aca="false">E11*F11</f>
        <v>60800</v>
      </c>
      <c r="H11" s="43" t="n">
        <v>64</v>
      </c>
      <c r="I11" s="44" t="n">
        <v>950</v>
      </c>
      <c r="J11" s="44" t="n">
        <f aca="false">H11*I11</f>
        <v>60800</v>
      </c>
      <c r="K11" s="44"/>
      <c r="L11" s="44" t="n">
        <f aca="false">IF(K11&lt;&gt;"",K11,I11)</f>
        <v>950</v>
      </c>
      <c r="M11" s="44" t="n">
        <f aca="false">H11*L11</f>
        <v>60800</v>
      </c>
      <c r="N11" s="45" t="n">
        <f aca="false">M11-G11</f>
        <v>0</v>
      </c>
      <c r="O11" s="46" t="n">
        <f aca="false">IF(F11&gt;0,L11/F11-1,"")</f>
        <v>0</v>
      </c>
      <c r="P11" s="37" t="s">
        <v>37</v>
      </c>
      <c r="Q11" s="37"/>
      <c r="R11" s="37"/>
    </row>
    <row r="12" customFormat="false" ht="15" hidden="false" customHeight="false" outlineLevel="0" collapsed="false">
      <c r="A12" s="42" t="s">
        <v>16</v>
      </c>
      <c r="B12" s="42" t="s">
        <v>132</v>
      </c>
      <c r="C12" s="37" t="s">
        <v>133</v>
      </c>
      <c r="D12" s="42" t="s">
        <v>119</v>
      </c>
      <c r="E12" s="43" t="n">
        <v>8</v>
      </c>
      <c r="F12" s="44" t="n">
        <v>950</v>
      </c>
      <c r="G12" s="44" t="n">
        <f aca="false">E12*F12</f>
        <v>7600</v>
      </c>
      <c r="H12" s="43" t="n">
        <v>8</v>
      </c>
      <c r="I12" s="44" t="n">
        <v>950</v>
      </c>
      <c r="J12" s="44" t="n">
        <f aca="false">H12*I12</f>
        <v>7600</v>
      </c>
      <c r="K12" s="44"/>
      <c r="L12" s="44" t="n">
        <f aca="false">IF(K12&lt;&gt;"",K12,I12)</f>
        <v>950</v>
      </c>
      <c r="M12" s="44" t="n">
        <f aca="false">H12*L12</f>
        <v>7600</v>
      </c>
      <c r="N12" s="45" t="n">
        <f aca="false">M12-G12</f>
        <v>0</v>
      </c>
      <c r="O12" s="46" t="n">
        <f aca="false">IF(F12&gt;0,L12/F12-1,"")</f>
        <v>0</v>
      </c>
      <c r="P12" s="37" t="s">
        <v>37</v>
      </c>
      <c r="Q12" s="37"/>
      <c r="R12" s="37"/>
    </row>
    <row r="13" customFormat="false" ht="15" hidden="false" customHeight="false" outlineLevel="0" collapsed="false">
      <c r="A13" s="42" t="s">
        <v>16</v>
      </c>
      <c r="B13" s="42" t="s">
        <v>134</v>
      </c>
      <c r="C13" s="37" t="s">
        <v>135</v>
      </c>
      <c r="D13" s="42" t="s">
        <v>136</v>
      </c>
      <c r="E13" s="43" t="n">
        <v>0</v>
      </c>
      <c r="F13" s="44" t="n">
        <v>0</v>
      </c>
      <c r="G13" s="44" t="n">
        <f aca="false">E13*F13</f>
        <v>0</v>
      </c>
      <c r="H13" s="43" t="n">
        <v>0</v>
      </c>
      <c r="I13" s="44"/>
      <c r="J13" s="44" t="n">
        <f aca="false">H13*I13</f>
        <v>0</v>
      </c>
      <c r="K13" s="44"/>
      <c r="L13" s="44" t="n">
        <f aca="false">IF(K13&lt;&gt;"",K13,I13)</f>
        <v>0</v>
      </c>
      <c r="M13" s="44" t="n">
        <f aca="false">H13*L13</f>
        <v>0</v>
      </c>
      <c r="N13" s="45" t="n">
        <f aca="false">M13-G13</f>
        <v>0</v>
      </c>
      <c r="O13" s="46" t="str">
        <f aca="false">IF(F13&gt;0,L13/F13-1,"")</f>
        <v/>
      </c>
      <c r="P13" s="37" t="s">
        <v>37</v>
      </c>
      <c r="Q13" s="37"/>
      <c r="R13" s="37"/>
    </row>
    <row r="14" customFormat="false" ht="15" hidden="false" customHeight="false" outlineLevel="0" collapsed="false">
      <c r="A14" s="42" t="s">
        <v>16</v>
      </c>
      <c r="B14" s="42" t="s">
        <v>137</v>
      </c>
      <c r="C14" s="37" t="s">
        <v>138</v>
      </c>
      <c r="D14" s="42" t="s">
        <v>136</v>
      </c>
      <c r="E14" s="43" t="n">
        <v>13.5</v>
      </c>
      <c r="F14" s="44" t="n">
        <v>760</v>
      </c>
      <c r="G14" s="44" t="n">
        <f aca="false">E14*F14</f>
        <v>10260</v>
      </c>
      <c r="H14" s="43" t="n">
        <v>13.5</v>
      </c>
      <c r="I14" s="44" t="n">
        <v>760</v>
      </c>
      <c r="J14" s="44" t="n">
        <f aca="false">H14*I14</f>
        <v>10260</v>
      </c>
      <c r="K14" s="44"/>
      <c r="L14" s="44" t="n">
        <f aca="false">IF(K14&lt;&gt;"",K14,I14)</f>
        <v>760</v>
      </c>
      <c r="M14" s="44" t="n">
        <f aca="false">H14*L14</f>
        <v>10260</v>
      </c>
      <c r="N14" s="45" t="n">
        <f aca="false">M14-G14</f>
        <v>0</v>
      </c>
      <c r="O14" s="46" t="n">
        <f aca="false">IF(F14&gt;0,L14/F14-1,"")</f>
        <v>0</v>
      </c>
      <c r="P14" s="37" t="s">
        <v>37</v>
      </c>
      <c r="Q14" s="37"/>
      <c r="R14" s="37"/>
    </row>
    <row r="15" customFormat="false" ht="15" hidden="false" customHeight="false" outlineLevel="0" collapsed="false">
      <c r="A15" s="42" t="s">
        <v>16</v>
      </c>
      <c r="B15" s="42" t="s">
        <v>139</v>
      </c>
      <c r="C15" s="37" t="s">
        <v>140</v>
      </c>
      <c r="D15" s="42" t="s">
        <v>136</v>
      </c>
      <c r="E15" s="43" t="n">
        <v>26.5</v>
      </c>
      <c r="F15" s="44" t="n">
        <v>760</v>
      </c>
      <c r="G15" s="44" t="n">
        <f aca="false">E15*F15</f>
        <v>20140</v>
      </c>
      <c r="H15" s="43" t="n">
        <v>26.5</v>
      </c>
      <c r="I15" s="44" t="n">
        <v>760</v>
      </c>
      <c r="J15" s="44" t="n">
        <f aca="false">H15*I15</f>
        <v>20140</v>
      </c>
      <c r="K15" s="44"/>
      <c r="L15" s="44" t="n">
        <f aca="false">IF(K15&lt;&gt;"",K15,I15)</f>
        <v>760</v>
      </c>
      <c r="M15" s="44" t="n">
        <f aca="false">H15*L15</f>
        <v>20140</v>
      </c>
      <c r="N15" s="45" t="n">
        <f aca="false">M15-G15</f>
        <v>0</v>
      </c>
      <c r="O15" s="46" t="n">
        <f aca="false">IF(F15&gt;0,L15/F15-1,"")</f>
        <v>0</v>
      </c>
      <c r="P15" s="37" t="s">
        <v>37</v>
      </c>
      <c r="Q15" s="37"/>
      <c r="R15" s="37"/>
    </row>
    <row r="16" customFormat="false" ht="26.85" hidden="false" customHeight="false" outlineLevel="0" collapsed="false">
      <c r="A16" s="42" t="s">
        <v>16</v>
      </c>
      <c r="B16" s="42" t="s">
        <v>141</v>
      </c>
      <c r="C16" s="37" t="s">
        <v>142</v>
      </c>
      <c r="D16" s="42" t="s">
        <v>136</v>
      </c>
      <c r="E16" s="43" t="n">
        <v>50</v>
      </c>
      <c r="F16" s="44" t="n">
        <v>760</v>
      </c>
      <c r="G16" s="44" t="n">
        <f aca="false">E16*F16</f>
        <v>38000</v>
      </c>
      <c r="H16" s="43" t="n">
        <v>50</v>
      </c>
      <c r="I16" s="44" t="n">
        <v>760</v>
      </c>
      <c r="J16" s="44" t="n">
        <f aca="false">H16*I16</f>
        <v>38000</v>
      </c>
      <c r="K16" s="44"/>
      <c r="L16" s="44" t="n">
        <f aca="false">IF(K16&lt;&gt;"",K16,I16)</f>
        <v>760</v>
      </c>
      <c r="M16" s="44" t="n">
        <f aca="false">H16*L16</f>
        <v>38000</v>
      </c>
      <c r="N16" s="45" t="n">
        <f aca="false">M16-G16</f>
        <v>0</v>
      </c>
      <c r="O16" s="46" t="n">
        <f aca="false">IF(F16&gt;0,L16/F16-1,"")</f>
        <v>0</v>
      </c>
      <c r="P16" s="37" t="s">
        <v>37</v>
      </c>
      <c r="Q16" s="37"/>
      <c r="R16" s="37"/>
    </row>
    <row r="17" customFormat="false" ht="26.85" hidden="false" customHeight="false" outlineLevel="0" collapsed="false">
      <c r="A17" s="42" t="s">
        <v>16</v>
      </c>
      <c r="B17" s="42" t="s">
        <v>143</v>
      </c>
      <c r="C17" s="37" t="s">
        <v>144</v>
      </c>
      <c r="D17" s="42" t="s">
        <v>136</v>
      </c>
      <c r="E17" s="43" t="n">
        <v>5.2</v>
      </c>
      <c r="F17" s="44" t="n">
        <v>950</v>
      </c>
      <c r="G17" s="44" t="n">
        <f aca="false">E17*F17</f>
        <v>4940</v>
      </c>
      <c r="H17" s="43" t="n">
        <v>5.2</v>
      </c>
      <c r="I17" s="44" t="n">
        <v>950</v>
      </c>
      <c r="J17" s="44" t="n">
        <f aca="false">H17*I17</f>
        <v>4940</v>
      </c>
      <c r="K17" s="44"/>
      <c r="L17" s="44" t="n">
        <f aca="false">IF(K17&lt;&gt;"",K17,I17)</f>
        <v>950</v>
      </c>
      <c r="M17" s="44" t="n">
        <f aca="false">H17*L17</f>
        <v>4940</v>
      </c>
      <c r="N17" s="45" t="n">
        <f aca="false">M17-G17</f>
        <v>0</v>
      </c>
      <c r="O17" s="46" t="n">
        <f aca="false">IF(F17&gt;0,L17/F17-1,"")</f>
        <v>0</v>
      </c>
      <c r="P17" s="37" t="s">
        <v>37</v>
      </c>
      <c r="Q17" s="37"/>
      <c r="R17" s="37"/>
    </row>
    <row r="18" customFormat="false" ht="26.85" hidden="false" customHeight="false" outlineLevel="0" collapsed="false">
      <c r="A18" s="42" t="s">
        <v>16</v>
      </c>
      <c r="B18" s="42" t="s">
        <v>145</v>
      </c>
      <c r="C18" s="37" t="s">
        <v>146</v>
      </c>
      <c r="D18" s="42" t="s">
        <v>136</v>
      </c>
      <c r="E18" s="43" t="n">
        <v>771.3</v>
      </c>
      <c r="F18" s="44" t="n">
        <v>689.79</v>
      </c>
      <c r="G18" s="44" t="n">
        <f aca="false">E18*F18</f>
        <v>532035.027</v>
      </c>
      <c r="H18" s="43" t="n">
        <v>771.3</v>
      </c>
      <c r="I18" s="44" t="n">
        <v>689.79</v>
      </c>
      <c r="J18" s="44" t="n">
        <f aca="false">H18*I18</f>
        <v>532035.027</v>
      </c>
      <c r="K18" s="44"/>
      <c r="L18" s="44" t="n">
        <f aca="false">IF(K18&lt;&gt;"",K18,I18)</f>
        <v>689.79</v>
      </c>
      <c r="M18" s="44" t="n">
        <f aca="false">H18*L18</f>
        <v>532035.027</v>
      </c>
      <c r="N18" s="45" t="n">
        <f aca="false">M18-G18</f>
        <v>0</v>
      </c>
      <c r="O18" s="46" t="n">
        <f aca="false">IF(F18&gt;0,L18/F18-1,"")</f>
        <v>0</v>
      </c>
      <c r="P18" s="37" t="s">
        <v>37</v>
      </c>
      <c r="Q18" s="37"/>
      <c r="R18" s="37"/>
    </row>
    <row r="19" customFormat="false" ht="26.85" hidden="false" customHeight="false" outlineLevel="0" collapsed="false">
      <c r="A19" s="42" t="s">
        <v>16</v>
      </c>
      <c r="B19" s="42" t="s">
        <v>147</v>
      </c>
      <c r="C19" s="37" t="s">
        <v>148</v>
      </c>
      <c r="D19" s="42" t="s">
        <v>136</v>
      </c>
      <c r="E19" s="43" t="n">
        <v>204.6</v>
      </c>
      <c r="F19" s="44" t="n">
        <v>862.23</v>
      </c>
      <c r="G19" s="44" t="n">
        <f aca="false">E19*F19</f>
        <v>176412.258</v>
      </c>
      <c r="H19" s="43" t="n">
        <v>204.6</v>
      </c>
      <c r="I19" s="44" t="n">
        <v>862.23</v>
      </c>
      <c r="J19" s="44" t="n">
        <f aca="false">H19*I19</f>
        <v>176412.258</v>
      </c>
      <c r="K19" s="44"/>
      <c r="L19" s="44" t="n">
        <f aca="false">IF(K19&lt;&gt;"",K19,I19)</f>
        <v>862.23</v>
      </c>
      <c r="M19" s="44" t="n">
        <f aca="false">H19*L19</f>
        <v>176412.258</v>
      </c>
      <c r="N19" s="45" t="n">
        <f aca="false">M19-G19</f>
        <v>0</v>
      </c>
      <c r="O19" s="46" t="n">
        <f aca="false">IF(F19&gt;0,L19/F19-1,"")</f>
        <v>0</v>
      </c>
      <c r="P19" s="37" t="s">
        <v>37</v>
      </c>
      <c r="Q19" s="37"/>
      <c r="R19" s="37"/>
    </row>
    <row r="20" customFormat="false" ht="26.85" hidden="false" customHeight="false" outlineLevel="0" collapsed="false">
      <c r="A20" s="42" t="s">
        <v>16</v>
      </c>
      <c r="B20" s="42" t="s">
        <v>149</v>
      </c>
      <c r="C20" s="37" t="s">
        <v>150</v>
      </c>
      <c r="D20" s="42" t="s">
        <v>136</v>
      </c>
      <c r="E20" s="43" t="n">
        <v>4.4</v>
      </c>
      <c r="F20" s="44" t="n">
        <v>1077.79</v>
      </c>
      <c r="G20" s="44" t="n">
        <f aca="false">E20*F20</f>
        <v>4742.276</v>
      </c>
      <c r="H20" s="43" t="n">
        <v>4.4</v>
      </c>
      <c r="I20" s="44" t="n">
        <v>1077.79</v>
      </c>
      <c r="J20" s="44" t="n">
        <f aca="false">H20*I20</f>
        <v>4742.276</v>
      </c>
      <c r="K20" s="44"/>
      <c r="L20" s="44" t="n">
        <f aca="false">IF(K20&lt;&gt;"",K20,I20)</f>
        <v>1077.79</v>
      </c>
      <c r="M20" s="44" t="n">
        <f aca="false">H20*L20</f>
        <v>4742.276</v>
      </c>
      <c r="N20" s="45" t="n">
        <f aca="false">M20-G20</f>
        <v>0</v>
      </c>
      <c r="O20" s="46" t="n">
        <f aca="false">IF(F20&gt;0,L20/F20-1,"")</f>
        <v>0</v>
      </c>
      <c r="P20" s="37" t="s">
        <v>37</v>
      </c>
      <c r="Q20" s="37"/>
      <c r="R20" s="37"/>
    </row>
    <row r="21" customFormat="false" ht="15" hidden="false" customHeight="false" outlineLevel="0" collapsed="false">
      <c r="A21" s="42" t="s">
        <v>16</v>
      </c>
      <c r="B21" s="42" t="s">
        <v>151</v>
      </c>
      <c r="C21" s="37" t="s">
        <v>152</v>
      </c>
      <c r="D21" s="42" t="s">
        <v>153</v>
      </c>
      <c r="E21" s="43" t="n">
        <v>155</v>
      </c>
      <c r="F21" s="44" t="n">
        <v>855</v>
      </c>
      <c r="G21" s="44" t="n">
        <f aca="false">E21*F21</f>
        <v>132525</v>
      </c>
      <c r="H21" s="43" t="n">
        <v>155</v>
      </c>
      <c r="I21" s="44" t="n">
        <v>855</v>
      </c>
      <c r="J21" s="44" t="n">
        <f aca="false">H21*I21</f>
        <v>132525</v>
      </c>
      <c r="K21" s="44"/>
      <c r="L21" s="44" t="n">
        <f aca="false">IF(K21&lt;&gt;"",K21,I21)</f>
        <v>855</v>
      </c>
      <c r="M21" s="44" t="n">
        <f aca="false">H21*L21</f>
        <v>132525</v>
      </c>
      <c r="N21" s="45" t="n">
        <f aca="false">M21-G21</f>
        <v>0</v>
      </c>
      <c r="O21" s="46" t="n">
        <f aca="false">IF(F21&gt;0,L21/F21-1,"")</f>
        <v>0</v>
      </c>
      <c r="P21" s="37" t="s">
        <v>37</v>
      </c>
      <c r="Q21" s="37"/>
      <c r="R21" s="37"/>
    </row>
    <row r="22" customFormat="false" ht="15" hidden="false" customHeight="false" outlineLevel="0" collapsed="false">
      <c r="A22" s="42" t="s">
        <v>16</v>
      </c>
      <c r="B22" s="42" t="s">
        <v>154</v>
      </c>
      <c r="C22" s="37" t="s">
        <v>155</v>
      </c>
      <c r="D22" s="42" t="s">
        <v>153</v>
      </c>
      <c r="E22" s="43" t="n">
        <v>7</v>
      </c>
      <c r="F22" s="44" t="n">
        <v>855</v>
      </c>
      <c r="G22" s="44" t="n">
        <f aca="false">E22*F22</f>
        <v>5985</v>
      </c>
      <c r="H22" s="43" t="n">
        <v>7</v>
      </c>
      <c r="I22" s="44" t="n">
        <v>855</v>
      </c>
      <c r="J22" s="44" t="n">
        <f aca="false">H22*I22</f>
        <v>5985</v>
      </c>
      <c r="K22" s="44"/>
      <c r="L22" s="44" t="n">
        <f aca="false">IF(K22&lt;&gt;"",K22,I22)</f>
        <v>855</v>
      </c>
      <c r="M22" s="44" t="n">
        <f aca="false">H22*L22</f>
        <v>5985</v>
      </c>
      <c r="N22" s="45" t="n">
        <f aca="false">M22-G22</f>
        <v>0</v>
      </c>
      <c r="O22" s="46" t="n">
        <f aca="false">IF(F22&gt;0,L22/F22-1,"")</f>
        <v>0</v>
      </c>
      <c r="P22" s="37" t="s">
        <v>37</v>
      </c>
      <c r="Q22" s="37"/>
      <c r="R22" s="37"/>
    </row>
    <row r="23" customFormat="false" ht="15" hidden="false" customHeight="false" outlineLevel="0" collapsed="false">
      <c r="A23" s="42" t="s">
        <v>16</v>
      </c>
      <c r="B23" s="42" t="s">
        <v>156</v>
      </c>
      <c r="C23" s="37" t="s">
        <v>157</v>
      </c>
      <c r="D23" s="42" t="s">
        <v>153</v>
      </c>
      <c r="E23" s="43" t="n">
        <v>104</v>
      </c>
      <c r="F23" s="44" t="n">
        <v>855</v>
      </c>
      <c r="G23" s="44" t="n">
        <f aca="false">E23*F23</f>
        <v>88920</v>
      </c>
      <c r="H23" s="43" t="n">
        <v>104</v>
      </c>
      <c r="I23" s="44" t="n">
        <v>855</v>
      </c>
      <c r="J23" s="44" t="n">
        <f aca="false">H23*I23</f>
        <v>88920</v>
      </c>
      <c r="K23" s="44"/>
      <c r="L23" s="44" t="n">
        <f aca="false">IF(K23&lt;&gt;"",K23,I23)</f>
        <v>855</v>
      </c>
      <c r="M23" s="44" t="n">
        <f aca="false">H23*L23</f>
        <v>88920</v>
      </c>
      <c r="N23" s="45" t="n">
        <f aca="false">M23-G23</f>
        <v>0</v>
      </c>
      <c r="O23" s="46" t="n">
        <f aca="false">IF(F23&gt;0,L23/F23-1,"")</f>
        <v>0</v>
      </c>
      <c r="P23" s="37" t="s">
        <v>37</v>
      </c>
      <c r="Q23" s="37"/>
      <c r="R23" s="37"/>
    </row>
    <row r="24" customFormat="false" ht="15" hidden="false" customHeight="false" outlineLevel="0" collapsed="false">
      <c r="A24" s="42" t="s">
        <v>16</v>
      </c>
      <c r="B24" s="42" t="s">
        <v>158</v>
      </c>
      <c r="C24" s="37" t="s">
        <v>159</v>
      </c>
      <c r="D24" s="42" t="s">
        <v>153</v>
      </c>
      <c r="E24" s="43" t="n">
        <v>272</v>
      </c>
      <c r="F24" s="44" t="n">
        <v>855</v>
      </c>
      <c r="G24" s="44" t="n">
        <f aca="false">E24*F24</f>
        <v>232560</v>
      </c>
      <c r="H24" s="43" t="n">
        <v>272</v>
      </c>
      <c r="I24" s="44" t="n">
        <v>855</v>
      </c>
      <c r="J24" s="44" t="n">
        <f aca="false">H24*I24</f>
        <v>232560</v>
      </c>
      <c r="K24" s="44"/>
      <c r="L24" s="44" t="n">
        <f aca="false">IF(K24&lt;&gt;"",K24,I24)</f>
        <v>855</v>
      </c>
      <c r="M24" s="44" t="n">
        <f aca="false">H24*L24</f>
        <v>232560</v>
      </c>
      <c r="N24" s="45" t="n">
        <f aca="false">M24-G24</f>
        <v>0</v>
      </c>
      <c r="O24" s="46" t="n">
        <f aca="false">IF(F24&gt;0,L24/F24-1,"")</f>
        <v>0</v>
      </c>
      <c r="P24" s="37" t="s">
        <v>37</v>
      </c>
      <c r="Q24" s="37"/>
      <c r="R24" s="37"/>
    </row>
    <row r="25" customFormat="false" ht="15" hidden="false" customHeight="false" outlineLevel="0" collapsed="false">
      <c r="A25" s="42" t="s">
        <v>16</v>
      </c>
      <c r="B25" s="42" t="s">
        <v>160</v>
      </c>
      <c r="C25" s="37" t="s">
        <v>161</v>
      </c>
      <c r="D25" s="42" t="s">
        <v>153</v>
      </c>
      <c r="E25" s="43" t="n">
        <v>243</v>
      </c>
      <c r="F25" s="44" t="n">
        <v>855</v>
      </c>
      <c r="G25" s="44" t="n">
        <f aca="false">E25*F25</f>
        <v>207765</v>
      </c>
      <c r="H25" s="43" t="n">
        <v>243</v>
      </c>
      <c r="I25" s="44" t="n">
        <v>855</v>
      </c>
      <c r="J25" s="44" t="n">
        <f aca="false">H25*I25</f>
        <v>207765</v>
      </c>
      <c r="K25" s="44"/>
      <c r="L25" s="44" t="n">
        <f aca="false">IF(K25&lt;&gt;"",K25,I25)</f>
        <v>855</v>
      </c>
      <c r="M25" s="44" t="n">
        <f aca="false">H25*L25</f>
        <v>207765</v>
      </c>
      <c r="N25" s="45" t="n">
        <f aca="false">M25-G25</f>
        <v>0</v>
      </c>
      <c r="O25" s="46" t="n">
        <f aca="false">IF(F25&gt;0,L25/F25-1,"")</f>
        <v>0</v>
      </c>
      <c r="P25" s="37" t="s">
        <v>37</v>
      </c>
      <c r="Q25" s="37"/>
      <c r="R25" s="37"/>
    </row>
    <row r="26" customFormat="false" ht="15" hidden="false" customHeight="false" outlineLevel="0" collapsed="false">
      <c r="A26" s="42" t="s">
        <v>16</v>
      </c>
      <c r="B26" s="42" t="s">
        <v>162</v>
      </c>
      <c r="C26" s="37" t="s">
        <v>163</v>
      </c>
      <c r="D26" s="42" t="s">
        <v>153</v>
      </c>
      <c r="E26" s="43" t="n">
        <v>0</v>
      </c>
      <c r="F26" s="44" t="n">
        <v>0</v>
      </c>
      <c r="G26" s="44" t="n">
        <f aca="false">E26*F26</f>
        <v>0</v>
      </c>
      <c r="H26" s="43" t="n">
        <v>0</v>
      </c>
      <c r="I26" s="44"/>
      <c r="J26" s="44" t="n">
        <f aca="false">H26*I26</f>
        <v>0</v>
      </c>
      <c r="K26" s="44"/>
      <c r="L26" s="44" t="n">
        <f aca="false">IF(K26&lt;&gt;"",K26,I26)</f>
        <v>0</v>
      </c>
      <c r="M26" s="44" t="n">
        <f aca="false">H26*L26</f>
        <v>0</v>
      </c>
      <c r="N26" s="45" t="n">
        <f aca="false">M26-G26</f>
        <v>0</v>
      </c>
      <c r="O26" s="46" t="str">
        <f aca="false">IF(F26&gt;0,L26/F26-1,"")</f>
        <v/>
      </c>
      <c r="P26" s="37" t="s">
        <v>37</v>
      </c>
      <c r="Q26" s="37"/>
      <c r="R26" s="37"/>
    </row>
    <row r="27" customFormat="false" ht="15" hidden="false" customHeight="false" outlineLevel="0" collapsed="false">
      <c r="A27" s="42" t="s">
        <v>16</v>
      </c>
      <c r="B27" s="42" t="s">
        <v>164</v>
      </c>
      <c r="C27" s="37" t="s">
        <v>165</v>
      </c>
      <c r="D27" s="42" t="s">
        <v>153</v>
      </c>
      <c r="E27" s="43" t="n">
        <v>0</v>
      </c>
      <c r="F27" s="44" t="n">
        <v>0</v>
      </c>
      <c r="G27" s="44" t="n">
        <f aca="false">E27*F27</f>
        <v>0</v>
      </c>
      <c r="H27" s="43" t="n">
        <v>0</v>
      </c>
      <c r="I27" s="44"/>
      <c r="J27" s="44" t="n">
        <f aca="false">H27*I27</f>
        <v>0</v>
      </c>
      <c r="K27" s="44"/>
      <c r="L27" s="44" t="n">
        <f aca="false">IF(K27&lt;&gt;"",K27,I27)</f>
        <v>0</v>
      </c>
      <c r="M27" s="44" t="n">
        <f aca="false">H27*L27</f>
        <v>0</v>
      </c>
      <c r="N27" s="45" t="n">
        <f aca="false">M27-G27</f>
        <v>0</v>
      </c>
      <c r="O27" s="46" t="str">
        <f aca="false">IF(F27&gt;0,L27/F27-1,"")</f>
        <v/>
      </c>
      <c r="P27" s="37" t="s">
        <v>37</v>
      </c>
      <c r="Q27" s="37"/>
      <c r="R27" s="37"/>
    </row>
    <row r="28" customFormat="false" ht="15" hidden="false" customHeight="false" outlineLevel="0" collapsed="false">
      <c r="A28" s="42" t="s">
        <v>16</v>
      </c>
      <c r="B28" s="42" t="s">
        <v>166</v>
      </c>
      <c r="C28" s="37" t="s">
        <v>167</v>
      </c>
      <c r="D28" s="42" t="s">
        <v>153</v>
      </c>
      <c r="E28" s="43" t="n">
        <v>340</v>
      </c>
      <c r="F28" s="44" t="n">
        <v>950</v>
      </c>
      <c r="G28" s="44" t="n">
        <f aca="false">E28*F28</f>
        <v>323000</v>
      </c>
      <c r="H28" s="43" t="n">
        <v>340</v>
      </c>
      <c r="I28" s="44" t="n">
        <v>950</v>
      </c>
      <c r="J28" s="44" t="n">
        <f aca="false">H28*I28</f>
        <v>323000</v>
      </c>
      <c r="K28" s="44"/>
      <c r="L28" s="44" t="n">
        <f aca="false">IF(K28&lt;&gt;"",K28,I28)</f>
        <v>950</v>
      </c>
      <c r="M28" s="44" t="n">
        <f aca="false">H28*L28</f>
        <v>323000</v>
      </c>
      <c r="N28" s="45" t="n">
        <f aca="false">M28-G28</f>
        <v>0</v>
      </c>
      <c r="O28" s="46" t="n">
        <f aca="false">IF(F28&gt;0,L28/F28-1,"")</f>
        <v>0</v>
      </c>
      <c r="P28" s="37" t="s">
        <v>37</v>
      </c>
      <c r="Q28" s="37"/>
      <c r="R28" s="37"/>
    </row>
    <row r="29" customFormat="false" ht="15" hidden="false" customHeight="false" outlineLevel="0" collapsed="false">
      <c r="A29" s="42" t="s">
        <v>16</v>
      </c>
      <c r="B29" s="42" t="s">
        <v>168</v>
      </c>
      <c r="C29" s="37" t="s">
        <v>169</v>
      </c>
      <c r="D29" s="42" t="s">
        <v>153</v>
      </c>
      <c r="E29" s="43" t="n">
        <v>32</v>
      </c>
      <c r="F29" s="44" t="n">
        <v>855</v>
      </c>
      <c r="G29" s="44" t="n">
        <f aca="false">E29*F29</f>
        <v>27360</v>
      </c>
      <c r="H29" s="43" t="n">
        <v>32</v>
      </c>
      <c r="I29" s="44" t="n">
        <v>855</v>
      </c>
      <c r="J29" s="44" t="n">
        <f aca="false">H29*I29</f>
        <v>27360</v>
      </c>
      <c r="K29" s="44"/>
      <c r="L29" s="44" t="n">
        <f aca="false">IF(K29&lt;&gt;"",K29,I29)</f>
        <v>855</v>
      </c>
      <c r="M29" s="44" t="n">
        <f aca="false">H29*L29</f>
        <v>27360</v>
      </c>
      <c r="N29" s="45" t="n">
        <f aca="false">M29-G29</f>
        <v>0</v>
      </c>
      <c r="O29" s="46" t="n">
        <f aca="false">IF(F29&gt;0,L29/F29-1,"")</f>
        <v>0</v>
      </c>
      <c r="P29" s="37" t="s">
        <v>37</v>
      </c>
      <c r="Q29" s="37"/>
      <c r="R29" s="37"/>
    </row>
    <row r="30" customFormat="false" ht="15" hidden="false" customHeight="false" outlineLevel="0" collapsed="false">
      <c r="A30" s="42" t="s">
        <v>16</v>
      </c>
      <c r="B30" s="42" t="s">
        <v>170</v>
      </c>
      <c r="C30" s="37" t="s">
        <v>171</v>
      </c>
      <c r="D30" s="42" t="s">
        <v>153</v>
      </c>
      <c r="E30" s="43" t="n">
        <v>113</v>
      </c>
      <c r="F30" s="44" t="n">
        <v>855</v>
      </c>
      <c r="G30" s="44" t="n">
        <f aca="false">E30*F30</f>
        <v>96615</v>
      </c>
      <c r="H30" s="43" t="n">
        <v>113</v>
      </c>
      <c r="I30" s="44" t="n">
        <v>855</v>
      </c>
      <c r="J30" s="44" t="n">
        <f aca="false">H30*I30</f>
        <v>96615</v>
      </c>
      <c r="K30" s="44"/>
      <c r="L30" s="44" t="n">
        <f aca="false">IF(K30&lt;&gt;"",K30,I30)</f>
        <v>855</v>
      </c>
      <c r="M30" s="44" t="n">
        <f aca="false">H30*L30</f>
        <v>96615</v>
      </c>
      <c r="N30" s="45" t="n">
        <f aca="false">M30-G30</f>
        <v>0</v>
      </c>
      <c r="O30" s="46" t="n">
        <f aca="false">IF(F30&gt;0,L30/F30-1,"")</f>
        <v>0</v>
      </c>
      <c r="P30" s="37" t="s">
        <v>37</v>
      </c>
      <c r="Q30" s="37"/>
      <c r="R30" s="37"/>
    </row>
    <row r="31" customFormat="false" ht="15" hidden="false" customHeight="false" outlineLevel="0" collapsed="false">
      <c r="A31" s="42" t="s">
        <v>16</v>
      </c>
      <c r="B31" s="42" t="s">
        <v>172</v>
      </c>
      <c r="C31" s="37" t="s">
        <v>173</v>
      </c>
      <c r="D31" s="42" t="s">
        <v>153</v>
      </c>
      <c r="E31" s="43" t="n">
        <v>0</v>
      </c>
      <c r="F31" s="44" t="n">
        <v>0</v>
      </c>
      <c r="G31" s="44" t="n">
        <f aca="false">E31*F31</f>
        <v>0</v>
      </c>
      <c r="H31" s="43" t="n">
        <v>0</v>
      </c>
      <c r="I31" s="44"/>
      <c r="J31" s="44" t="n">
        <f aca="false">H31*I31</f>
        <v>0</v>
      </c>
      <c r="K31" s="44"/>
      <c r="L31" s="44" t="n">
        <f aca="false">IF(K31&lt;&gt;"",K31,I31)</f>
        <v>0</v>
      </c>
      <c r="M31" s="44" t="n">
        <f aca="false">H31*L31</f>
        <v>0</v>
      </c>
      <c r="N31" s="45" t="n">
        <f aca="false">M31-G31</f>
        <v>0</v>
      </c>
      <c r="O31" s="46" t="str">
        <f aca="false">IF(F31&gt;0,L31/F31-1,"")</f>
        <v/>
      </c>
      <c r="P31" s="37" t="s">
        <v>37</v>
      </c>
      <c r="Q31" s="37"/>
      <c r="R31" s="37"/>
    </row>
    <row r="32" customFormat="false" ht="15" hidden="false" customHeight="false" outlineLevel="0" collapsed="false">
      <c r="A32" s="42" t="s">
        <v>16</v>
      </c>
      <c r="B32" s="42" t="s">
        <v>174</v>
      </c>
      <c r="C32" s="37" t="s">
        <v>175</v>
      </c>
      <c r="D32" s="42" t="s">
        <v>153</v>
      </c>
      <c r="E32" s="43" t="n">
        <v>0</v>
      </c>
      <c r="F32" s="44" t="n">
        <v>0</v>
      </c>
      <c r="G32" s="44" t="n">
        <f aca="false">E32*F32</f>
        <v>0</v>
      </c>
      <c r="H32" s="43" t="n">
        <v>0</v>
      </c>
      <c r="I32" s="44"/>
      <c r="J32" s="44" t="n">
        <f aca="false">H32*I32</f>
        <v>0</v>
      </c>
      <c r="K32" s="44"/>
      <c r="L32" s="44" t="n">
        <f aca="false">IF(K32&lt;&gt;"",K32,I32)</f>
        <v>0</v>
      </c>
      <c r="M32" s="44" t="n">
        <f aca="false">H32*L32</f>
        <v>0</v>
      </c>
      <c r="N32" s="45" t="n">
        <f aca="false">M32-G32</f>
        <v>0</v>
      </c>
      <c r="O32" s="46" t="str">
        <f aca="false">IF(F32&gt;0,L32/F32-1,"")</f>
        <v/>
      </c>
      <c r="P32" s="37" t="s">
        <v>37</v>
      </c>
      <c r="Q32" s="37"/>
      <c r="R32" s="37"/>
    </row>
    <row r="33" customFormat="false" ht="15" hidden="false" customHeight="false" outlineLevel="0" collapsed="false">
      <c r="A33" s="42" t="s">
        <v>16</v>
      </c>
      <c r="B33" s="42" t="s">
        <v>176</v>
      </c>
      <c r="C33" s="37" t="s">
        <v>177</v>
      </c>
      <c r="D33" s="42" t="s">
        <v>153</v>
      </c>
      <c r="E33" s="43" t="n">
        <v>2</v>
      </c>
      <c r="F33" s="44" t="n">
        <v>855</v>
      </c>
      <c r="G33" s="44" t="n">
        <f aca="false">E33*F33</f>
        <v>1710</v>
      </c>
      <c r="H33" s="43" t="n">
        <v>2</v>
      </c>
      <c r="I33" s="44" t="n">
        <v>855</v>
      </c>
      <c r="J33" s="44" t="n">
        <f aca="false">H33*I33</f>
        <v>1710</v>
      </c>
      <c r="K33" s="44"/>
      <c r="L33" s="44" t="n">
        <f aca="false">IF(K33&lt;&gt;"",K33,I33)</f>
        <v>855</v>
      </c>
      <c r="M33" s="44" t="n">
        <f aca="false">H33*L33</f>
        <v>1710</v>
      </c>
      <c r="N33" s="45" t="n">
        <f aca="false">M33-G33</f>
        <v>0</v>
      </c>
      <c r="O33" s="46" t="n">
        <f aca="false">IF(F33&gt;0,L33/F33-1,"")</f>
        <v>0</v>
      </c>
      <c r="P33" s="37" t="s">
        <v>37</v>
      </c>
      <c r="Q33" s="37"/>
      <c r="R33" s="37"/>
    </row>
    <row r="34" customFormat="false" ht="15" hidden="false" customHeight="false" outlineLevel="0" collapsed="false">
      <c r="A34" s="42" t="s">
        <v>16</v>
      </c>
      <c r="B34" s="42" t="s">
        <v>178</v>
      </c>
      <c r="C34" s="37" t="s">
        <v>179</v>
      </c>
      <c r="D34" s="42" t="s">
        <v>153</v>
      </c>
      <c r="E34" s="43" t="n">
        <v>10</v>
      </c>
      <c r="F34" s="44" t="n">
        <v>855</v>
      </c>
      <c r="G34" s="44" t="n">
        <f aca="false">E34*F34</f>
        <v>8550</v>
      </c>
      <c r="H34" s="43" t="n">
        <v>10</v>
      </c>
      <c r="I34" s="44" t="n">
        <v>855</v>
      </c>
      <c r="J34" s="44" t="n">
        <f aca="false">H34*I34</f>
        <v>8550</v>
      </c>
      <c r="K34" s="44"/>
      <c r="L34" s="44" t="n">
        <f aca="false">IF(K34&lt;&gt;"",K34,I34)</f>
        <v>855</v>
      </c>
      <c r="M34" s="44" t="n">
        <f aca="false">H34*L34</f>
        <v>8550</v>
      </c>
      <c r="N34" s="45" t="n">
        <f aca="false">M34-G34</f>
        <v>0</v>
      </c>
      <c r="O34" s="46" t="n">
        <f aca="false">IF(F34&gt;0,L34/F34-1,"")</f>
        <v>0</v>
      </c>
      <c r="P34" s="37" t="s">
        <v>37</v>
      </c>
      <c r="Q34" s="37"/>
      <c r="R34" s="37"/>
    </row>
    <row r="35" customFormat="false" ht="15" hidden="false" customHeight="false" outlineLevel="0" collapsed="false">
      <c r="A35" s="42" t="s">
        <v>16</v>
      </c>
      <c r="B35" s="42" t="s">
        <v>180</v>
      </c>
      <c r="C35" s="37" t="s">
        <v>181</v>
      </c>
      <c r="D35" s="42" t="s">
        <v>153</v>
      </c>
      <c r="E35" s="43" t="n">
        <v>0</v>
      </c>
      <c r="F35" s="44" t="n">
        <v>0</v>
      </c>
      <c r="G35" s="44" t="n">
        <f aca="false">E35*F35</f>
        <v>0</v>
      </c>
      <c r="H35" s="43" t="n">
        <v>0</v>
      </c>
      <c r="I35" s="44"/>
      <c r="J35" s="44" t="n">
        <f aca="false">H35*I35</f>
        <v>0</v>
      </c>
      <c r="K35" s="44"/>
      <c r="L35" s="44" t="n">
        <f aca="false">IF(K35&lt;&gt;"",K35,I35)</f>
        <v>0</v>
      </c>
      <c r="M35" s="44" t="n">
        <f aca="false">H35*L35</f>
        <v>0</v>
      </c>
      <c r="N35" s="45" t="n">
        <f aca="false">M35-G35</f>
        <v>0</v>
      </c>
      <c r="O35" s="46" t="str">
        <f aca="false">IF(F35&gt;0,L35/F35-1,"")</f>
        <v/>
      </c>
      <c r="P35" s="37" t="s">
        <v>37</v>
      </c>
      <c r="Q35" s="37"/>
      <c r="R35" s="37"/>
    </row>
    <row r="36" customFormat="false" ht="15" hidden="false" customHeight="false" outlineLevel="0" collapsed="false">
      <c r="A36" s="42" t="s">
        <v>16</v>
      </c>
      <c r="B36" s="42" t="s">
        <v>182</v>
      </c>
      <c r="C36" s="37" t="s">
        <v>183</v>
      </c>
      <c r="D36" s="42" t="s">
        <v>153</v>
      </c>
      <c r="E36" s="43" t="n">
        <v>128</v>
      </c>
      <c r="F36" s="44" t="n">
        <v>570</v>
      </c>
      <c r="G36" s="44" t="n">
        <f aca="false">E36*F36</f>
        <v>72960</v>
      </c>
      <c r="H36" s="43" t="n">
        <v>128</v>
      </c>
      <c r="I36" s="44" t="n">
        <v>570</v>
      </c>
      <c r="J36" s="44" t="n">
        <f aca="false">H36*I36</f>
        <v>72960</v>
      </c>
      <c r="K36" s="44"/>
      <c r="L36" s="44" t="n">
        <f aca="false">IF(K36&lt;&gt;"",K36,I36)</f>
        <v>570</v>
      </c>
      <c r="M36" s="44" t="n">
        <f aca="false">H36*L36</f>
        <v>72960</v>
      </c>
      <c r="N36" s="45" t="n">
        <f aca="false">M36-G36</f>
        <v>0</v>
      </c>
      <c r="O36" s="46" t="n">
        <f aca="false">IF(F36&gt;0,L36/F36-1,"")</f>
        <v>0</v>
      </c>
      <c r="P36" s="37" t="s">
        <v>37</v>
      </c>
      <c r="Q36" s="37"/>
      <c r="R36" s="37"/>
    </row>
    <row r="37" customFormat="false" ht="26.85" hidden="false" customHeight="false" outlineLevel="0" collapsed="false">
      <c r="A37" s="23" t="s">
        <v>16</v>
      </c>
      <c r="B37" s="23" t="s">
        <v>184</v>
      </c>
      <c r="C37" s="24" t="s">
        <v>185</v>
      </c>
      <c r="D37" s="23" t="s">
        <v>186</v>
      </c>
      <c r="E37" s="25" t="n">
        <v>882</v>
      </c>
      <c r="F37" s="26" t="n">
        <v>665.89</v>
      </c>
      <c r="G37" s="26" t="n">
        <f aca="false">E37*F37</f>
        <v>587314.98</v>
      </c>
      <c r="H37" s="25" t="n">
        <v>882</v>
      </c>
      <c r="I37" s="26" t="n">
        <v>665.89</v>
      </c>
      <c r="J37" s="26" t="n">
        <f aca="false">H37*I37</f>
        <v>587314.98</v>
      </c>
      <c r="K37" s="26" t="n">
        <v>570</v>
      </c>
      <c r="L37" s="26" t="n">
        <f aca="false">IF(K37&lt;&gt;"",K37,I37)</f>
        <v>570</v>
      </c>
      <c r="M37" s="26" t="n">
        <f aca="false">H37*L37</f>
        <v>502740</v>
      </c>
      <c r="N37" s="28" t="n">
        <f aca="false">M37-G37</f>
        <v>-84574.98</v>
      </c>
      <c r="O37" s="27" t="n">
        <f aca="false">IF(F37&gt;0,L37/F37-1,"")</f>
        <v>-0.14400276321915</v>
      </c>
      <c r="P37" s="24" t="s">
        <v>34</v>
      </c>
      <c r="Q37" s="24" t="s">
        <v>187</v>
      </c>
      <c r="R37" s="24" t="s">
        <v>188</v>
      </c>
    </row>
    <row r="38" customFormat="false" ht="15" hidden="false" customHeight="false" outlineLevel="0" collapsed="false">
      <c r="A38" s="42" t="s">
        <v>16</v>
      </c>
      <c r="B38" s="42" t="s">
        <v>189</v>
      </c>
      <c r="C38" s="37" t="s">
        <v>190</v>
      </c>
      <c r="D38" s="42" t="s">
        <v>191</v>
      </c>
      <c r="E38" s="43" t="n">
        <v>4</v>
      </c>
      <c r="F38" s="44" t="n">
        <v>95238.1</v>
      </c>
      <c r="G38" s="44" t="n">
        <f aca="false">E38*F38</f>
        <v>380952.4</v>
      </c>
      <c r="H38" s="43" t="n">
        <v>4</v>
      </c>
      <c r="I38" s="44" t="n">
        <v>95238.1</v>
      </c>
      <c r="J38" s="44" t="n">
        <f aca="false">H38*I38</f>
        <v>380952.4</v>
      </c>
      <c r="K38" s="44"/>
      <c r="L38" s="44" t="n">
        <f aca="false">IF(K38&lt;&gt;"",K38,I38)</f>
        <v>95238.1</v>
      </c>
      <c r="M38" s="44" t="n">
        <f aca="false">H38*L38</f>
        <v>380952.4</v>
      </c>
      <c r="N38" s="45" t="n">
        <f aca="false">M38-G38</f>
        <v>0</v>
      </c>
      <c r="O38" s="46" t="n">
        <f aca="false">IF(F38&gt;0,L38/F38-1,"")</f>
        <v>0</v>
      </c>
      <c r="P38" s="37" t="s">
        <v>37</v>
      </c>
      <c r="Q38" s="37"/>
      <c r="R38" s="37"/>
    </row>
    <row r="39" customFormat="false" ht="15" hidden="false" customHeight="false" outlineLevel="0" collapsed="false">
      <c r="A39" s="40"/>
      <c r="B39" s="41" t="s">
        <v>17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</row>
    <row r="40" customFormat="false" ht="15" hidden="false" customHeight="false" outlineLevel="0" collapsed="false">
      <c r="A40" s="42" t="s">
        <v>17</v>
      </c>
      <c r="B40" s="42" t="s">
        <v>192</v>
      </c>
      <c r="C40" s="37" t="s">
        <v>193</v>
      </c>
      <c r="D40" s="42" t="s">
        <v>153</v>
      </c>
      <c r="E40" s="43" t="n">
        <v>340</v>
      </c>
      <c r="F40" s="44" t="n">
        <v>10000</v>
      </c>
      <c r="G40" s="44" t="n">
        <f aca="false">E40*F40</f>
        <v>3400000</v>
      </c>
      <c r="H40" s="43" t="n">
        <v>340</v>
      </c>
      <c r="I40" s="44" t="n">
        <v>10000</v>
      </c>
      <c r="J40" s="44" t="n">
        <f aca="false">H40*I40</f>
        <v>3400000</v>
      </c>
      <c r="K40" s="44"/>
      <c r="L40" s="44" t="n">
        <f aca="false">IF(K40&lt;&gt;"",K40,I40)</f>
        <v>10000</v>
      </c>
      <c r="M40" s="44" t="n">
        <f aca="false">H40*L40</f>
        <v>3400000</v>
      </c>
      <c r="N40" s="45" t="n">
        <f aca="false">M40-G40</f>
        <v>0</v>
      </c>
      <c r="O40" s="46" t="n">
        <f aca="false">IF(F40&gt;0,L40/F40-1,"")</f>
        <v>0</v>
      </c>
      <c r="P40" s="37" t="s">
        <v>37</v>
      </c>
      <c r="Q40" s="37"/>
      <c r="R40" s="37"/>
    </row>
    <row r="41" customFormat="false" ht="15" hidden="false" customHeight="false" outlineLevel="0" collapsed="false">
      <c r="A41" s="42" t="s">
        <v>17</v>
      </c>
      <c r="B41" s="42" t="s">
        <v>194</v>
      </c>
      <c r="C41" s="37" t="s">
        <v>195</v>
      </c>
      <c r="D41" s="42" t="s">
        <v>153</v>
      </c>
      <c r="E41" s="43" t="n">
        <v>72</v>
      </c>
      <c r="F41" s="44" t="n">
        <v>1425</v>
      </c>
      <c r="G41" s="44" t="n">
        <f aca="false">E41*F41</f>
        <v>102600</v>
      </c>
      <c r="H41" s="43" t="n">
        <v>72</v>
      </c>
      <c r="I41" s="44" t="n">
        <v>1425</v>
      </c>
      <c r="J41" s="44" t="n">
        <f aca="false">H41*I41</f>
        <v>102600</v>
      </c>
      <c r="K41" s="44"/>
      <c r="L41" s="44" t="n">
        <f aca="false">IF(K41&lt;&gt;"",K41,I41)</f>
        <v>1425</v>
      </c>
      <c r="M41" s="44" t="n">
        <f aca="false">H41*L41</f>
        <v>102600</v>
      </c>
      <c r="N41" s="45" t="n">
        <f aca="false">M41-G41</f>
        <v>0</v>
      </c>
      <c r="O41" s="46" t="n">
        <f aca="false">IF(F41&gt;0,L41/F41-1,"")</f>
        <v>0</v>
      </c>
      <c r="P41" s="37" t="s">
        <v>37</v>
      </c>
      <c r="Q41" s="37"/>
      <c r="R41" s="37"/>
    </row>
    <row r="42" customFormat="false" ht="15" hidden="false" customHeight="false" outlineLevel="0" collapsed="false">
      <c r="A42" s="42" t="s">
        <v>17</v>
      </c>
      <c r="B42" s="42" t="s">
        <v>196</v>
      </c>
      <c r="C42" s="37" t="s">
        <v>197</v>
      </c>
      <c r="D42" s="42" t="s">
        <v>153</v>
      </c>
      <c r="E42" s="43" t="n">
        <v>24</v>
      </c>
      <c r="F42" s="44" t="n">
        <v>1425</v>
      </c>
      <c r="G42" s="44" t="n">
        <f aca="false">E42*F42</f>
        <v>34200</v>
      </c>
      <c r="H42" s="43" t="n">
        <v>24</v>
      </c>
      <c r="I42" s="44" t="n">
        <v>1425</v>
      </c>
      <c r="J42" s="44" t="n">
        <f aca="false">H42*I42</f>
        <v>34200</v>
      </c>
      <c r="K42" s="44"/>
      <c r="L42" s="44" t="n">
        <f aca="false">IF(K42&lt;&gt;"",K42,I42)</f>
        <v>1425</v>
      </c>
      <c r="M42" s="44" t="n">
        <f aca="false">H42*L42</f>
        <v>34200</v>
      </c>
      <c r="N42" s="45" t="n">
        <f aca="false">M42-G42</f>
        <v>0</v>
      </c>
      <c r="O42" s="46" t="n">
        <f aca="false">IF(F42&gt;0,L42/F42-1,"")</f>
        <v>0</v>
      </c>
      <c r="P42" s="37" t="s">
        <v>37</v>
      </c>
      <c r="Q42" s="37"/>
      <c r="R42" s="37"/>
    </row>
    <row r="43" customFormat="false" ht="15" hidden="false" customHeight="false" outlineLevel="0" collapsed="false">
      <c r="A43" s="42" t="s">
        <v>17</v>
      </c>
      <c r="B43" s="42" t="s">
        <v>198</v>
      </c>
      <c r="C43" s="37" t="s">
        <v>199</v>
      </c>
      <c r="D43" s="42" t="s">
        <v>153</v>
      </c>
      <c r="E43" s="43" t="n">
        <v>4</v>
      </c>
      <c r="F43" s="44" t="n">
        <v>1710</v>
      </c>
      <c r="G43" s="44" t="n">
        <f aca="false">E43*F43</f>
        <v>6840</v>
      </c>
      <c r="H43" s="43" t="n">
        <v>4</v>
      </c>
      <c r="I43" s="44" t="n">
        <v>1710</v>
      </c>
      <c r="J43" s="44" t="n">
        <f aca="false">H43*I43</f>
        <v>6840</v>
      </c>
      <c r="K43" s="44"/>
      <c r="L43" s="44" t="n">
        <f aca="false">IF(K43&lt;&gt;"",K43,I43)</f>
        <v>1710</v>
      </c>
      <c r="M43" s="44" t="n">
        <f aca="false">H43*L43</f>
        <v>6840</v>
      </c>
      <c r="N43" s="45" t="n">
        <f aca="false">M43-G43</f>
        <v>0</v>
      </c>
      <c r="O43" s="46" t="n">
        <f aca="false">IF(F43&gt;0,L43/F43-1,"")</f>
        <v>0</v>
      </c>
      <c r="P43" s="37" t="s">
        <v>37</v>
      </c>
      <c r="Q43" s="37"/>
      <c r="R43" s="37"/>
    </row>
    <row r="44" customFormat="false" ht="26.85" hidden="false" customHeight="false" outlineLevel="0" collapsed="false">
      <c r="A44" s="42" t="s">
        <v>17</v>
      </c>
      <c r="B44" s="42" t="s">
        <v>200</v>
      </c>
      <c r="C44" s="37" t="s">
        <v>201</v>
      </c>
      <c r="D44" s="42" t="s">
        <v>153</v>
      </c>
      <c r="E44" s="43" t="n">
        <v>20</v>
      </c>
      <c r="F44" s="44" t="n">
        <v>1900</v>
      </c>
      <c r="G44" s="44" t="n">
        <f aca="false">E44*F44</f>
        <v>38000</v>
      </c>
      <c r="H44" s="43" t="n">
        <v>20</v>
      </c>
      <c r="I44" s="44" t="n">
        <v>1900</v>
      </c>
      <c r="J44" s="44" t="n">
        <f aca="false">H44*I44</f>
        <v>38000</v>
      </c>
      <c r="K44" s="44"/>
      <c r="L44" s="44" t="n">
        <f aca="false">IF(K44&lt;&gt;"",K44,I44)</f>
        <v>1900</v>
      </c>
      <c r="M44" s="44" t="n">
        <f aca="false">H44*L44</f>
        <v>38000</v>
      </c>
      <c r="N44" s="45" t="n">
        <f aca="false">M44-G44</f>
        <v>0</v>
      </c>
      <c r="O44" s="46" t="n">
        <f aca="false">IF(F44&gt;0,L44/F44-1,"")</f>
        <v>0</v>
      </c>
      <c r="P44" s="37" t="s">
        <v>37</v>
      </c>
      <c r="Q44" s="37"/>
      <c r="R44" s="37"/>
    </row>
    <row r="45" customFormat="false" ht="26.85" hidden="false" customHeight="false" outlineLevel="0" collapsed="false">
      <c r="A45" s="42" t="s">
        <v>17</v>
      </c>
      <c r="B45" s="42" t="s">
        <v>202</v>
      </c>
      <c r="C45" s="37" t="s">
        <v>203</v>
      </c>
      <c r="D45" s="42" t="s">
        <v>153</v>
      </c>
      <c r="E45" s="43" t="n">
        <v>40</v>
      </c>
      <c r="F45" s="44" t="n">
        <v>1710</v>
      </c>
      <c r="G45" s="44" t="n">
        <f aca="false">E45*F45</f>
        <v>68400</v>
      </c>
      <c r="H45" s="43" t="n">
        <v>40</v>
      </c>
      <c r="I45" s="44" t="n">
        <v>1710</v>
      </c>
      <c r="J45" s="44" t="n">
        <f aca="false">H45*I45</f>
        <v>68400</v>
      </c>
      <c r="K45" s="44"/>
      <c r="L45" s="44" t="n">
        <f aca="false">IF(K45&lt;&gt;"",K45,I45)</f>
        <v>1710</v>
      </c>
      <c r="M45" s="44" t="n">
        <f aca="false">H45*L45</f>
        <v>68400</v>
      </c>
      <c r="N45" s="45" t="n">
        <f aca="false">M45-G45</f>
        <v>0</v>
      </c>
      <c r="O45" s="46" t="n">
        <f aca="false">IF(F45&gt;0,L45/F45-1,"")</f>
        <v>0</v>
      </c>
      <c r="P45" s="37" t="s">
        <v>37</v>
      </c>
      <c r="Q45" s="37"/>
      <c r="R45" s="37"/>
    </row>
    <row r="46" customFormat="false" ht="26.85" hidden="false" customHeight="false" outlineLevel="0" collapsed="false">
      <c r="A46" s="17" t="s">
        <v>17</v>
      </c>
      <c r="B46" s="17" t="s">
        <v>204</v>
      </c>
      <c r="C46" s="18" t="s">
        <v>205</v>
      </c>
      <c r="D46" s="17" t="s">
        <v>153</v>
      </c>
      <c r="E46" s="19" t="n">
        <v>340</v>
      </c>
      <c r="F46" s="20" t="n">
        <v>6650</v>
      </c>
      <c r="G46" s="20" t="n">
        <f aca="false">E46*F46</f>
        <v>2261000</v>
      </c>
      <c r="H46" s="19" t="n">
        <v>340</v>
      </c>
      <c r="I46" s="20" t="n">
        <v>2500</v>
      </c>
      <c r="J46" s="20" t="n">
        <f aca="false">H46*I46</f>
        <v>850000</v>
      </c>
      <c r="K46" s="20"/>
      <c r="L46" s="20" t="n">
        <f aca="false">IF(K46&lt;&gt;"",K46,I46)</f>
        <v>2500</v>
      </c>
      <c r="M46" s="20" t="n">
        <f aca="false">H46*L46</f>
        <v>850000</v>
      </c>
      <c r="N46" s="22" t="n">
        <f aca="false">M46-G46</f>
        <v>-1411000</v>
      </c>
      <c r="O46" s="21" t="n">
        <f aca="false">IF(F46&gt;0,L46/F46-1,"")</f>
        <v>-0.62406015037594</v>
      </c>
      <c r="P46" s="18" t="s">
        <v>30</v>
      </c>
      <c r="Q46" s="18" t="s">
        <v>206</v>
      </c>
      <c r="R46" s="18"/>
    </row>
    <row r="47" customFormat="false" ht="26.85" hidden="false" customHeight="false" outlineLevel="0" collapsed="false">
      <c r="A47" s="42" t="s">
        <v>17</v>
      </c>
      <c r="B47" s="42" t="s">
        <v>207</v>
      </c>
      <c r="C47" s="37" t="s">
        <v>208</v>
      </c>
      <c r="D47" s="42" t="s">
        <v>153</v>
      </c>
      <c r="E47" s="43" t="n">
        <v>40</v>
      </c>
      <c r="F47" s="44" t="n">
        <v>500</v>
      </c>
      <c r="G47" s="44" t="n">
        <f aca="false">E47*F47</f>
        <v>20000</v>
      </c>
      <c r="H47" s="43" t="n">
        <v>40</v>
      </c>
      <c r="I47" s="44" t="n">
        <v>500</v>
      </c>
      <c r="J47" s="44" t="n">
        <f aca="false">H47*I47</f>
        <v>20000</v>
      </c>
      <c r="K47" s="44"/>
      <c r="L47" s="44" t="n">
        <f aca="false">IF(K47&lt;&gt;"",K47,I47)</f>
        <v>500</v>
      </c>
      <c r="M47" s="44" t="n">
        <f aca="false">H47*L47</f>
        <v>20000</v>
      </c>
      <c r="N47" s="45" t="n">
        <f aca="false">M47-G47</f>
        <v>0</v>
      </c>
      <c r="O47" s="46" t="n">
        <f aca="false">IF(F47&gt;0,L47/F47-1,"")</f>
        <v>0</v>
      </c>
      <c r="P47" s="37" t="s">
        <v>37</v>
      </c>
      <c r="Q47" s="37"/>
      <c r="R47" s="37"/>
    </row>
    <row r="48" customFormat="false" ht="26.85" hidden="false" customHeight="false" outlineLevel="0" collapsed="false">
      <c r="A48" s="23" t="s">
        <v>17</v>
      </c>
      <c r="B48" s="23" t="s">
        <v>209</v>
      </c>
      <c r="C48" s="24" t="s">
        <v>210</v>
      </c>
      <c r="D48" s="23" t="s">
        <v>211</v>
      </c>
      <c r="E48" s="25" t="n">
        <v>1280</v>
      </c>
      <c r="F48" s="26" t="n">
        <v>500</v>
      </c>
      <c r="G48" s="26" t="n">
        <f aca="false">E48*F48</f>
        <v>640000</v>
      </c>
      <c r="H48" s="25" t="n">
        <v>1280</v>
      </c>
      <c r="I48" s="26" t="n">
        <v>500</v>
      </c>
      <c r="J48" s="26" t="n">
        <f aca="false">H48*I48</f>
        <v>640000</v>
      </c>
      <c r="K48" s="26" t="n">
        <v>400</v>
      </c>
      <c r="L48" s="26" t="n">
        <f aca="false">IF(K48&lt;&gt;"",K48,I48)</f>
        <v>400</v>
      </c>
      <c r="M48" s="26" t="n">
        <f aca="false">H48*L48</f>
        <v>512000</v>
      </c>
      <c r="N48" s="28" t="n">
        <f aca="false">M48-G48</f>
        <v>-128000</v>
      </c>
      <c r="O48" s="27" t="n">
        <f aca="false">IF(F48&gt;0,L48/F48-1,"")</f>
        <v>-0.2</v>
      </c>
      <c r="P48" s="24" t="s">
        <v>34</v>
      </c>
      <c r="Q48" s="24" t="s">
        <v>212</v>
      </c>
      <c r="R48" s="24" t="s">
        <v>188</v>
      </c>
    </row>
    <row r="49" customFormat="false" ht="26.85" hidden="false" customHeight="false" outlineLevel="0" collapsed="false">
      <c r="A49" s="23" t="s">
        <v>17</v>
      </c>
      <c r="B49" s="23" t="s">
        <v>213</v>
      </c>
      <c r="C49" s="24" t="s">
        <v>214</v>
      </c>
      <c r="D49" s="23" t="s">
        <v>211</v>
      </c>
      <c r="E49" s="25" t="n">
        <v>800</v>
      </c>
      <c r="F49" s="26" t="n">
        <v>500</v>
      </c>
      <c r="G49" s="26" t="n">
        <f aca="false">E49*F49</f>
        <v>400000</v>
      </c>
      <c r="H49" s="25" t="n">
        <v>800</v>
      </c>
      <c r="I49" s="26" t="n">
        <v>500</v>
      </c>
      <c r="J49" s="26" t="n">
        <f aca="false">H49*I49</f>
        <v>400000</v>
      </c>
      <c r="K49" s="26" t="n">
        <v>400</v>
      </c>
      <c r="L49" s="26" t="n">
        <f aca="false">IF(K49&lt;&gt;"",K49,I49)</f>
        <v>400</v>
      </c>
      <c r="M49" s="26" t="n">
        <f aca="false">H49*L49</f>
        <v>320000</v>
      </c>
      <c r="N49" s="28" t="n">
        <f aca="false">M49-G49</f>
        <v>-80000</v>
      </c>
      <c r="O49" s="27" t="n">
        <f aca="false">IF(F49&gt;0,L49/F49-1,"")</f>
        <v>-0.2</v>
      </c>
      <c r="P49" s="24" t="s">
        <v>34</v>
      </c>
      <c r="Q49" s="24" t="s">
        <v>212</v>
      </c>
      <c r="R49" s="24" t="s">
        <v>188</v>
      </c>
    </row>
    <row r="50" customFormat="false" ht="26.85" hidden="false" customHeight="false" outlineLevel="0" collapsed="false">
      <c r="A50" s="42" t="s">
        <v>17</v>
      </c>
      <c r="B50" s="42" t="s">
        <v>215</v>
      </c>
      <c r="C50" s="37" t="s">
        <v>216</v>
      </c>
      <c r="D50" s="42" t="s">
        <v>211</v>
      </c>
      <c r="E50" s="43" t="n">
        <v>200</v>
      </c>
      <c r="F50" s="44" t="n">
        <v>684</v>
      </c>
      <c r="G50" s="44" t="n">
        <f aca="false">E50*F50</f>
        <v>136800</v>
      </c>
      <c r="H50" s="43" t="n">
        <v>200</v>
      </c>
      <c r="I50" s="44" t="n">
        <v>684</v>
      </c>
      <c r="J50" s="44" t="n">
        <f aca="false">H50*I50</f>
        <v>136800</v>
      </c>
      <c r="K50" s="44"/>
      <c r="L50" s="44" t="n">
        <f aca="false">IF(K50&lt;&gt;"",K50,I50)</f>
        <v>684</v>
      </c>
      <c r="M50" s="44" t="n">
        <f aca="false">H50*L50</f>
        <v>136800</v>
      </c>
      <c r="N50" s="45" t="n">
        <f aca="false">M50-G50</f>
        <v>0</v>
      </c>
      <c r="O50" s="46" t="n">
        <f aca="false">IF(F50&gt;0,L50/F50-1,"")</f>
        <v>0</v>
      </c>
      <c r="P50" s="37" t="s">
        <v>37</v>
      </c>
      <c r="Q50" s="37"/>
      <c r="R50" s="37"/>
    </row>
    <row r="51" customFormat="false" ht="26.85" hidden="false" customHeight="false" outlineLevel="0" collapsed="false">
      <c r="A51" s="42" t="s">
        <v>17</v>
      </c>
      <c r="B51" s="42" t="s">
        <v>217</v>
      </c>
      <c r="C51" s="37" t="s">
        <v>218</v>
      </c>
      <c r="D51" s="42" t="s">
        <v>211</v>
      </c>
      <c r="E51" s="43" t="n">
        <v>240</v>
      </c>
      <c r="F51" s="44" t="n">
        <v>874</v>
      </c>
      <c r="G51" s="44" t="n">
        <f aca="false">E51*F51</f>
        <v>209760</v>
      </c>
      <c r="H51" s="43" t="n">
        <v>240</v>
      </c>
      <c r="I51" s="44" t="n">
        <v>874</v>
      </c>
      <c r="J51" s="44" t="n">
        <f aca="false">H51*I51</f>
        <v>209760</v>
      </c>
      <c r="K51" s="44"/>
      <c r="L51" s="44" t="n">
        <f aca="false">IF(K51&lt;&gt;"",K51,I51)</f>
        <v>874</v>
      </c>
      <c r="M51" s="44" t="n">
        <f aca="false">H51*L51</f>
        <v>209760</v>
      </c>
      <c r="N51" s="45" t="n">
        <f aca="false">M51-G51</f>
        <v>0</v>
      </c>
      <c r="O51" s="46" t="n">
        <f aca="false">IF(F51&gt;0,L51/F51-1,"")</f>
        <v>0</v>
      </c>
      <c r="P51" s="37" t="s">
        <v>37</v>
      </c>
      <c r="Q51" s="37"/>
      <c r="R51" s="37"/>
    </row>
    <row r="52" customFormat="false" ht="26.85" hidden="false" customHeight="false" outlineLevel="0" collapsed="false">
      <c r="A52" s="42" t="s">
        <v>17</v>
      </c>
      <c r="B52" s="42" t="s">
        <v>219</v>
      </c>
      <c r="C52" s="37" t="s">
        <v>220</v>
      </c>
      <c r="D52" s="42" t="s">
        <v>211</v>
      </c>
      <c r="E52" s="43" t="n">
        <v>640</v>
      </c>
      <c r="F52" s="44" t="n">
        <v>500</v>
      </c>
      <c r="G52" s="44" t="n">
        <f aca="false">E52*F52</f>
        <v>320000</v>
      </c>
      <c r="H52" s="43" t="n">
        <v>640</v>
      </c>
      <c r="I52" s="44" t="n">
        <v>500</v>
      </c>
      <c r="J52" s="44" t="n">
        <f aca="false">H52*I52</f>
        <v>320000</v>
      </c>
      <c r="K52" s="44"/>
      <c r="L52" s="44" t="n">
        <f aca="false">IF(K52&lt;&gt;"",K52,I52)</f>
        <v>500</v>
      </c>
      <c r="M52" s="44" t="n">
        <f aca="false">H52*L52</f>
        <v>320000</v>
      </c>
      <c r="N52" s="45" t="n">
        <f aca="false">M52-G52</f>
        <v>0</v>
      </c>
      <c r="O52" s="46" t="n">
        <f aca="false">IF(F52&gt;0,L52/F52-1,"")</f>
        <v>0</v>
      </c>
      <c r="P52" s="37" t="s">
        <v>37</v>
      </c>
      <c r="Q52" s="37"/>
      <c r="R52" s="37"/>
    </row>
    <row r="53" customFormat="false" ht="26.85" hidden="false" customHeight="false" outlineLevel="0" collapsed="false">
      <c r="A53" s="42" t="s">
        <v>17</v>
      </c>
      <c r="B53" s="42" t="s">
        <v>221</v>
      </c>
      <c r="C53" s="37" t="s">
        <v>222</v>
      </c>
      <c r="D53" s="42" t="s">
        <v>153</v>
      </c>
      <c r="E53" s="43" t="n">
        <v>0</v>
      </c>
      <c r="F53" s="44" t="n">
        <v>0</v>
      </c>
      <c r="G53" s="44" t="n">
        <f aca="false">E53*F53</f>
        <v>0</v>
      </c>
      <c r="H53" s="43" t="n">
        <v>0</v>
      </c>
      <c r="I53" s="44"/>
      <c r="J53" s="44" t="n">
        <f aca="false">H53*I53</f>
        <v>0</v>
      </c>
      <c r="K53" s="44"/>
      <c r="L53" s="44" t="n">
        <f aca="false">IF(K53&lt;&gt;"",K53,I53)</f>
        <v>0</v>
      </c>
      <c r="M53" s="44" t="n">
        <f aca="false">H53*L53</f>
        <v>0</v>
      </c>
      <c r="N53" s="45" t="n">
        <f aca="false">M53-G53</f>
        <v>0</v>
      </c>
      <c r="O53" s="46" t="str">
        <f aca="false">IF(F53&gt;0,L53/F53-1,"")</f>
        <v/>
      </c>
      <c r="P53" s="37" t="s">
        <v>37</v>
      </c>
      <c r="Q53" s="37"/>
      <c r="R53" s="37"/>
    </row>
    <row r="54" customFormat="false" ht="15" hidden="false" customHeight="false" outlineLevel="0" collapsed="false">
      <c r="A54" s="42" t="s">
        <v>17</v>
      </c>
      <c r="B54" s="42" t="s">
        <v>223</v>
      </c>
      <c r="C54" s="37" t="s">
        <v>224</v>
      </c>
      <c r="D54" s="42" t="s">
        <v>153</v>
      </c>
      <c r="E54" s="43" t="n">
        <v>136</v>
      </c>
      <c r="F54" s="44" t="n">
        <v>798</v>
      </c>
      <c r="G54" s="44" t="n">
        <f aca="false">E54*F54</f>
        <v>108528</v>
      </c>
      <c r="H54" s="43" t="n">
        <v>136</v>
      </c>
      <c r="I54" s="44" t="n">
        <v>798</v>
      </c>
      <c r="J54" s="44" t="n">
        <f aca="false">H54*I54</f>
        <v>108528</v>
      </c>
      <c r="K54" s="44"/>
      <c r="L54" s="44" t="n">
        <f aca="false">IF(K54&lt;&gt;"",K54,I54)</f>
        <v>798</v>
      </c>
      <c r="M54" s="44" t="n">
        <f aca="false">H54*L54</f>
        <v>108528</v>
      </c>
      <c r="N54" s="45" t="n">
        <f aca="false">M54-G54</f>
        <v>0</v>
      </c>
      <c r="O54" s="46" t="n">
        <f aca="false">IF(F54&gt;0,L54/F54-1,"")</f>
        <v>0</v>
      </c>
      <c r="P54" s="37" t="s">
        <v>37</v>
      </c>
      <c r="Q54" s="37"/>
      <c r="R54" s="37"/>
    </row>
    <row r="55" customFormat="false" ht="15" hidden="false" customHeight="false" outlineLevel="0" collapsed="false">
      <c r="A55" s="42" t="s">
        <v>17</v>
      </c>
      <c r="B55" s="42" t="s">
        <v>225</v>
      </c>
      <c r="C55" s="37" t="s">
        <v>226</v>
      </c>
      <c r="D55" s="42" t="s">
        <v>153</v>
      </c>
      <c r="E55" s="43" t="n">
        <v>288</v>
      </c>
      <c r="F55" s="44" t="n">
        <v>798</v>
      </c>
      <c r="G55" s="44" t="n">
        <f aca="false">E55*F55</f>
        <v>229824</v>
      </c>
      <c r="H55" s="43" t="n">
        <v>288</v>
      </c>
      <c r="I55" s="44" t="n">
        <v>798</v>
      </c>
      <c r="J55" s="44" t="n">
        <f aca="false">H55*I55</f>
        <v>229824</v>
      </c>
      <c r="K55" s="44"/>
      <c r="L55" s="44" t="n">
        <f aca="false">IF(K55&lt;&gt;"",K55,I55)</f>
        <v>798</v>
      </c>
      <c r="M55" s="44" t="n">
        <f aca="false">H55*L55</f>
        <v>229824</v>
      </c>
      <c r="N55" s="45" t="n">
        <f aca="false">M55-G55</f>
        <v>0</v>
      </c>
      <c r="O55" s="46" t="n">
        <f aca="false">IF(F55&gt;0,L55/F55-1,"")</f>
        <v>0</v>
      </c>
      <c r="P55" s="37" t="s">
        <v>37</v>
      </c>
      <c r="Q55" s="37"/>
      <c r="R55" s="37"/>
    </row>
    <row r="56" customFormat="false" ht="15" hidden="false" customHeight="false" outlineLevel="0" collapsed="false">
      <c r="A56" s="42" t="s">
        <v>17</v>
      </c>
      <c r="B56" s="42" t="s">
        <v>227</v>
      </c>
      <c r="C56" s="37" t="s">
        <v>228</v>
      </c>
      <c r="D56" s="42" t="s">
        <v>153</v>
      </c>
      <c r="E56" s="43" t="n">
        <v>216</v>
      </c>
      <c r="F56" s="44" t="n">
        <v>798</v>
      </c>
      <c r="G56" s="44" t="n">
        <f aca="false">E56*F56</f>
        <v>172368</v>
      </c>
      <c r="H56" s="43" t="n">
        <v>216</v>
      </c>
      <c r="I56" s="44" t="n">
        <v>798</v>
      </c>
      <c r="J56" s="44" t="n">
        <f aca="false">H56*I56</f>
        <v>172368</v>
      </c>
      <c r="K56" s="44"/>
      <c r="L56" s="44" t="n">
        <f aca="false">IF(K56&lt;&gt;"",K56,I56)</f>
        <v>798</v>
      </c>
      <c r="M56" s="44" t="n">
        <f aca="false">H56*L56</f>
        <v>172368</v>
      </c>
      <c r="N56" s="45" t="n">
        <f aca="false">M56-G56</f>
        <v>0</v>
      </c>
      <c r="O56" s="46" t="n">
        <f aca="false">IF(F56&gt;0,L56/F56-1,"")</f>
        <v>0</v>
      </c>
      <c r="P56" s="37" t="s">
        <v>37</v>
      </c>
      <c r="Q56" s="37"/>
      <c r="R56" s="37"/>
    </row>
    <row r="57" customFormat="false" ht="15" hidden="false" customHeight="false" outlineLevel="0" collapsed="false">
      <c r="A57" s="42" t="s">
        <v>17</v>
      </c>
      <c r="B57" s="42" t="s">
        <v>229</v>
      </c>
      <c r="C57" s="37" t="s">
        <v>230</v>
      </c>
      <c r="D57" s="42" t="s">
        <v>153</v>
      </c>
      <c r="E57" s="43" t="n">
        <v>272</v>
      </c>
      <c r="F57" s="44" t="n">
        <v>798</v>
      </c>
      <c r="G57" s="44" t="n">
        <f aca="false">E57*F57</f>
        <v>217056</v>
      </c>
      <c r="H57" s="43" t="n">
        <v>272</v>
      </c>
      <c r="I57" s="44" t="n">
        <v>798</v>
      </c>
      <c r="J57" s="44" t="n">
        <f aca="false">H57*I57</f>
        <v>217056</v>
      </c>
      <c r="K57" s="44"/>
      <c r="L57" s="44" t="n">
        <f aca="false">IF(K57&lt;&gt;"",K57,I57)</f>
        <v>798</v>
      </c>
      <c r="M57" s="44" t="n">
        <f aca="false">H57*L57</f>
        <v>217056</v>
      </c>
      <c r="N57" s="45" t="n">
        <f aca="false">M57-G57</f>
        <v>0</v>
      </c>
      <c r="O57" s="46" t="n">
        <f aca="false">IF(F57&gt;0,L57/F57-1,"")</f>
        <v>0</v>
      </c>
      <c r="P57" s="37" t="s">
        <v>37</v>
      </c>
      <c r="Q57" s="37"/>
      <c r="R57" s="37"/>
    </row>
    <row r="58" customFormat="false" ht="15" hidden="false" customHeight="false" outlineLevel="0" collapsed="false">
      <c r="A58" s="42" t="s">
        <v>17</v>
      </c>
      <c r="B58" s="42" t="s">
        <v>231</v>
      </c>
      <c r="C58" s="37" t="s">
        <v>232</v>
      </c>
      <c r="D58" s="42" t="s">
        <v>153</v>
      </c>
      <c r="E58" s="43" t="n">
        <v>96</v>
      </c>
      <c r="F58" s="44" t="n">
        <v>798</v>
      </c>
      <c r="G58" s="44" t="n">
        <f aca="false">E58*F58</f>
        <v>76608</v>
      </c>
      <c r="H58" s="43" t="n">
        <v>96</v>
      </c>
      <c r="I58" s="44" t="n">
        <v>798</v>
      </c>
      <c r="J58" s="44" t="n">
        <f aca="false">H58*I58</f>
        <v>76608</v>
      </c>
      <c r="K58" s="44"/>
      <c r="L58" s="44" t="n">
        <f aca="false">IF(K58&lt;&gt;"",K58,I58)</f>
        <v>798</v>
      </c>
      <c r="M58" s="44" t="n">
        <f aca="false">H58*L58</f>
        <v>76608</v>
      </c>
      <c r="N58" s="45" t="n">
        <f aca="false">M58-G58</f>
        <v>0</v>
      </c>
      <c r="O58" s="46" t="n">
        <f aca="false">IF(F58&gt;0,L58/F58-1,"")</f>
        <v>0</v>
      </c>
      <c r="P58" s="37" t="s">
        <v>37</v>
      </c>
      <c r="Q58" s="37"/>
      <c r="R58" s="37"/>
    </row>
    <row r="59" customFormat="false" ht="15" hidden="false" customHeight="false" outlineLevel="0" collapsed="false">
      <c r="A59" s="42" t="s">
        <v>17</v>
      </c>
      <c r="B59" s="42" t="s">
        <v>233</v>
      </c>
      <c r="C59" s="37" t="s">
        <v>234</v>
      </c>
      <c r="D59" s="42" t="s">
        <v>153</v>
      </c>
      <c r="E59" s="43" t="n">
        <v>8</v>
      </c>
      <c r="F59" s="44" t="n">
        <v>798</v>
      </c>
      <c r="G59" s="44" t="n">
        <f aca="false">E59*F59</f>
        <v>6384</v>
      </c>
      <c r="H59" s="43" t="n">
        <v>8</v>
      </c>
      <c r="I59" s="44" t="n">
        <v>798</v>
      </c>
      <c r="J59" s="44" t="n">
        <f aca="false">H59*I59</f>
        <v>6384</v>
      </c>
      <c r="K59" s="44"/>
      <c r="L59" s="44" t="n">
        <f aca="false">IF(K59&lt;&gt;"",K59,I59)</f>
        <v>798</v>
      </c>
      <c r="M59" s="44" t="n">
        <f aca="false">H59*L59</f>
        <v>6384</v>
      </c>
      <c r="N59" s="45" t="n">
        <f aca="false">M59-G59</f>
        <v>0</v>
      </c>
      <c r="O59" s="46" t="n">
        <f aca="false">IF(F59&gt;0,L59/F59-1,"")</f>
        <v>0</v>
      </c>
      <c r="P59" s="37" t="s">
        <v>37</v>
      </c>
      <c r="Q59" s="37"/>
      <c r="R59" s="37"/>
    </row>
    <row r="60" customFormat="false" ht="15" hidden="false" customHeight="false" outlineLevel="0" collapsed="false">
      <c r="A60" s="42" t="s">
        <v>17</v>
      </c>
      <c r="B60" s="42" t="s">
        <v>235</v>
      </c>
      <c r="C60" s="37" t="s">
        <v>236</v>
      </c>
      <c r="D60" s="42" t="s">
        <v>153</v>
      </c>
      <c r="E60" s="43" t="n">
        <v>24</v>
      </c>
      <c r="F60" s="44" t="n">
        <v>798</v>
      </c>
      <c r="G60" s="44" t="n">
        <f aca="false">E60*F60</f>
        <v>19152</v>
      </c>
      <c r="H60" s="43" t="n">
        <v>24</v>
      </c>
      <c r="I60" s="44" t="n">
        <v>798</v>
      </c>
      <c r="J60" s="44" t="n">
        <f aca="false">H60*I60</f>
        <v>19152</v>
      </c>
      <c r="K60" s="44"/>
      <c r="L60" s="44" t="n">
        <f aca="false">IF(K60&lt;&gt;"",K60,I60)</f>
        <v>798</v>
      </c>
      <c r="M60" s="44" t="n">
        <f aca="false">H60*L60</f>
        <v>19152</v>
      </c>
      <c r="N60" s="45" t="n">
        <f aca="false">M60-G60</f>
        <v>0</v>
      </c>
      <c r="O60" s="46" t="n">
        <f aca="false">IF(F60&gt;0,L60/F60-1,"")</f>
        <v>0</v>
      </c>
      <c r="P60" s="37" t="s">
        <v>37</v>
      </c>
      <c r="Q60" s="37"/>
      <c r="R60" s="37"/>
    </row>
    <row r="61" customFormat="false" ht="15" hidden="false" customHeight="false" outlineLevel="0" collapsed="false">
      <c r="A61" s="42" t="s">
        <v>17</v>
      </c>
      <c r="B61" s="42" t="s">
        <v>237</v>
      </c>
      <c r="C61" s="37" t="s">
        <v>238</v>
      </c>
      <c r="D61" s="42" t="s">
        <v>153</v>
      </c>
      <c r="E61" s="43" t="n">
        <v>48</v>
      </c>
      <c r="F61" s="44" t="n">
        <v>798</v>
      </c>
      <c r="G61" s="44" t="n">
        <f aca="false">E61*F61</f>
        <v>38304</v>
      </c>
      <c r="H61" s="43" t="n">
        <v>48</v>
      </c>
      <c r="I61" s="44" t="n">
        <v>798</v>
      </c>
      <c r="J61" s="44" t="n">
        <f aca="false">H61*I61</f>
        <v>38304</v>
      </c>
      <c r="K61" s="44"/>
      <c r="L61" s="44" t="n">
        <f aca="false">IF(K61&lt;&gt;"",K61,I61)</f>
        <v>798</v>
      </c>
      <c r="M61" s="44" t="n">
        <f aca="false">H61*L61</f>
        <v>38304</v>
      </c>
      <c r="N61" s="45" t="n">
        <f aca="false">M61-G61</f>
        <v>0</v>
      </c>
      <c r="O61" s="46" t="n">
        <f aca="false">IF(F61&gt;0,L61/F61-1,"")</f>
        <v>0</v>
      </c>
      <c r="P61" s="37" t="s">
        <v>37</v>
      </c>
      <c r="Q61" s="37"/>
      <c r="R61" s="37"/>
    </row>
    <row r="62" customFormat="false" ht="15" hidden="false" customHeight="false" outlineLevel="0" collapsed="false">
      <c r="A62" s="42" t="s">
        <v>17</v>
      </c>
      <c r="B62" s="42" t="s">
        <v>239</v>
      </c>
      <c r="C62" s="37" t="s">
        <v>240</v>
      </c>
      <c r="D62" s="42" t="s">
        <v>153</v>
      </c>
      <c r="E62" s="43" t="n">
        <v>16</v>
      </c>
      <c r="F62" s="44" t="n">
        <v>798</v>
      </c>
      <c r="G62" s="44" t="n">
        <f aca="false">E62*F62</f>
        <v>12768</v>
      </c>
      <c r="H62" s="43" t="n">
        <v>16</v>
      </c>
      <c r="I62" s="44" t="n">
        <v>798</v>
      </c>
      <c r="J62" s="44" t="n">
        <f aca="false">H62*I62</f>
        <v>12768</v>
      </c>
      <c r="K62" s="44"/>
      <c r="L62" s="44" t="n">
        <f aca="false">IF(K62&lt;&gt;"",K62,I62)</f>
        <v>798</v>
      </c>
      <c r="M62" s="44" t="n">
        <f aca="false">H62*L62</f>
        <v>12768</v>
      </c>
      <c r="N62" s="45" t="n">
        <f aca="false">M62-G62</f>
        <v>0</v>
      </c>
      <c r="O62" s="46" t="n">
        <f aca="false">IF(F62&gt;0,L62/F62-1,"")</f>
        <v>0</v>
      </c>
      <c r="P62" s="37" t="s">
        <v>37</v>
      </c>
      <c r="Q62" s="37"/>
      <c r="R62" s="37"/>
    </row>
    <row r="63" customFormat="false" ht="15" hidden="false" customHeight="false" outlineLevel="0" collapsed="false">
      <c r="A63" s="42" t="s">
        <v>17</v>
      </c>
      <c r="B63" s="42" t="s">
        <v>241</v>
      </c>
      <c r="C63" s="37" t="s">
        <v>242</v>
      </c>
      <c r="D63" s="42" t="s">
        <v>153</v>
      </c>
      <c r="E63" s="43" t="n">
        <v>32</v>
      </c>
      <c r="F63" s="44" t="n">
        <v>798</v>
      </c>
      <c r="G63" s="44" t="n">
        <f aca="false">E63*F63</f>
        <v>25536</v>
      </c>
      <c r="H63" s="43" t="n">
        <v>32</v>
      </c>
      <c r="I63" s="44" t="n">
        <v>798</v>
      </c>
      <c r="J63" s="44" t="n">
        <f aca="false">H63*I63</f>
        <v>25536</v>
      </c>
      <c r="K63" s="44"/>
      <c r="L63" s="44" t="n">
        <f aca="false">IF(K63&lt;&gt;"",K63,I63)</f>
        <v>798</v>
      </c>
      <c r="M63" s="44" t="n">
        <f aca="false">H63*L63</f>
        <v>25536</v>
      </c>
      <c r="N63" s="45" t="n">
        <f aca="false">M63-G63</f>
        <v>0</v>
      </c>
      <c r="O63" s="46" t="n">
        <f aca="false">IF(F63&gt;0,L63/F63-1,"")</f>
        <v>0</v>
      </c>
      <c r="P63" s="37" t="s">
        <v>37</v>
      </c>
      <c r="Q63" s="37"/>
      <c r="R63" s="37"/>
    </row>
    <row r="64" customFormat="false" ht="15" hidden="false" customHeight="false" outlineLevel="0" collapsed="false">
      <c r="A64" s="42" t="s">
        <v>17</v>
      </c>
      <c r="B64" s="42" t="s">
        <v>243</v>
      </c>
      <c r="C64" s="37" t="s">
        <v>244</v>
      </c>
      <c r="D64" s="42" t="s">
        <v>153</v>
      </c>
      <c r="E64" s="43" t="n">
        <v>40</v>
      </c>
      <c r="F64" s="44" t="n">
        <v>798</v>
      </c>
      <c r="G64" s="44" t="n">
        <f aca="false">E64*F64</f>
        <v>31920</v>
      </c>
      <c r="H64" s="43" t="n">
        <v>40</v>
      </c>
      <c r="I64" s="44" t="n">
        <v>798</v>
      </c>
      <c r="J64" s="44" t="n">
        <f aca="false">H64*I64</f>
        <v>31920</v>
      </c>
      <c r="K64" s="44"/>
      <c r="L64" s="44" t="n">
        <f aca="false">IF(K64&lt;&gt;"",K64,I64)</f>
        <v>798</v>
      </c>
      <c r="M64" s="44" t="n">
        <f aca="false">H64*L64</f>
        <v>31920</v>
      </c>
      <c r="N64" s="45" t="n">
        <f aca="false">M64-G64</f>
        <v>0</v>
      </c>
      <c r="O64" s="46" t="n">
        <f aca="false">IF(F64&gt;0,L64/F64-1,"")</f>
        <v>0</v>
      </c>
      <c r="P64" s="37" t="s">
        <v>37</v>
      </c>
      <c r="Q64" s="37"/>
      <c r="R64" s="37"/>
    </row>
    <row r="65" customFormat="false" ht="15" hidden="false" customHeight="false" outlineLevel="0" collapsed="false">
      <c r="A65" s="42" t="s">
        <v>17</v>
      </c>
      <c r="B65" s="42" t="s">
        <v>245</v>
      </c>
      <c r="C65" s="37" t="s">
        <v>246</v>
      </c>
      <c r="D65" s="42" t="s">
        <v>153</v>
      </c>
      <c r="E65" s="43" t="n">
        <v>24</v>
      </c>
      <c r="F65" s="44" t="n">
        <v>798</v>
      </c>
      <c r="G65" s="44" t="n">
        <f aca="false">E65*F65</f>
        <v>19152</v>
      </c>
      <c r="H65" s="43" t="n">
        <v>24</v>
      </c>
      <c r="I65" s="44" t="n">
        <v>798</v>
      </c>
      <c r="J65" s="44" t="n">
        <f aca="false">H65*I65</f>
        <v>19152</v>
      </c>
      <c r="K65" s="44"/>
      <c r="L65" s="44" t="n">
        <f aca="false">IF(K65&lt;&gt;"",K65,I65)</f>
        <v>798</v>
      </c>
      <c r="M65" s="44" t="n">
        <f aca="false">H65*L65</f>
        <v>19152</v>
      </c>
      <c r="N65" s="45" t="n">
        <f aca="false">M65-G65</f>
        <v>0</v>
      </c>
      <c r="O65" s="46" t="n">
        <f aca="false">IF(F65&gt;0,L65/F65-1,"")</f>
        <v>0</v>
      </c>
      <c r="P65" s="37" t="s">
        <v>37</v>
      </c>
      <c r="Q65" s="37"/>
      <c r="R65" s="37"/>
    </row>
    <row r="66" customFormat="false" ht="15" hidden="false" customHeight="false" outlineLevel="0" collapsed="false">
      <c r="A66" s="42" t="s">
        <v>17</v>
      </c>
      <c r="B66" s="42" t="s">
        <v>247</v>
      </c>
      <c r="C66" s="37" t="s">
        <v>248</v>
      </c>
      <c r="D66" s="42" t="s">
        <v>153</v>
      </c>
      <c r="E66" s="43" t="n">
        <v>24</v>
      </c>
      <c r="F66" s="44" t="n">
        <v>798</v>
      </c>
      <c r="G66" s="44" t="n">
        <f aca="false">E66*F66</f>
        <v>19152</v>
      </c>
      <c r="H66" s="43" t="n">
        <v>24</v>
      </c>
      <c r="I66" s="44" t="n">
        <v>798</v>
      </c>
      <c r="J66" s="44" t="n">
        <f aca="false">H66*I66</f>
        <v>19152</v>
      </c>
      <c r="K66" s="44"/>
      <c r="L66" s="44" t="n">
        <f aca="false">IF(K66&lt;&gt;"",K66,I66)</f>
        <v>798</v>
      </c>
      <c r="M66" s="44" t="n">
        <f aca="false">H66*L66</f>
        <v>19152</v>
      </c>
      <c r="N66" s="45" t="n">
        <f aca="false">M66-G66</f>
        <v>0</v>
      </c>
      <c r="O66" s="46" t="n">
        <f aca="false">IF(F66&gt;0,L66/F66-1,"")</f>
        <v>0</v>
      </c>
      <c r="P66" s="37" t="s">
        <v>37</v>
      </c>
      <c r="Q66" s="37"/>
      <c r="R66" s="37"/>
    </row>
    <row r="67" customFormat="false" ht="15" hidden="false" customHeight="false" outlineLevel="0" collapsed="false">
      <c r="A67" s="42" t="s">
        <v>17</v>
      </c>
      <c r="B67" s="42" t="s">
        <v>249</v>
      </c>
      <c r="C67" s="37" t="s">
        <v>250</v>
      </c>
      <c r="D67" s="42" t="s">
        <v>153</v>
      </c>
      <c r="E67" s="43" t="n">
        <v>16</v>
      </c>
      <c r="F67" s="44" t="n">
        <v>798</v>
      </c>
      <c r="G67" s="44" t="n">
        <f aca="false">E67*F67</f>
        <v>12768</v>
      </c>
      <c r="H67" s="43" t="n">
        <v>16</v>
      </c>
      <c r="I67" s="44" t="n">
        <v>798</v>
      </c>
      <c r="J67" s="44" t="n">
        <f aca="false">H67*I67</f>
        <v>12768</v>
      </c>
      <c r="K67" s="44"/>
      <c r="L67" s="44" t="n">
        <f aca="false">IF(K67&lt;&gt;"",K67,I67)</f>
        <v>798</v>
      </c>
      <c r="M67" s="44" t="n">
        <f aca="false">H67*L67</f>
        <v>12768</v>
      </c>
      <c r="N67" s="45" t="n">
        <f aca="false">M67-G67</f>
        <v>0</v>
      </c>
      <c r="O67" s="46" t="n">
        <f aca="false">IF(F67&gt;0,L67/F67-1,"")</f>
        <v>0</v>
      </c>
      <c r="P67" s="37" t="s">
        <v>37</v>
      </c>
      <c r="Q67" s="37"/>
      <c r="R67" s="37"/>
    </row>
    <row r="68" customFormat="false" ht="15" hidden="false" customHeight="false" outlineLevel="0" collapsed="false">
      <c r="A68" s="42" t="s">
        <v>17</v>
      </c>
      <c r="B68" s="42" t="s">
        <v>251</v>
      </c>
      <c r="C68" s="37" t="s">
        <v>252</v>
      </c>
      <c r="D68" s="42" t="s">
        <v>153</v>
      </c>
      <c r="E68" s="43" t="n">
        <v>48</v>
      </c>
      <c r="F68" s="44" t="n">
        <v>798</v>
      </c>
      <c r="G68" s="44" t="n">
        <f aca="false">E68*F68</f>
        <v>38304</v>
      </c>
      <c r="H68" s="43" t="n">
        <v>48</v>
      </c>
      <c r="I68" s="44" t="n">
        <v>798</v>
      </c>
      <c r="J68" s="44" t="n">
        <f aca="false">H68*I68</f>
        <v>38304</v>
      </c>
      <c r="K68" s="44"/>
      <c r="L68" s="44" t="n">
        <f aca="false">IF(K68&lt;&gt;"",K68,I68)</f>
        <v>798</v>
      </c>
      <c r="M68" s="44" t="n">
        <f aca="false">H68*L68</f>
        <v>38304</v>
      </c>
      <c r="N68" s="45" t="n">
        <f aca="false">M68-G68</f>
        <v>0</v>
      </c>
      <c r="O68" s="46" t="n">
        <f aca="false">IF(F68&gt;0,L68/F68-1,"")</f>
        <v>0</v>
      </c>
      <c r="P68" s="37" t="s">
        <v>37</v>
      </c>
      <c r="Q68" s="37"/>
      <c r="R68" s="37"/>
    </row>
    <row r="69" customFormat="false" ht="15" hidden="false" customHeight="false" outlineLevel="0" collapsed="false">
      <c r="A69" s="42" t="s">
        <v>17</v>
      </c>
      <c r="B69" s="42" t="s">
        <v>253</v>
      </c>
      <c r="C69" s="37" t="s">
        <v>254</v>
      </c>
      <c r="D69" s="42" t="s">
        <v>153</v>
      </c>
      <c r="E69" s="43" t="n">
        <v>24</v>
      </c>
      <c r="F69" s="44" t="n">
        <v>798</v>
      </c>
      <c r="G69" s="44" t="n">
        <f aca="false">E69*F69</f>
        <v>19152</v>
      </c>
      <c r="H69" s="43" t="n">
        <v>24</v>
      </c>
      <c r="I69" s="44" t="n">
        <v>798</v>
      </c>
      <c r="J69" s="44" t="n">
        <f aca="false">H69*I69</f>
        <v>19152</v>
      </c>
      <c r="K69" s="44"/>
      <c r="L69" s="44" t="n">
        <f aca="false">IF(K69&lt;&gt;"",K69,I69)</f>
        <v>798</v>
      </c>
      <c r="M69" s="44" t="n">
        <f aca="false">H69*L69</f>
        <v>19152</v>
      </c>
      <c r="N69" s="45" t="n">
        <f aca="false">M69-G69</f>
        <v>0</v>
      </c>
      <c r="O69" s="46" t="n">
        <f aca="false">IF(F69&gt;0,L69/F69-1,"")</f>
        <v>0</v>
      </c>
      <c r="P69" s="37" t="s">
        <v>37</v>
      </c>
      <c r="Q69" s="37"/>
      <c r="R69" s="37"/>
    </row>
    <row r="70" customFormat="false" ht="15" hidden="false" customHeight="false" outlineLevel="0" collapsed="false">
      <c r="A70" s="42" t="s">
        <v>17</v>
      </c>
      <c r="B70" s="42" t="s">
        <v>255</v>
      </c>
      <c r="C70" s="37" t="s">
        <v>256</v>
      </c>
      <c r="D70" s="42" t="s">
        <v>153</v>
      </c>
      <c r="E70" s="43" t="n">
        <v>40</v>
      </c>
      <c r="F70" s="44" t="n">
        <v>798</v>
      </c>
      <c r="G70" s="44" t="n">
        <f aca="false">E70*F70</f>
        <v>31920</v>
      </c>
      <c r="H70" s="43" t="n">
        <v>40</v>
      </c>
      <c r="I70" s="44" t="n">
        <v>798</v>
      </c>
      <c r="J70" s="44" t="n">
        <f aca="false">H70*I70</f>
        <v>31920</v>
      </c>
      <c r="K70" s="44"/>
      <c r="L70" s="44" t="n">
        <f aca="false">IF(K70&lt;&gt;"",K70,I70)</f>
        <v>798</v>
      </c>
      <c r="M70" s="44" t="n">
        <f aca="false">H70*L70</f>
        <v>31920</v>
      </c>
      <c r="N70" s="45" t="n">
        <f aca="false">M70-G70</f>
        <v>0</v>
      </c>
      <c r="O70" s="46" t="n">
        <f aca="false">IF(F70&gt;0,L70/F70-1,"")</f>
        <v>0</v>
      </c>
      <c r="P70" s="37" t="s">
        <v>37</v>
      </c>
      <c r="Q70" s="37"/>
      <c r="R70" s="37"/>
    </row>
    <row r="71" customFormat="false" ht="15" hidden="false" customHeight="false" outlineLevel="0" collapsed="false">
      <c r="A71" s="42" t="s">
        <v>17</v>
      </c>
      <c r="B71" s="42" t="s">
        <v>257</v>
      </c>
      <c r="C71" s="37" t="s">
        <v>258</v>
      </c>
      <c r="D71" s="42" t="s">
        <v>153</v>
      </c>
      <c r="E71" s="43" t="n">
        <v>24</v>
      </c>
      <c r="F71" s="44" t="n">
        <v>798</v>
      </c>
      <c r="G71" s="44" t="n">
        <f aca="false">E71*F71</f>
        <v>19152</v>
      </c>
      <c r="H71" s="43" t="n">
        <v>24</v>
      </c>
      <c r="I71" s="44" t="n">
        <v>798</v>
      </c>
      <c r="J71" s="44" t="n">
        <f aca="false">H71*I71</f>
        <v>19152</v>
      </c>
      <c r="K71" s="44"/>
      <c r="L71" s="44" t="n">
        <f aca="false">IF(K71&lt;&gt;"",K71,I71)</f>
        <v>798</v>
      </c>
      <c r="M71" s="44" t="n">
        <f aca="false">H71*L71</f>
        <v>19152</v>
      </c>
      <c r="N71" s="45" t="n">
        <f aca="false">M71-G71</f>
        <v>0</v>
      </c>
      <c r="O71" s="46" t="n">
        <f aca="false">IF(F71&gt;0,L71/F71-1,"")</f>
        <v>0</v>
      </c>
      <c r="P71" s="37" t="s">
        <v>37</v>
      </c>
      <c r="Q71" s="37"/>
      <c r="R71" s="37"/>
    </row>
    <row r="72" customFormat="false" ht="15" hidden="false" customHeight="false" outlineLevel="0" collapsed="false">
      <c r="A72" s="42" t="s">
        <v>17</v>
      </c>
      <c r="B72" s="42" t="s">
        <v>259</v>
      </c>
      <c r="C72" s="37" t="s">
        <v>260</v>
      </c>
      <c r="D72" s="42" t="s">
        <v>153</v>
      </c>
      <c r="E72" s="43" t="n">
        <v>24</v>
      </c>
      <c r="F72" s="44" t="n">
        <v>798</v>
      </c>
      <c r="G72" s="44" t="n">
        <f aca="false">E72*F72</f>
        <v>19152</v>
      </c>
      <c r="H72" s="43" t="n">
        <v>24</v>
      </c>
      <c r="I72" s="44" t="n">
        <v>798</v>
      </c>
      <c r="J72" s="44" t="n">
        <f aca="false">H72*I72</f>
        <v>19152</v>
      </c>
      <c r="K72" s="44"/>
      <c r="L72" s="44" t="n">
        <f aca="false">IF(K72&lt;&gt;"",K72,I72)</f>
        <v>798</v>
      </c>
      <c r="M72" s="44" t="n">
        <f aca="false">H72*L72</f>
        <v>19152</v>
      </c>
      <c r="N72" s="45" t="n">
        <f aca="false">M72-G72</f>
        <v>0</v>
      </c>
      <c r="O72" s="46" t="n">
        <f aca="false">IF(F72&gt;0,L72/F72-1,"")</f>
        <v>0</v>
      </c>
      <c r="P72" s="37" t="s">
        <v>37</v>
      </c>
      <c r="Q72" s="37"/>
      <c r="R72" s="37"/>
    </row>
    <row r="73" customFormat="false" ht="15" hidden="false" customHeight="false" outlineLevel="0" collapsed="false">
      <c r="A73" s="42" t="s">
        <v>17</v>
      </c>
      <c r="B73" s="42" t="s">
        <v>261</v>
      </c>
      <c r="C73" s="37" t="s">
        <v>262</v>
      </c>
      <c r="D73" s="42" t="s">
        <v>153</v>
      </c>
      <c r="E73" s="43" t="n">
        <v>16</v>
      </c>
      <c r="F73" s="44" t="n">
        <v>798</v>
      </c>
      <c r="G73" s="44" t="n">
        <f aca="false">E73*F73</f>
        <v>12768</v>
      </c>
      <c r="H73" s="43" t="n">
        <v>16</v>
      </c>
      <c r="I73" s="44" t="n">
        <v>798</v>
      </c>
      <c r="J73" s="44" t="n">
        <f aca="false">H73*I73</f>
        <v>12768</v>
      </c>
      <c r="K73" s="44"/>
      <c r="L73" s="44" t="n">
        <f aca="false">IF(K73&lt;&gt;"",K73,I73)</f>
        <v>798</v>
      </c>
      <c r="M73" s="44" t="n">
        <f aca="false">H73*L73</f>
        <v>12768</v>
      </c>
      <c r="N73" s="45" t="n">
        <f aca="false">M73-G73</f>
        <v>0</v>
      </c>
      <c r="O73" s="46" t="n">
        <f aca="false">IF(F73&gt;0,L73/F73-1,"")</f>
        <v>0</v>
      </c>
      <c r="P73" s="37" t="s">
        <v>37</v>
      </c>
      <c r="Q73" s="37"/>
      <c r="R73" s="37"/>
    </row>
    <row r="74" customFormat="false" ht="15" hidden="false" customHeight="false" outlineLevel="0" collapsed="false">
      <c r="A74" s="42" t="s">
        <v>17</v>
      </c>
      <c r="B74" s="42" t="s">
        <v>263</v>
      </c>
      <c r="C74" s="37" t="s">
        <v>264</v>
      </c>
      <c r="D74" s="42" t="s">
        <v>153</v>
      </c>
      <c r="E74" s="43" t="n">
        <v>8</v>
      </c>
      <c r="F74" s="44" t="n">
        <v>798</v>
      </c>
      <c r="G74" s="44" t="n">
        <f aca="false">E74*F74</f>
        <v>6384</v>
      </c>
      <c r="H74" s="43" t="n">
        <v>8</v>
      </c>
      <c r="I74" s="44" t="n">
        <v>798</v>
      </c>
      <c r="J74" s="44" t="n">
        <f aca="false">H74*I74</f>
        <v>6384</v>
      </c>
      <c r="K74" s="44"/>
      <c r="L74" s="44" t="n">
        <f aca="false">IF(K74&lt;&gt;"",K74,I74)</f>
        <v>798</v>
      </c>
      <c r="M74" s="44" t="n">
        <f aca="false">H74*L74</f>
        <v>6384</v>
      </c>
      <c r="N74" s="45" t="n">
        <f aca="false">M74-G74</f>
        <v>0</v>
      </c>
      <c r="O74" s="46" t="n">
        <f aca="false">IF(F74&gt;0,L74/F74-1,"")</f>
        <v>0</v>
      </c>
      <c r="P74" s="37" t="s">
        <v>37</v>
      </c>
      <c r="Q74" s="37"/>
      <c r="R74" s="37"/>
    </row>
    <row r="75" customFormat="false" ht="15" hidden="false" customHeight="false" outlineLevel="0" collapsed="false">
      <c r="A75" s="42" t="s">
        <v>17</v>
      </c>
      <c r="B75" s="42" t="s">
        <v>265</v>
      </c>
      <c r="C75" s="37" t="s">
        <v>183</v>
      </c>
      <c r="D75" s="42" t="s">
        <v>153</v>
      </c>
      <c r="E75" s="43" t="n">
        <v>128</v>
      </c>
      <c r="F75" s="44" t="n">
        <v>285</v>
      </c>
      <c r="G75" s="44" t="n">
        <f aca="false">E75*F75</f>
        <v>36480</v>
      </c>
      <c r="H75" s="43" t="n">
        <v>128</v>
      </c>
      <c r="I75" s="44" t="n">
        <v>285</v>
      </c>
      <c r="J75" s="44" t="n">
        <f aca="false">H75*I75</f>
        <v>36480</v>
      </c>
      <c r="K75" s="44"/>
      <c r="L75" s="44" t="n">
        <f aca="false">IF(K75&lt;&gt;"",K75,I75)</f>
        <v>285</v>
      </c>
      <c r="M75" s="44" t="n">
        <f aca="false">H75*L75</f>
        <v>36480</v>
      </c>
      <c r="N75" s="45" t="n">
        <f aca="false">M75-G75</f>
        <v>0</v>
      </c>
      <c r="O75" s="46" t="n">
        <f aca="false">IF(F75&gt;0,L75/F75-1,"")</f>
        <v>0</v>
      </c>
      <c r="P75" s="37" t="s">
        <v>37</v>
      </c>
      <c r="Q75" s="37"/>
      <c r="R75" s="37"/>
    </row>
    <row r="76" customFormat="false" ht="26.85" hidden="false" customHeight="false" outlineLevel="0" collapsed="false">
      <c r="A76" s="23" t="s">
        <v>17</v>
      </c>
      <c r="B76" s="23" t="s">
        <v>266</v>
      </c>
      <c r="C76" s="24" t="s">
        <v>267</v>
      </c>
      <c r="D76" s="23" t="s">
        <v>211</v>
      </c>
      <c r="E76" s="25" t="n">
        <v>1280</v>
      </c>
      <c r="F76" s="26" t="n">
        <v>200</v>
      </c>
      <c r="G76" s="26" t="n">
        <f aca="false">E76*F76</f>
        <v>256000</v>
      </c>
      <c r="H76" s="25" t="n">
        <v>1280</v>
      </c>
      <c r="I76" s="26" t="n">
        <v>200</v>
      </c>
      <c r="J76" s="26" t="n">
        <f aca="false">H76*I76</f>
        <v>256000</v>
      </c>
      <c r="K76" s="26" t="n">
        <v>150</v>
      </c>
      <c r="L76" s="26" t="n">
        <f aca="false">IF(K76&lt;&gt;"",K76,I76)</f>
        <v>150</v>
      </c>
      <c r="M76" s="26" t="n">
        <f aca="false">H76*L76</f>
        <v>192000</v>
      </c>
      <c r="N76" s="28" t="n">
        <f aca="false">M76-G76</f>
        <v>-64000</v>
      </c>
      <c r="O76" s="27" t="n">
        <f aca="false">IF(F76&gt;0,L76/F76-1,"")</f>
        <v>-0.25</v>
      </c>
      <c r="P76" s="24" t="s">
        <v>34</v>
      </c>
      <c r="Q76" s="24" t="s">
        <v>268</v>
      </c>
      <c r="R76" s="24" t="s">
        <v>188</v>
      </c>
    </row>
    <row r="77" customFormat="false" ht="26.85" hidden="false" customHeight="false" outlineLevel="0" collapsed="false">
      <c r="A77" s="23" t="s">
        <v>17</v>
      </c>
      <c r="B77" s="23" t="s">
        <v>269</v>
      </c>
      <c r="C77" s="24" t="s">
        <v>270</v>
      </c>
      <c r="D77" s="23" t="s">
        <v>211</v>
      </c>
      <c r="E77" s="25" t="n">
        <v>800</v>
      </c>
      <c r="F77" s="26" t="n">
        <v>200</v>
      </c>
      <c r="G77" s="26" t="n">
        <f aca="false">E77*F77</f>
        <v>160000</v>
      </c>
      <c r="H77" s="25" t="n">
        <v>800</v>
      </c>
      <c r="I77" s="26" t="n">
        <v>200</v>
      </c>
      <c r="J77" s="26" t="n">
        <f aca="false">H77*I77</f>
        <v>160000</v>
      </c>
      <c r="K77" s="26" t="n">
        <v>150</v>
      </c>
      <c r="L77" s="26" t="n">
        <f aca="false">IF(K77&lt;&gt;"",K77,I77)</f>
        <v>150</v>
      </c>
      <c r="M77" s="26" t="n">
        <f aca="false">H77*L77</f>
        <v>120000</v>
      </c>
      <c r="N77" s="28" t="n">
        <f aca="false">M77-G77</f>
        <v>-40000</v>
      </c>
      <c r="O77" s="27" t="n">
        <f aca="false">IF(F77&gt;0,L77/F77-1,"")</f>
        <v>-0.25</v>
      </c>
      <c r="P77" s="24" t="s">
        <v>34</v>
      </c>
      <c r="Q77" s="24" t="s">
        <v>268</v>
      </c>
      <c r="R77" s="24" t="s">
        <v>188</v>
      </c>
    </row>
    <row r="78" customFormat="false" ht="26.85" hidden="false" customHeight="false" outlineLevel="0" collapsed="false">
      <c r="A78" s="42" t="s">
        <v>17</v>
      </c>
      <c r="B78" s="42" t="s">
        <v>271</v>
      </c>
      <c r="C78" s="37" t="s">
        <v>272</v>
      </c>
      <c r="D78" s="42" t="s">
        <v>211</v>
      </c>
      <c r="E78" s="43" t="n">
        <v>200</v>
      </c>
      <c r="F78" s="44" t="n">
        <v>228</v>
      </c>
      <c r="G78" s="44" t="n">
        <f aca="false">E78*F78</f>
        <v>45600</v>
      </c>
      <c r="H78" s="43" t="n">
        <v>200</v>
      </c>
      <c r="I78" s="44" t="n">
        <v>228</v>
      </c>
      <c r="J78" s="44" t="n">
        <f aca="false">H78*I78</f>
        <v>45600</v>
      </c>
      <c r="K78" s="44"/>
      <c r="L78" s="44" t="n">
        <f aca="false">IF(K78&lt;&gt;"",K78,I78)</f>
        <v>228</v>
      </c>
      <c r="M78" s="44" t="n">
        <f aca="false">H78*L78</f>
        <v>45600</v>
      </c>
      <c r="N78" s="45" t="n">
        <f aca="false">M78-G78</f>
        <v>0</v>
      </c>
      <c r="O78" s="46" t="n">
        <f aca="false">IF(F78&gt;0,L78/F78-1,"")</f>
        <v>0</v>
      </c>
      <c r="P78" s="37" t="s">
        <v>37</v>
      </c>
      <c r="Q78" s="37"/>
      <c r="R78" s="37"/>
    </row>
    <row r="79" customFormat="false" ht="26.85" hidden="false" customHeight="false" outlineLevel="0" collapsed="false">
      <c r="A79" s="42" t="s">
        <v>17</v>
      </c>
      <c r="B79" s="42" t="s">
        <v>273</v>
      </c>
      <c r="C79" s="37" t="s">
        <v>274</v>
      </c>
      <c r="D79" s="42"/>
      <c r="E79" s="43" t="n">
        <v>240</v>
      </c>
      <c r="F79" s="44" t="n">
        <v>228</v>
      </c>
      <c r="G79" s="44" t="n">
        <f aca="false">E79*F79</f>
        <v>54720</v>
      </c>
      <c r="H79" s="43" t="n">
        <v>240</v>
      </c>
      <c r="I79" s="44" t="n">
        <v>228</v>
      </c>
      <c r="J79" s="44" t="n">
        <f aca="false">H79*I79</f>
        <v>54720</v>
      </c>
      <c r="K79" s="44"/>
      <c r="L79" s="44" t="n">
        <f aca="false">IF(K79&lt;&gt;"",K79,I79)</f>
        <v>228</v>
      </c>
      <c r="M79" s="44" t="n">
        <f aca="false">H79*L79</f>
        <v>54720</v>
      </c>
      <c r="N79" s="45" t="n">
        <f aca="false">M79-G79</f>
        <v>0</v>
      </c>
      <c r="O79" s="46" t="n">
        <f aca="false">IF(F79&gt;0,L79/F79-1,"")</f>
        <v>0</v>
      </c>
      <c r="P79" s="37" t="s">
        <v>37</v>
      </c>
      <c r="Q79" s="37"/>
      <c r="R79" s="37"/>
    </row>
    <row r="80" customFormat="false" ht="26.85" hidden="false" customHeight="false" outlineLevel="0" collapsed="false">
      <c r="A80" s="42" t="s">
        <v>17</v>
      </c>
      <c r="B80" s="42" t="s">
        <v>275</v>
      </c>
      <c r="C80" s="37" t="s">
        <v>276</v>
      </c>
      <c r="D80" s="42" t="s">
        <v>211</v>
      </c>
      <c r="E80" s="43" t="n">
        <v>640</v>
      </c>
      <c r="F80" s="44" t="n">
        <v>150</v>
      </c>
      <c r="G80" s="44" t="n">
        <f aca="false">E80*F80</f>
        <v>96000</v>
      </c>
      <c r="H80" s="43" t="n">
        <v>640</v>
      </c>
      <c r="I80" s="44" t="n">
        <v>150</v>
      </c>
      <c r="J80" s="44" t="n">
        <f aca="false">H80*I80</f>
        <v>96000</v>
      </c>
      <c r="K80" s="44"/>
      <c r="L80" s="44" t="n">
        <f aca="false">IF(K80&lt;&gt;"",K80,I80)</f>
        <v>150</v>
      </c>
      <c r="M80" s="44" t="n">
        <f aca="false">H80*L80</f>
        <v>96000</v>
      </c>
      <c r="N80" s="45" t="n">
        <f aca="false">M80-G80</f>
        <v>0</v>
      </c>
      <c r="O80" s="46" t="n">
        <f aca="false">IF(F80&gt;0,L80/F80-1,"")</f>
        <v>0</v>
      </c>
      <c r="P80" s="37" t="s">
        <v>37</v>
      </c>
      <c r="Q80" s="37"/>
      <c r="R80" s="37"/>
    </row>
    <row r="81" customFormat="false" ht="15" hidden="false" customHeight="false" outlineLevel="0" collapsed="false">
      <c r="A81" s="42" t="s">
        <v>17</v>
      </c>
      <c r="B81" s="42" t="s">
        <v>277</v>
      </c>
      <c r="C81" s="37" t="s">
        <v>190</v>
      </c>
      <c r="D81" s="42" t="s">
        <v>278</v>
      </c>
      <c r="E81" s="43" t="n">
        <v>4</v>
      </c>
      <c r="F81" s="44" t="n">
        <v>120000</v>
      </c>
      <c r="G81" s="44" t="n">
        <f aca="false">E81*F81</f>
        <v>480000</v>
      </c>
      <c r="H81" s="43" t="n">
        <v>4</v>
      </c>
      <c r="I81" s="44" t="n">
        <v>120000</v>
      </c>
      <c r="J81" s="44" t="n">
        <f aca="false">H81*I81</f>
        <v>480000</v>
      </c>
      <c r="K81" s="44"/>
      <c r="L81" s="44" t="n">
        <f aca="false">IF(K81&lt;&gt;"",K81,I81)</f>
        <v>120000</v>
      </c>
      <c r="M81" s="44" t="n">
        <f aca="false">H81*L81</f>
        <v>480000</v>
      </c>
      <c r="N81" s="45" t="n">
        <f aca="false">M81-G81</f>
        <v>0</v>
      </c>
      <c r="O81" s="46" t="n">
        <f aca="false">IF(F81&gt;0,L81/F81-1,"")</f>
        <v>0</v>
      </c>
      <c r="P81" s="37" t="s">
        <v>37</v>
      </c>
      <c r="Q81" s="37"/>
      <c r="R81" s="37"/>
    </row>
    <row r="82" customFormat="false" ht="15" hidden="false" customHeight="false" outlineLevel="0" collapsed="false">
      <c r="A82" s="40"/>
      <c r="B82" s="41" t="s">
        <v>18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</row>
    <row r="83" customFormat="false" ht="15" hidden="false" customHeight="false" outlineLevel="0" collapsed="false">
      <c r="A83" s="42" t="s">
        <v>18</v>
      </c>
      <c r="B83" s="42" t="s">
        <v>279</v>
      </c>
      <c r="C83" s="37" t="s">
        <v>280</v>
      </c>
      <c r="D83" s="42" t="s">
        <v>153</v>
      </c>
      <c r="E83" s="43" t="n">
        <v>2</v>
      </c>
      <c r="F83" s="44" t="n">
        <v>630</v>
      </c>
      <c r="G83" s="44" t="n">
        <f aca="false">E83*F83</f>
        <v>1260</v>
      </c>
      <c r="H83" s="43" t="n">
        <v>2</v>
      </c>
      <c r="I83" s="44" t="n">
        <v>630</v>
      </c>
      <c r="J83" s="44" t="n">
        <f aca="false">H83*I83</f>
        <v>1260</v>
      </c>
      <c r="K83" s="44"/>
      <c r="L83" s="44" t="n">
        <f aca="false">IF(K83&lt;&gt;"",K83,I83)</f>
        <v>630</v>
      </c>
      <c r="M83" s="44" t="n">
        <f aca="false">H83*L83</f>
        <v>1260</v>
      </c>
      <c r="N83" s="45" t="n">
        <f aca="false">M83-G83</f>
        <v>0</v>
      </c>
      <c r="O83" s="46" t="n">
        <f aca="false">IF(F83&gt;0,L83/F83-1,"")</f>
        <v>0</v>
      </c>
      <c r="P83" s="37" t="s">
        <v>37</v>
      </c>
      <c r="Q83" s="37"/>
      <c r="R83" s="37"/>
    </row>
    <row r="84" customFormat="false" ht="15" hidden="false" customHeight="false" outlineLevel="0" collapsed="false">
      <c r="A84" s="42" t="s">
        <v>18</v>
      </c>
      <c r="B84" s="42" t="s">
        <v>281</v>
      </c>
      <c r="C84" s="37" t="s">
        <v>282</v>
      </c>
      <c r="D84" s="42" t="s">
        <v>153</v>
      </c>
      <c r="E84" s="43" t="n">
        <v>6</v>
      </c>
      <c r="F84" s="44" t="n">
        <v>630</v>
      </c>
      <c r="G84" s="44" t="n">
        <f aca="false">E84*F84</f>
        <v>3780</v>
      </c>
      <c r="H84" s="43" t="n">
        <v>6</v>
      </c>
      <c r="I84" s="44" t="n">
        <v>630</v>
      </c>
      <c r="J84" s="44" t="n">
        <f aca="false">H84*I84</f>
        <v>3780</v>
      </c>
      <c r="K84" s="44"/>
      <c r="L84" s="44" t="n">
        <f aca="false">IF(K84&lt;&gt;"",K84,I84)</f>
        <v>630</v>
      </c>
      <c r="M84" s="44" t="n">
        <f aca="false">H84*L84</f>
        <v>3780</v>
      </c>
      <c r="N84" s="45" t="n">
        <f aca="false">M84-G84</f>
        <v>0</v>
      </c>
      <c r="O84" s="46" t="n">
        <f aca="false">IF(F84&gt;0,L84/F84-1,"")</f>
        <v>0</v>
      </c>
      <c r="P84" s="37" t="s">
        <v>37</v>
      </c>
      <c r="Q84" s="37"/>
      <c r="R84" s="37"/>
    </row>
    <row r="85" customFormat="false" ht="15" hidden="false" customHeight="false" outlineLevel="0" collapsed="false">
      <c r="A85" s="42" t="s">
        <v>18</v>
      </c>
      <c r="B85" s="42" t="s">
        <v>283</v>
      </c>
      <c r="C85" s="37" t="s">
        <v>284</v>
      </c>
      <c r="D85" s="42" t="s">
        <v>153</v>
      </c>
      <c r="E85" s="43" t="n">
        <v>47</v>
      </c>
      <c r="F85" s="44" t="n">
        <v>630</v>
      </c>
      <c r="G85" s="44" t="n">
        <f aca="false">E85*F85</f>
        <v>29610</v>
      </c>
      <c r="H85" s="43" t="n">
        <v>47</v>
      </c>
      <c r="I85" s="44" t="n">
        <v>630</v>
      </c>
      <c r="J85" s="44" t="n">
        <f aca="false">H85*I85</f>
        <v>29610</v>
      </c>
      <c r="K85" s="44"/>
      <c r="L85" s="44" t="n">
        <f aca="false">IF(K85&lt;&gt;"",K85,I85)</f>
        <v>630</v>
      </c>
      <c r="M85" s="44" t="n">
        <f aca="false">H85*L85</f>
        <v>29610</v>
      </c>
      <c r="N85" s="45" t="n">
        <f aca="false">M85-G85</f>
        <v>0</v>
      </c>
      <c r="O85" s="46" t="n">
        <f aca="false">IF(F85&gt;0,L85/F85-1,"")</f>
        <v>0</v>
      </c>
      <c r="P85" s="37" t="s">
        <v>37</v>
      </c>
      <c r="Q85" s="37"/>
      <c r="R85" s="37"/>
    </row>
    <row r="86" customFormat="false" ht="15" hidden="false" customHeight="false" outlineLevel="0" collapsed="false">
      <c r="A86" s="42" t="s">
        <v>18</v>
      </c>
      <c r="B86" s="42" t="s">
        <v>285</v>
      </c>
      <c r="C86" s="37" t="s">
        <v>286</v>
      </c>
      <c r="D86" s="42" t="s">
        <v>153</v>
      </c>
      <c r="E86" s="43" t="n">
        <v>31</v>
      </c>
      <c r="F86" s="44" t="n">
        <v>630</v>
      </c>
      <c r="G86" s="44" t="n">
        <f aca="false">E86*F86</f>
        <v>19530</v>
      </c>
      <c r="H86" s="43" t="n">
        <v>31</v>
      </c>
      <c r="I86" s="44" t="n">
        <v>630</v>
      </c>
      <c r="J86" s="44" t="n">
        <f aca="false">H86*I86</f>
        <v>19530</v>
      </c>
      <c r="K86" s="44"/>
      <c r="L86" s="44" t="n">
        <f aca="false">IF(K86&lt;&gt;"",K86,I86)</f>
        <v>630</v>
      </c>
      <c r="M86" s="44" t="n">
        <f aca="false">H86*L86</f>
        <v>19530</v>
      </c>
      <c r="N86" s="45" t="n">
        <f aca="false">M86-G86</f>
        <v>0</v>
      </c>
      <c r="O86" s="46" t="n">
        <f aca="false">IF(F86&gt;0,L86/F86-1,"")</f>
        <v>0</v>
      </c>
      <c r="P86" s="37" t="s">
        <v>37</v>
      </c>
      <c r="Q86" s="37"/>
      <c r="R86" s="37"/>
    </row>
    <row r="87" customFormat="false" ht="15" hidden="false" customHeight="false" outlineLevel="0" collapsed="false">
      <c r="A87" s="42" t="s">
        <v>18</v>
      </c>
      <c r="B87" s="42" t="s">
        <v>287</v>
      </c>
      <c r="C87" s="37" t="s">
        <v>288</v>
      </c>
      <c r="D87" s="42" t="s">
        <v>153</v>
      </c>
      <c r="E87" s="43" t="n">
        <v>29</v>
      </c>
      <c r="F87" s="44" t="n">
        <v>630</v>
      </c>
      <c r="G87" s="44" t="n">
        <f aca="false">E87*F87</f>
        <v>18270</v>
      </c>
      <c r="H87" s="43" t="n">
        <v>29</v>
      </c>
      <c r="I87" s="44" t="n">
        <v>630</v>
      </c>
      <c r="J87" s="44" t="n">
        <f aca="false">H87*I87</f>
        <v>18270</v>
      </c>
      <c r="K87" s="44"/>
      <c r="L87" s="44" t="n">
        <f aca="false">IF(K87&lt;&gt;"",K87,I87)</f>
        <v>630</v>
      </c>
      <c r="M87" s="44" t="n">
        <f aca="false">H87*L87</f>
        <v>18270</v>
      </c>
      <c r="N87" s="45" t="n">
        <f aca="false">M87-G87</f>
        <v>0</v>
      </c>
      <c r="O87" s="46" t="n">
        <f aca="false">IF(F87&gt;0,L87/F87-1,"")</f>
        <v>0</v>
      </c>
      <c r="P87" s="37" t="s">
        <v>37</v>
      </c>
      <c r="Q87" s="37"/>
      <c r="R87" s="37"/>
    </row>
    <row r="88" customFormat="false" ht="15" hidden="false" customHeight="false" outlineLevel="0" collapsed="false">
      <c r="A88" s="42" t="s">
        <v>18</v>
      </c>
      <c r="B88" s="42" t="s">
        <v>289</v>
      </c>
      <c r="C88" s="37" t="s">
        <v>290</v>
      </c>
      <c r="D88" s="42" t="s">
        <v>153</v>
      </c>
      <c r="E88" s="43" t="n">
        <v>14</v>
      </c>
      <c r="F88" s="44" t="n">
        <v>630</v>
      </c>
      <c r="G88" s="44" t="n">
        <f aca="false">E88*F88</f>
        <v>8820</v>
      </c>
      <c r="H88" s="43" t="n">
        <v>14</v>
      </c>
      <c r="I88" s="44" t="n">
        <v>630</v>
      </c>
      <c r="J88" s="44" t="n">
        <f aca="false">H88*I88</f>
        <v>8820</v>
      </c>
      <c r="K88" s="44"/>
      <c r="L88" s="44" t="n">
        <f aca="false">IF(K88&lt;&gt;"",K88,I88)</f>
        <v>630</v>
      </c>
      <c r="M88" s="44" t="n">
        <f aca="false">H88*L88</f>
        <v>8820</v>
      </c>
      <c r="N88" s="45" t="n">
        <f aca="false">M88-G88</f>
        <v>0</v>
      </c>
      <c r="O88" s="46" t="n">
        <f aca="false">IF(F88&gt;0,L88/F88-1,"")</f>
        <v>0</v>
      </c>
      <c r="P88" s="37" t="s">
        <v>37</v>
      </c>
      <c r="Q88" s="37"/>
      <c r="R88" s="37"/>
    </row>
    <row r="89" customFormat="false" ht="26.85" hidden="false" customHeight="false" outlineLevel="0" collapsed="false">
      <c r="A89" s="17" t="s">
        <v>18</v>
      </c>
      <c r="B89" s="17" t="s">
        <v>291</v>
      </c>
      <c r="C89" s="18" t="s">
        <v>292</v>
      </c>
      <c r="D89" s="17" t="s">
        <v>153</v>
      </c>
      <c r="E89" s="19" t="n">
        <v>1195</v>
      </c>
      <c r="F89" s="20" t="n">
        <v>840</v>
      </c>
      <c r="G89" s="20" t="n">
        <f aca="false">E89*F89</f>
        <v>1003800</v>
      </c>
      <c r="H89" s="19" t="n">
        <v>1195</v>
      </c>
      <c r="I89" s="20" t="n">
        <v>570</v>
      </c>
      <c r="J89" s="20" t="n">
        <f aca="false">H89*I89</f>
        <v>681150</v>
      </c>
      <c r="K89" s="20"/>
      <c r="L89" s="20" t="n">
        <f aca="false">IF(K89&lt;&gt;"",K89,I89)</f>
        <v>570</v>
      </c>
      <c r="M89" s="20" t="n">
        <f aca="false">H89*L89</f>
        <v>681150</v>
      </c>
      <c r="N89" s="22" t="n">
        <f aca="false">M89-G89</f>
        <v>-322650</v>
      </c>
      <c r="O89" s="21" t="n">
        <f aca="false">IF(F89&gt;0,L89/F89-1,"")</f>
        <v>-0.321428571428571</v>
      </c>
      <c r="P89" s="18" t="s">
        <v>30</v>
      </c>
      <c r="Q89" s="18"/>
      <c r="R89" s="18"/>
    </row>
    <row r="90" customFormat="false" ht="15" hidden="false" customHeight="false" outlineLevel="0" collapsed="false">
      <c r="A90" s="42" t="s">
        <v>18</v>
      </c>
      <c r="B90" s="42" t="s">
        <v>293</v>
      </c>
      <c r="C90" s="37" t="s">
        <v>294</v>
      </c>
      <c r="D90" s="42" t="s">
        <v>153</v>
      </c>
      <c r="E90" s="43" t="n">
        <v>27</v>
      </c>
      <c r="F90" s="44" t="n">
        <v>630</v>
      </c>
      <c r="G90" s="44" t="n">
        <f aca="false">E90*F90</f>
        <v>17010</v>
      </c>
      <c r="H90" s="43" t="n">
        <v>27</v>
      </c>
      <c r="I90" s="44" t="n">
        <v>630</v>
      </c>
      <c r="J90" s="44" t="n">
        <f aca="false">H90*I90</f>
        <v>17010</v>
      </c>
      <c r="K90" s="44"/>
      <c r="L90" s="44" t="n">
        <f aca="false">IF(K90&lt;&gt;"",K90,I90)</f>
        <v>630</v>
      </c>
      <c r="M90" s="44" t="n">
        <f aca="false">H90*L90</f>
        <v>17010</v>
      </c>
      <c r="N90" s="45" t="n">
        <f aca="false">M90-G90</f>
        <v>0</v>
      </c>
      <c r="O90" s="46" t="n">
        <f aca="false">IF(F90&gt;0,L90/F90-1,"")</f>
        <v>0</v>
      </c>
      <c r="P90" s="37" t="s">
        <v>37</v>
      </c>
      <c r="Q90" s="37"/>
      <c r="R90" s="37"/>
    </row>
    <row r="91" customFormat="false" ht="26.85" hidden="false" customHeight="false" outlineLevel="0" collapsed="false">
      <c r="A91" s="17" t="s">
        <v>18</v>
      </c>
      <c r="B91" s="17" t="s">
        <v>295</v>
      </c>
      <c r="C91" s="18" t="s">
        <v>296</v>
      </c>
      <c r="D91" s="17" t="s">
        <v>297</v>
      </c>
      <c r="E91" s="19" t="n">
        <v>4</v>
      </c>
      <c r="F91" s="20" t="n">
        <v>21000</v>
      </c>
      <c r="G91" s="20" t="n">
        <f aca="false">E91*F91</f>
        <v>84000</v>
      </c>
      <c r="H91" s="19" t="n">
        <v>2</v>
      </c>
      <c r="I91" s="20" t="n">
        <v>2900</v>
      </c>
      <c r="J91" s="20" t="n">
        <f aca="false">H91*I91</f>
        <v>5800</v>
      </c>
      <c r="K91" s="20"/>
      <c r="L91" s="20" t="n">
        <f aca="false">IF(K91&lt;&gt;"",K91,I91)</f>
        <v>2900</v>
      </c>
      <c r="M91" s="20" t="n">
        <f aca="false">H91*L91</f>
        <v>5800</v>
      </c>
      <c r="N91" s="22" t="n">
        <f aca="false">M91-G91</f>
        <v>-78200</v>
      </c>
      <c r="O91" s="21" t="n">
        <f aca="false">IF(F91&gt;0,L91/F91-1,"")</f>
        <v>-0.861904761904762</v>
      </c>
      <c r="P91" s="18" t="s">
        <v>31</v>
      </c>
      <c r="Q91" s="18" t="s">
        <v>298</v>
      </c>
      <c r="R91" s="18"/>
    </row>
    <row r="92" customFormat="false" ht="15" hidden="false" customHeight="false" outlineLevel="0" collapsed="false">
      <c r="A92" s="42" t="s">
        <v>18</v>
      </c>
      <c r="B92" s="42" t="s">
        <v>299</v>
      </c>
      <c r="C92" s="37" t="s">
        <v>300</v>
      </c>
      <c r="D92" s="42" t="s">
        <v>119</v>
      </c>
      <c r="E92" s="43" t="n">
        <v>64</v>
      </c>
      <c r="F92" s="44" t="n">
        <v>1120</v>
      </c>
      <c r="G92" s="44" t="n">
        <f aca="false">E92*F92</f>
        <v>71680</v>
      </c>
      <c r="H92" s="43" t="n">
        <v>64</v>
      </c>
      <c r="I92" s="44" t="n">
        <v>1120</v>
      </c>
      <c r="J92" s="44" t="n">
        <f aca="false">H92*I92</f>
        <v>71680</v>
      </c>
      <c r="K92" s="44"/>
      <c r="L92" s="44" t="n">
        <f aca="false">IF(K92&lt;&gt;"",K92,I92)</f>
        <v>1120</v>
      </c>
      <c r="M92" s="44" t="n">
        <f aca="false">H92*L92</f>
        <v>71680</v>
      </c>
      <c r="N92" s="45" t="n">
        <f aca="false">M92-G92</f>
        <v>0</v>
      </c>
      <c r="O92" s="46" t="n">
        <f aca="false">IF(F92&gt;0,L92/F92-1,"")</f>
        <v>0</v>
      </c>
      <c r="P92" s="37" t="s">
        <v>37</v>
      </c>
      <c r="Q92" s="37"/>
      <c r="R92" s="37"/>
    </row>
    <row r="93" customFormat="false" ht="15" hidden="false" customHeight="false" outlineLevel="0" collapsed="false">
      <c r="A93" s="42" t="s">
        <v>18</v>
      </c>
      <c r="B93" s="42" t="s">
        <v>301</v>
      </c>
      <c r="C93" s="37" t="s">
        <v>302</v>
      </c>
      <c r="D93" s="42" t="s">
        <v>303</v>
      </c>
      <c r="E93" s="43" t="n">
        <v>34.4</v>
      </c>
      <c r="F93" s="44" t="n">
        <v>840</v>
      </c>
      <c r="G93" s="44" t="n">
        <f aca="false">E93*F93</f>
        <v>28896</v>
      </c>
      <c r="H93" s="43" t="n">
        <v>34.4</v>
      </c>
      <c r="I93" s="44" t="n">
        <v>840</v>
      </c>
      <c r="J93" s="44" t="n">
        <f aca="false">H93*I93</f>
        <v>28896</v>
      </c>
      <c r="K93" s="44"/>
      <c r="L93" s="44" t="n">
        <f aca="false">IF(K93&lt;&gt;"",K93,I93)</f>
        <v>840</v>
      </c>
      <c r="M93" s="44" t="n">
        <f aca="false">H93*L93</f>
        <v>28896</v>
      </c>
      <c r="N93" s="45" t="n">
        <f aca="false">M93-G93</f>
        <v>0</v>
      </c>
      <c r="O93" s="46" t="n">
        <f aca="false">IF(F93&gt;0,L93/F93-1,"")</f>
        <v>0</v>
      </c>
      <c r="P93" s="37" t="s">
        <v>37</v>
      </c>
      <c r="Q93" s="37"/>
      <c r="R93" s="37"/>
    </row>
    <row r="94" customFormat="false" ht="15" hidden="false" customHeight="false" outlineLevel="0" collapsed="false">
      <c r="A94" s="42" t="s">
        <v>18</v>
      </c>
      <c r="B94" s="42" t="s">
        <v>304</v>
      </c>
      <c r="C94" s="37" t="s">
        <v>305</v>
      </c>
      <c r="D94" s="42" t="s">
        <v>303</v>
      </c>
      <c r="E94" s="43" t="n">
        <v>32.8</v>
      </c>
      <c r="F94" s="44" t="n">
        <v>700</v>
      </c>
      <c r="G94" s="44" t="n">
        <f aca="false">E94*F94</f>
        <v>22960</v>
      </c>
      <c r="H94" s="43" t="n">
        <v>32.8</v>
      </c>
      <c r="I94" s="44" t="n">
        <v>700</v>
      </c>
      <c r="J94" s="44" t="n">
        <f aca="false">H94*I94</f>
        <v>22960</v>
      </c>
      <c r="K94" s="44"/>
      <c r="L94" s="44" t="n">
        <f aca="false">IF(K94&lt;&gt;"",K94,I94)</f>
        <v>700</v>
      </c>
      <c r="M94" s="44" t="n">
        <f aca="false">H94*L94</f>
        <v>22960</v>
      </c>
      <c r="N94" s="45" t="n">
        <f aca="false">M94-G94</f>
        <v>0</v>
      </c>
      <c r="O94" s="46" t="n">
        <f aca="false">IF(F94&gt;0,L94/F94-1,"")</f>
        <v>0</v>
      </c>
      <c r="P94" s="37" t="s">
        <v>37</v>
      </c>
      <c r="Q94" s="37"/>
      <c r="R94" s="37"/>
    </row>
    <row r="95" customFormat="false" ht="26.85" hidden="false" customHeight="false" outlineLevel="0" collapsed="false">
      <c r="A95" s="17" t="s">
        <v>18</v>
      </c>
      <c r="B95" s="17" t="s">
        <v>306</v>
      </c>
      <c r="C95" s="18" t="s">
        <v>307</v>
      </c>
      <c r="D95" s="17" t="s">
        <v>297</v>
      </c>
      <c r="E95" s="19" t="n">
        <v>8</v>
      </c>
      <c r="F95" s="20" t="n">
        <v>16800</v>
      </c>
      <c r="G95" s="20" t="n">
        <f aca="false">E95*F95</f>
        <v>134400</v>
      </c>
      <c r="H95" s="19" t="n">
        <v>8</v>
      </c>
      <c r="I95" s="20" t="n">
        <v>4800</v>
      </c>
      <c r="J95" s="20" t="n">
        <f aca="false">H95*I95</f>
        <v>38400</v>
      </c>
      <c r="K95" s="20"/>
      <c r="L95" s="20" t="n">
        <f aca="false">IF(K95&lt;&gt;"",K95,I95)</f>
        <v>4800</v>
      </c>
      <c r="M95" s="20" t="n">
        <f aca="false">H95*L95</f>
        <v>38400</v>
      </c>
      <c r="N95" s="22" t="n">
        <f aca="false">M95-G95</f>
        <v>-96000</v>
      </c>
      <c r="O95" s="21" t="n">
        <f aca="false">IF(F95&gt;0,L95/F95-1,"")</f>
        <v>-0.714285714285714</v>
      </c>
      <c r="P95" s="18" t="s">
        <v>30</v>
      </c>
      <c r="Q95" s="18" t="s">
        <v>308</v>
      </c>
      <c r="R95" s="18" t="s">
        <v>309</v>
      </c>
    </row>
    <row r="96" customFormat="false" ht="15" hidden="false" customHeight="false" outlineLevel="0" collapsed="false">
      <c r="A96" s="17" t="s">
        <v>18</v>
      </c>
      <c r="B96" s="17" t="s">
        <v>310</v>
      </c>
      <c r="C96" s="18" t="s">
        <v>311</v>
      </c>
      <c r="D96" s="17" t="s">
        <v>303</v>
      </c>
      <c r="E96" s="19" t="n">
        <v>61.6</v>
      </c>
      <c r="F96" s="20" t="n">
        <v>1120</v>
      </c>
      <c r="G96" s="20" t="n">
        <f aca="false">E96*F96</f>
        <v>68992</v>
      </c>
      <c r="H96" s="19" t="n">
        <v>61.6</v>
      </c>
      <c r="I96" s="20" t="n">
        <v>920</v>
      </c>
      <c r="J96" s="20" t="n">
        <f aca="false">H96*I96</f>
        <v>56672</v>
      </c>
      <c r="K96" s="20"/>
      <c r="L96" s="20" t="n">
        <f aca="false">IF(K96&lt;&gt;"",K96,I96)</f>
        <v>920</v>
      </c>
      <c r="M96" s="20" t="n">
        <f aca="false">H96*L96</f>
        <v>56672</v>
      </c>
      <c r="N96" s="22" t="n">
        <f aca="false">M96-G96</f>
        <v>-12320</v>
      </c>
      <c r="O96" s="21" t="n">
        <f aca="false">IF(F96&gt;0,L96/F96-1,"")</f>
        <v>-0.178571428571429</v>
      </c>
      <c r="P96" s="18" t="s">
        <v>30</v>
      </c>
      <c r="Q96" s="18" t="s">
        <v>312</v>
      </c>
      <c r="R96" s="18" t="s">
        <v>188</v>
      </c>
    </row>
    <row r="97" customFormat="false" ht="77.6" hidden="false" customHeight="false" outlineLevel="0" collapsed="false">
      <c r="A97" s="17" t="s">
        <v>18</v>
      </c>
      <c r="B97" s="17" t="s">
        <v>313</v>
      </c>
      <c r="C97" s="18" t="s">
        <v>314</v>
      </c>
      <c r="D97" s="17" t="s">
        <v>297</v>
      </c>
      <c r="E97" s="19" t="n">
        <v>6</v>
      </c>
      <c r="F97" s="20" t="n">
        <v>4200</v>
      </c>
      <c r="G97" s="20" t="n">
        <f aca="false">E97*F97</f>
        <v>25200</v>
      </c>
      <c r="H97" s="19" t="n">
        <v>6</v>
      </c>
      <c r="I97" s="20" t="n">
        <v>1500</v>
      </c>
      <c r="J97" s="20" t="n">
        <f aca="false">H97*I97</f>
        <v>9000</v>
      </c>
      <c r="K97" s="20"/>
      <c r="L97" s="20" t="n">
        <f aca="false">IF(K97&lt;&gt;"",K97,I97)</f>
        <v>1500</v>
      </c>
      <c r="M97" s="20" t="n">
        <f aca="false">H97*L97</f>
        <v>9000</v>
      </c>
      <c r="N97" s="22" t="n">
        <f aca="false">M97-G97</f>
        <v>-16200</v>
      </c>
      <c r="O97" s="21" t="n">
        <f aca="false">IF(F97&gt;0,L97/F97-1,"")</f>
        <v>-0.642857142857143</v>
      </c>
      <c r="P97" s="18" t="s">
        <v>30</v>
      </c>
      <c r="Q97" s="18" t="s">
        <v>315</v>
      </c>
      <c r="R97" s="18" t="s">
        <v>316</v>
      </c>
    </row>
    <row r="98" customFormat="false" ht="26.85" hidden="false" customHeight="false" outlineLevel="0" collapsed="false">
      <c r="A98" s="42" t="s">
        <v>18</v>
      </c>
      <c r="B98" s="42" t="s">
        <v>317</v>
      </c>
      <c r="C98" s="37" t="s">
        <v>318</v>
      </c>
      <c r="D98" s="42" t="s">
        <v>297</v>
      </c>
      <c r="E98" s="43" t="n">
        <v>2</v>
      </c>
      <c r="F98" s="44" t="n">
        <v>7000</v>
      </c>
      <c r="G98" s="44" t="n">
        <f aca="false">E98*F98</f>
        <v>14000</v>
      </c>
      <c r="H98" s="43" t="n">
        <v>2</v>
      </c>
      <c r="I98" s="44" t="n">
        <v>7000</v>
      </c>
      <c r="J98" s="44" t="n">
        <f aca="false">H98*I98</f>
        <v>14000</v>
      </c>
      <c r="K98" s="44"/>
      <c r="L98" s="44" t="n">
        <f aca="false">IF(K98&lt;&gt;"",K98,I98)</f>
        <v>7000</v>
      </c>
      <c r="M98" s="44" t="n">
        <f aca="false">H98*L98</f>
        <v>14000</v>
      </c>
      <c r="N98" s="45" t="n">
        <f aca="false">M98-G98</f>
        <v>0</v>
      </c>
      <c r="O98" s="46" t="n">
        <f aca="false">IF(F98&gt;0,L98/F98-1,"")</f>
        <v>0</v>
      </c>
      <c r="P98" s="37" t="s">
        <v>37</v>
      </c>
      <c r="Q98" s="37" t="s">
        <v>319</v>
      </c>
      <c r="R98" s="37" t="s">
        <v>320</v>
      </c>
    </row>
    <row r="99" customFormat="false" ht="15" hidden="false" customHeight="false" outlineLevel="0" collapsed="false">
      <c r="A99" s="42" t="s">
        <v>18</v>
      </c>
      <c r="B99" s="42" t="s">
        <v>321</v>
      </c>
      <c r="C99" s="37" t="s">
        <v>322</v>
      </c>
      <c r="D99" s="42" t="s">
        <v>303</v>
      </c>
      <c r="E99" s="43" t="n">
        <v>120</v>
      </c>
      <c r="F99" s="44" t="n">
        <v>700</v>
      </c>
      <c r="G99" s="44" t="n">
        <f aca="false">E99*F99</f>
        <v>84000</v>
      </c>
      <c r="H99" s="43" t="n">
        <v>120</v>
      </c>
      <c r="I99" s="44" t="n">
        <v>700</v>
      </c>
      <c r="J99" s="44" t="n">
        <f aca="false">H99*I99</f>
        <v>84000</v>
      </c>
      <c r="K99" s="44"/>
      <c r="L99" s="44" t="n">
        <f aca="false">IF(K99&lt;&gt;"",K99,I99)</f>
        <v>700</v>
      </c>
      <c r="M99" s="44" t="n">
        <f aca="false">H99*L99</f>
        <v>84000</v>
      </c>
      <c r="N99" s="45" t="n">
        <f aca="false">M99-G99</f>
        <v>0</v>
      </c>
      <c r="O99" s="46" t="n">
        <f aca="false">IF(F99&gt;0,L99/F99-1,"")</f>
        <v>0</v>
      </c>
      <c r="P99" s="37" t="s">
        <v>37</v>
      </c>
      <c r="Q99" s="37" t="s">
        <v>323</v>
      </c>
      <c r="R99" s="37" t="s">
        <v>324</v>
      </c>
    </row>
    <row r="100" customFormat="false" ht="26.85" hidden="false" customHeight="false" outlineLevel="0" collapsed="false">
      <c r="A100" s="42" t="s">
        <v>18</v>
      </c>
      <c r="B100" s="42" t="s">
        <v>325</v>
      </c>
      <c r="C100" s="37" t="s">
        <v>326</v>
      </c>
      <c r="D100" s="42" t="s">
        <v>119</v>
      </c>
      <c r="E100" s="43" t="n">
        <v>64</v>
      </c>
      <c r="F100" s="44" t="n">
        <v>420</v>
      </c>
      <c r="G100" s="44" t="n">
        <f aca="false">E100*F100</f>
        <v>26880</v>
      </c>
      <c r="H100" s="43" t="n">
        <v>64</v>
      </c>
      <c r="I100" s="44" t="n">
        <v>420</v>
      </c>
      <c r="J100" s="44" t="n">
        <f aca="false">H100*I100</f>
        <v>26880</v>
      </c>
      <c r="K100" s="44"/>
      <c r="L100" s="44" t="n">
        <f aca="false">IF(K100&lt;&gt;"",K100,I100)</f>
        <v>420</v>
      </c>
      <c r="M100" s="44" t="n">
        <f aca="false">H100*L100</f>
        <v>26880</v>
      </c>
      <c r="N100" s="45" t="n">
        <f aca="false">M100-G100</f>
        <v>0</v>
      </c>
      <c r="O100" s="46" t="n">
        <f aca="false">IF(F100&gt;0,L100/F100-1,"")</f>
        <v>0</v>
      </c>
      <c r="P100" s="37" t="s">
        <v>37</v>
      </c>
      <c r="Q100" s="37" t="s">
        <v>327</v>
      </c>
      <c r="R100" s="37" t="s">
        <v>328</v>
      </c>
    </row>
    <row r="101" customFormat="false" ht="26.85" hidden="false" customHeight="false" outlineLevel="0" collapsed="false">
      <c r="A101" s="17" t="s">
        <v>18</v>
      </c>
      <c r="B101" s="17" t="s">
        <v>329</v>
      </c>
      <c r="C101" s="18" t="s">
        <v>330</v>
      </c>
      <c r="D101" s="17" t="s">
        <v>119</v>
      </c>
      <c r="E101" s="19" t="n">
        <v>8</v>
      </c>
      <c r="F101" s="20" t="n">
        <v>4200</v>
      </c>
      <c r="G101" s="20" t="n">
        <f aca="false">E101*F101</f>
        <v>33600</v>
      </c>
      <c r="H101" s="19" t="n">
        <v>8</v>
      </c>
      <c r="I101" s="20" t="n">
        <v>2400</v>
      </c>
      <c r="J101" s="20" t="n">
        <f aca="false">H101*I101</f>
        <v>19200</v>
      </c>
      <c r="K101" s="20"/>
      <c r="L101" s="20" t="n">
        <f aca="false">IF(K101&lt;&gt;"",K101,I101)</f>
        <v>2400</v>
      </c>
      <c r="M101" s="20" t="n">
        <f aca="false">H101*L101</f>
        <v>19200</v>
      </c>
      <c r="N101" s="22" t="n">
        <f aca="false">M101-G101</f>
        <v>-14400</v>
      </c>
      <c r="O101" s="21" t="n">
        <f aca="false">IF(F101&gt;0,L101/F101-1,"")</f>
        <v>-0.428571428571429</v>
      </c>
      <c r="P101" s="18" t="s">
        <v>30</v>
      </c>
      <c r="Q101" s="18" t="s">
        <v>331</v>
      </c>
      <c r="R101" s="18" t="s">
        <v>332</v>
      </c>
    </row>
    <row r="102" customFormat="false" ht="15" hidden="false" customHeight="false" outlineLevel="0" collapsed="false">
      <c r="A102" s="42" t="s">
        <v>18</v>
      </c>
      <c r="B102" s="42" t="s">
        <v>333</v>
      </c>
      <c r="C102" s="37" t="s">
        <v>334</v>
      </c>
      <c r="D102" s="42" t="s">
        <v>153</v>
      </c>
      <c r="E102" s="43" t="n">
        <v>40</v>
      </c>
      <c r="F102" s="44" t="n">
        <v>588</v>
      </c>
      <c r="G102" s="44" t="n">
        <f aca="false">E102*F102</f>
        <v>23520</v>
      </c>
      <c r="H102" s="43" t="n">
        <v>40</v>
      </c>
      <c r="I102" s="44" t="n">
        <v>588</v>
      </c>
      <c r="J102" s="44" t="n">
        <f aca="false">H102*I102</f>
        <v>23520</v>
      </c>
      <c r="K102" s="44"/>
      <c r="L102" s="44" t="n">
        <f aca="false">IF(K102&lt;&gt;"",K102,I102)</f>
        <v>588</v>
      </c>
      <c r="M102" s="44" t="n">
        <f aca="false">H102*L102</f>
        <v>23520</v>
      </c>
      <c r="N102" s="45" t="n">
        <f aca="false">M102-G102</f>
        <v>0</v>
      </c>
      <c r="O102" s="46" t="n">
        <f aca="false">IF(F102&gt;0,L102/F102-1,"")</f>
        <v>0</v>
      </c>
      <c r="P102" s="37" t="s">
        <v>37</v>
      </c>
      <c r="Q102" s="37"/>
      <c r="R102" s="37"/>
    </row>
    <row r="103" customFormat="false" ht="15" hidden="false" customHeight="false" outlineLevel="0" collapsed="false">
      <c r="A103" s="42" t="s">
        <v>18</v>
      </c>
      <c r="B103" s="42" t="s">
        <v>335</v>
      </c>
      <c r="C103" s="37" t="s">
        <v>336</v>
      </c>
      <c r="D103" s="42" t="s">
        <v>153</v>
      </c>
      <c r="E103" s="43" t="n">
        <v>40</v>
      </c>
      <c r="F103" s="44" t="n">
        <v>588</v>
      </c>
      <c r="G103" s="44" t="n">
        <f aca="false">E103*F103</f>
        <v>23520</v>
      </c>
      <c r="H103" s="43" t="n">
        <v>40</v>
      </c>
      <c r="I103" s="44" t="n">
        <v>588</v>
      </c>
      <c r="J103" s="44" t="n">
        <f aca="false">H103*I103</f>
        <v>23520</v>
      </c>
      <c r="K103" s="44"/>
      <c r="L103" s="44" t="n">
        <f aca="false">IF(K103&lt;&gt;"",K103,I103)</f>
        <v>588</v>
      </c>
      <c r="M103" s="44" t="n">
        <f aca="false">H103*L103</f>
        <v>23520</v>
      </c>
      <c r="N103" s="45" t="n">
        <f aca="false">M103-G103</f>
        <v>0</v>
      </c>
      <c r="O103" s="46" t="n">
        <f aca="false">IF(F103&gt;0,L103/F103-1,"")</f>
        <v>0</v>
      </c>
      <c r="P103" s="37" t="s">
        <v>37</v>
      </c>
      <c r="Q103" s="37"/>
      <c r="R103" s="37"/>
    </row>
    <row r="104" customFormat="false" ht="15" hidden="false" customHeight="false" outlineLevel="0" collapsed="false">
      <c r="A104" s="42" t="s">
        <v>18</v>
      </c>
      <c r="B104" s="42" t="s">
        <v>337</v>
      </c>
      <c r="C104" s="37" t="s">
        <v>338</v>
      </c>
      <c r="D104" s="42" t="s">
        <v>153</v>
      </c>
      <c r="E104" s="43" t="n">
        <v>24</v>
      </c>
      <c r="F104" s="44" t="n">
        <v>588</v>
      </c>
      <c r="G104" s="44" t="n">
        <f aca="false">E104*F104</f>
        <v>14112</v>
      </c>
      <c r="H104" s="43" t="n">
        <v>24</v>
      </c>
      <c r="I104" s="44" t="n">
        <v>588</v>
      </c>
      <c r="J104" s="44" t="n">
        <f aca="false">H104*I104</f>
        <v>14112</v>
      </c>
      <c r="K104" s="44"/>
      <c r="L104" s="44" t="n">
        <f aca="false">IF(K104&lt;&gt;"",K104,I104)</f>
        <v>588</v>
      </c>
      <c r="M104" s="44" t="n">
        <f aca="false">H104*L104</f>
        <v>14112</v>
      </c>
      <c r="N104" s="45" t="n">
        <f aca="false">M104-G104</f>
        <v>0</v>
      </c>
      <c r="O104" s="46" t="n">
        <f aca="false">IF(F104&gt;0,L104/F104-1,"")</f>
        <v>0</v>
      </c>
      <c r="P104" s="37" t="s">
        <v>37</v>
      </c>
      <c r="Q104" s="37"/>
      <c r="R104" s="37"/>
    </row>
    <row r="105" customFormat="false" ht="15" hidden="false" customHeight="false" outlineLevel="0" collapsed="false">
      <c r="A105" s="42" t="s">
        <v>18</v>
      </c>
      <c r="B105" s="42" t="s">
        <v>339</v>
      </c>
      <c r="C105" s="37" t="s">
        <v>340</v>
      </c>
      <c r="D105" s="42" t="s">
        <v>153</v>
      </c>
      <c r="E105" s="43" t="n">
        <v>56</v>
      </c>
      <c r="F105" s="44" t="n">
        <v>588</v>
      </c>
      <c r="G105" s="44" t="n">
        <f aca="false">E105*F105</f>
        <v>32928</v>
      </c>
      <c r="H105" s="43" t="n">
        <v>56</v>
      </c>
      <c r="I105" s="44" t="n">
        <v>588</v>
      </c>
      <c r="J105" s="44" t="n">
        <f aca="false">H105*I105</f>
        <v>32928</v>
      </c>
      <c r="K105" s="44"/>
      <c r="L105" s="44" t="n">
        <f aca="false">IF(K105&lt;&gt;"",K105,I105)</f>
        <v>588</v>
      </c>
      <c r="M105" s="44" t="n">
        <f aca="false">H105*L105</f>
        <v>32928</v>
      </c>
      <c r="N105" s="45" t="n">
        <f aca="false">M105-G105</f>
        <v>0</v>
      </c>
      <c r="O105" s="46" t="n">
        <f aca="false">IF(F105&gt;0,L105/F105-1,"")</f>
        <v>0</v>
      </c>
      <c r="P105" s="37" t="s">
        <v>37</v>
      </c>
      <c r="Q105" s="37"/>
      <c r="R105" s="37"/>
    </row>
    <row r="106" customFormat="false" ht="15" hidden="false" customHeight="false" outlineLevel="0" collapsed="false">
      <c r="A106" s="42" t="s">
        <v>18</v>
      </c>
      <c r="B106" s="42" t="s">
        <v>341</v>
      </c>
      <c r="C106" s="37" t="s">
        <v>342</v>
      </c>
      <c r="D106" s="42" t="s">
        <v>153</v>
      </c>
      <c r="E106" s="43" t="n">
        <v>8</v>
      </c>
      <c r="F106" s="44" t="n">
        <v>588</v>
      </c>
      <c r="G106" s="44" t="n">
        <f aca="false">E106*F106</f>
        <v>4704</v>
      </c>
      <c r="H106" s="43" t="n">
        <v>8</v>
      </c>
      <c r="I106" s="44" t="n">
        <v>588</v>
      </c>
      <c r="J106" s="44" t="n">
        <f aca="false">H106*I106</f>
        <v>4704</v>
      </c>
      <c r="K106" s="44"/>
      <c r="L106" s="44" t="n">
        <f aca="false">IF(K106&lt;&gt;"",K106,I106)</f>
        <v>588</v>
      </c>
      <c r="M106" s="44" t="n">
        <f aca="false">H106*L106</f>
        <v>4704</v>
      </c>
      <c r="N106" s="45" t="n">
        <f aca="false">M106-G106</f>
        <v>0</v>
      </c>
      <c r="O106" s="46" t="n">
        <f aca="false">IF(F106&gt;0,L106/F106-1,"")</f>
        <v>0</v>
      </c>
      <c r="P106" s="37" t="s">
        <v>37</v>
      </c>
      <c r="Q106" s="37"/>
      <c r="R106" s="37"/>
    </row>
    <row r="107" customFormat="false" ht="15" hidden="false" customHeight="false" outlineLevel="0" collapsed="false">
      <c r="A107" s="42" t="s">
        <v>18</v>
      </c>
      <c r="B107" s="42" t="s">
        <v>343</v>
      </c>
      <c r="C107" s="37" t="s">
        <v>344</v>
      </c>
      <c r="D107" s="42" t="s">
        <v>153</v>
      </c>
      <c r="E107" s="43" t="n">
        <v>8</v>
      </c>
      <c r="F107" s="44" t="n">
        <v>588</v>
      </c>
      <c r="G107" s="44" t="n">
        <f aca="false">E107*F107</f>
        <v>4704</v>
      </c>
      <c r="H107" s="43" t="n">
        <v>8</v>
      </c>
      <c r="I107" s="44" t="n">
        <v>588</v>
      </c>
      <c r="J107" s="44" t="n">
        <f aca="false">H107*I107</f>
        <v>4704</v>
      </c>
      <c r="K107" s="44"/>
      <c r="L107" s="44" t="n">
        <f aca="false">IF(K107&lt;&gt;"",K107,I107)</f>
        <v>588</v>
      </c>
      <c r="M107" s="44" t="n">
        <f aca="false">H107*L107</f>
        <v>4704</v>
      </c>
      <c r="N107" s="45" t="n">
        <f aca="false">M107-G107</f>
        <v>0</v>
      </c>
      <c r="O107" s="46" t="n">
        <f aca="false">IF(F107&gt;0,L107/F107-1,"")</f>
        <v>0</v>
      </c>
      <c r="P107" s="37" t="s">
        <v>37</v>
      </c>
      <c r="Q107" s="37"/>
      <c r="R107" s="37"/>
    </row>
    <row r="108" customFormat="false" ht="15" hidden="false" customHeight="false" outlineLevel="0" collapsed="false">
      <c r="A108" s="42" t="s">
        <v>18</v>
      </c>
      <c r="B108" s="42" t="s">
        <v>345</v>
      </c>
      <c r="C108" s="37" t="s">
        <v>346</v>
      </c>
      <c r="D108" s="42" t="s">
        <v>153</v>
      </c>
      <c r="E108" s="43" t="n">
        <v>8</v>
      </c>
      <c r="F108" s="44" t="n">
        <v>588</v>
      </c>
      <c r="G108" s="44" t="n">
        <f aca="false">E108*F108</f>
        <v>4704</v>
      </c>
      <c r="H108" s="43" t="n">
        <v>8</v>
      </c>
      <c r="I108" s="44" t="n">
        <v>588</v>
      </c>
      <c r="J108" s="44" t="n">
        <f aca="false">H108*I108</f>
        <v>4704</v>
      </c>
      <c r="K108" s="44"/>
      <c r="L108" s="44" t="n">
        <f aca="false">IF(K108&lt;&gt;"",K108,I108)</f>
        <v>588</v>
      </c>
      <c r="M108" s="44" t="n">
        <f aca="false">H108*L108</f>
        <v>4704</v>
      </c>
      <c r="N108" s="45" t="n">
        <f aca="false">M108-G108</f>
        <v>0</v>
      </c>
      <c r="O108" s="46" t="n">
        <f aca="false">IF(F108&gt;0,L108/F108-1,"")</f>
        <v>0</v>
      </c>
      <c r="P108" s="37" t="s">
        <v>37</v>
      </c>
      <c r="Q108" s="37"/>
      <c r="R108" s="37"/>
    </row>
    <row r="109" customFormat="false" ht="52.2" hidden="false" customHeight="false" outlineLevel="0" collapsed="false">
      <c r="A109" s="42" t="s">
        <v>18</v>
      </c>
      <c r="B109" s="42" t="s">
        <v>347</v>
      </c>
      <c r="C109" s="37" t="s">
        <v>348</v>
      </c>
      <c r="D109" s="42" t="s">
        <v>297</v>
      </c>
      <c r="E109" s="43" t="n">
        <v>16</v>
      </c>
      <c r="F109" s="44" t="n">
        <v>2100</v>
      </c>
      <c r="G109" s="44" t="n">
        <f aca="false">E109*F109</f>
        <v>33600</v>
      </c>
      <c r="H109" s="43" t="n">
        <v>16</v>
      </c>
      <c r="I109" s="44" t="n">
        <v>2100</v>
      </c>
      <c r="J109" s="44" t="n">
        <f aca="false">H109*I109</f>
        <v>33600</v>
      </c>
      <c r="K109" s="44"/>
      <c r="L109" s="44" t="n">
        <f aca="false">IF(K109&lt;&gt;"",K109,I109)</f>
        <v>2100</v>
      </c>
      <c r="M109" s="44" t="n">
        <f aca="false">H109*L109</f>
        <v>33600</v>
      </c>
      <c r="N109" s="45" t="n">
        <f aca="false">M109-G109</f>
        <v>0</v>
      </c>
      <c r="O109" s="46" t="n">
        <f aca="false">IF(F109&gt;0,L109/F109-1,"")</f>
        <v>0</v>
      </c>
      <c r="P109" s="37" t="s">
        <v>37</v>
      </c>
      <c r="Q109" s="37" t="s">
        <v>349</v>
      </c>
      <c r="R109" s="37" t="s">
        <v>350</v>
      </c>
    </row>
    <row r="110" customFormat="false" ht="39.55" hidden="false" customHeight="false" outlineLevel="0" collapsed="false">
      <c r="A110" s="42" t="s">
        <v>18</v>
      </c>
      <c r="B110" s="42" t="s">
        <v>351</v>
      </c>
      <c r="C110" s="37" t="s">
        <v>352</v>
      </c>
      <c r="D110" s="42" t="s">
        <v>153</v>
      </c>
      <c r="E110" s="43" t="n">
        <v>145</v>
      </c>
      <c r="F110" s="44" t="n">
        <v>420</v>
      </c>
      <c r="G110" s="44" t="n">
        <f aca="false">E110*F110</f>
        <v>60900</v>
      </c>
      <c r="H110" s="43" t="n">
        <v>145</v>
      </c>
      <c r="I110" s="44" t="n">
        <v>420</v>
      </c>
      <c r="J110" s="44" t="n">
        <f aca="false">H110*I110</f>
        <v>60900</v>
      </c>
      <c r="K110" s="44"/>
      <c r="L110" s="44" t="n">
        <f aca="false">IF(K110&lt;&gt;"",K110,I110)</f>
        <v>420</v>
      </c>
      <c r="M110" s="44" t="n">
        <f aca="false">H110*L110</f>
        <v>60900</v>
      </c>
      <c r="N110" s="45" t="n">
        <f aca="false">M110-G110</f>
        <v>0</v>
      </c>
      <c r="O110" s="46" t="n">
        <f aca="false">IF(F110&gt;0,L110/F110-1,"")</f>
        <v>0</v>
      </c>
      <c r="P110" s="37" t="s">
        <v>37</v>
      </c>
      <c r="Q110" s="37" t="s">
        <v>353</v>
      </c>
      <c r="R110" s="37" t="s">
        <v>354</v>
      </c>
    </row>
    <row r="111" customFormat="false" ht="26.85" hidden="false" customHeight="false" outlineLevel="0" collapsed="false">
      <c r="A111" s="42" t="s">
        <v>18</v>
      </c>
      <c r="B111" s="42" t="s">
        <v>355</v>
      </c>
      <c r="C111" s="37" t="s">
        <v>356</v>
      </c>
      <c r="D111" s="42" t="s">
        <v>153</v>
      </c>
      <c r="E111" s="43" t="n">
        <v>267</v>
      </c>
      <c r="F111" s="44" t="n">
        <v>112</v>
      </c>
      <c r="G111" s="44" t="n">
        <f aca="false">E111*F111</f>
        <v>29904</v>
      </c>
      <c r="H111" s="43" t="n">
        <v>267</v>
      </c>
      <c r="I111" s="44" t="n">
        <v>112</v>
      </c>
      <c r="J111" s="44" t="n">
        <f aca="false">H111*I111</f>
        <v>29904</v>
      </c>
      <c r="K111" s="44"/>
      <c r="L111" s="44" t="n">
        <f aca="false">IF(K111&lt;&gt;"",K111,I111)</f>
        <v>112</v>
      </c>
      <c r="M111" s="44" t="n">
        <f aca="false">H111*L111</f>
        <v>29904</v>
      </c>
      <c r="N111" s="45" t="n">
        <f aca="false">M111-G111</f>
        <v>0</v>
      </c>
      <c r="O111" s="46" t="n">
        <f aca="false">IF(F111&gt;0,L111/F111-1,"")</f>
        <v>0</v>
      </c>
      <c r="P111" s="37" t="s">
        <v>37</v>
      </c>
      <c r="Q111" s="37" t="s">
        <v>357</v>
      </c>
      <c r="R111" s="37" t="s">
        <v>188</v>
      </c>
    </row>
    <row r="112" customFormat="false" ht="52.2" hidden="false" customHeight="false" outlineLevel="0" collapsed="false">
      <c r="A112" s="42" t="s">
        <v>18</v>
      </c>
      <c r="B112" s="42" t="s">
        <v>358</v>
      </c>
      <c r="C112" s="37" t="s">
        <v>359</v>
      </c>
      <c r="D112" s="42" t="s">
        <v>153</v>
      </c>
      <c r="E112" s="43" t="n">
        <v>8</v>
      </c>
      <c r="F112" s="44" t="n">
        <v>2800</v>
      </c>
      <c r="G112" s="44" t="n">
        <f aca="false">E112*F112</f>
        <v>22400</v>
      </c>
      <c r="H112" s="43" t="n">
        <v>8</v>
      </c>
      <c r="I112" s="44" t="n">
        <v>2800</v>
      </c>
      <c r="J112" s="44" t="n">
        <f aca="false">H112*I112</f>
        <v>22400</v>
      </c>
      <c r="K112" s="44"/>
      <c r="L112" s="44" t="n">
        <f aca="false">IF(K112&lt;&gt;"",K112,I112)</f>
        <v>2800</v>
      </c>
      <c r="M112" s="44" t="n">
        <f aca="false">H112*L112</f>
        <v>22400</v>
      </c>
      <c r="N112" s="45" t="n">
        <f aca="false">M112-G112</f>
        <v>0</v>
      </c>
      <c r="O112" s="46" t="n">
        <f aca="false">IF(F112&gt;0,L112/F112-1,"")</f>
        <v>0</v>
      </c>
      <c r="P112" s="37" t="s">
        <v>37</v>
      </c>
      <c r="Q112" s="37" t="s">
        <v>360</v>
      </c>
      <c r="R112" s="37" t="s">
        <v>361</v>
      </c>
    </row>
    <row r="113" customFormat="false" ht="15" hidden="false" customHeight="false" outlineLevel="0" collapsed="false">
      <c r="A113" s="40"/>
      <c r="B113" s="41" t="s">
        <v>19</v>
      </c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</row>
    <row r="114" customFormat="false" ht="15" hidden="false" customHeight="false" outlineLevel="0" collapsed="false">
      <c r="A114" s="42" t="s">
        <v>19</v>
      </c>
      <c r="B114" s="42" t="s">
        <v>362</v>
      </c>
      <c r="C114" s="37" t="s">
        <v>363</v>
      </c>
      <c r="D114" s="42" t="s">
        <v>153</v>
      </c>
      <c r="E114" s="43" t="n">
        <v>1</v>
      </c>
      <c r="F114" s="44" t="n">
        <v>1296</v>
      </c>
      <c r="G114" s="44" t="n">
        <f aca="false">E114*F114</f>
        <v>1296</v>
      </c>
      <c r="H114" s="43" t="n">
        <v>1</v>
      </c>
      <c r="I114" s="44" t="n">
        <v>1296</v>
      </c>
      <c r="J114" s="44" t="n">
        <f aca="false">H114*I114</f>
        <v>1296</v>
      </c>
      <c r="K114" s="44"/>
      <c r="L114" s="44" t="n">
        <f aca="false">IF(K114&lt;&gt;"",K114,I114)</f>
        <v>1296</v>
      </c>
      <c r="M114" s="44" t="n">
        <f aca="false">H114*L114</f>
        <v>1296</v>
      </c>
      <c r="N114" s="45" t="n">
        <f aca="false">M114-G114</f>
        <v>0</v>
      </c>
      <c r="O114" s="46" t="n">
        <f aca="false">IF(F114&gt;0,L114/F114-1,"")</f>
        <v>0</v>
      </c>
      <c r="P114" s="37" t="s">
        <v>37</v>
      </c>
      <c r="Q114" s="37"/>
      <c r="R114" s="37"/>
    </row>
    <row r="115" customFormat="false" ht="39.55" hidden="false" customHeight="false" outlineLevel="0" collapsed="false">
      <c r="A115" s="42" t="s">
        <v>19</v>
      </c>
      <c r="B115" s="42" t="s">
        <v>364</v>
      </c>
      <c r="C115" s="37" t="s">
        <v>365</v>
      </c>
      <c r="D115" s="42" t="s">
        <v>153</v>
      </c>
      <c r="E115" s="43" t="n">
        <v>4</v>
      </c>
      <c r="F115" s="44" t="n">
        <v>2592</v>
      </c>
      <c r="G115" s="44" t="n">
        <f aca="false">E115*F115</f>
        <v>10368</v>
      </c>
      <c r="H115" s="43" t="n">
        <v>4</v>
      </c>
      <c r="I115" s="44" t="n">
        <v>2592</v>
      </c>
      <c r="J115" s="44" t="n">
        <f aca="false">H115*I115</f>
        <v>10368</v>
      </c>
      <c r="K115" s="44"/>
      <c r="L115" s="44" t="n">
        <f aca="false">IF(K115&lt;&gt;"",K115,I115)</f>
        <v>2592</v>
      </c>
      <c r="M115" s="44" t="n">
        <f aca="false">H115*L115</f>
        <v>10368</v>
      </c>
      <c r="N115" s="45" t="n">
        <f aca="false">M115-G115</f>
        <v>0</v>
      </c>
      <c r="O115" s="46" t="n">
        <f aca="false">IF(F115&gt;0,L115/F115-1,"")</f>
        <v>0</v>
      </c>
      <c r="P115" s="37" t="s">
        <v>37</v>
      </c>
      <c r="Q115" s="37"/>
      <c r="R115" s="37"/>
    </row>
    <row r="116" customFormat="false" ht="39.55" hidden="false" customHeight="false" outlineLevel="0" collapsed="false">
      <c r="A116" s="42" t="s">
        <v>19</v>
      </c>
      <c r="B116" s="42" t="s">
        <v>366</v>
      </c>
      <c r="C116" s="37" t="s">
        <v>367</v>
      </c>
      <c r="D116" s="42" t="s">
        <v>153</v>
      </c>
      <c r="E116" s="43" t="n">
        <v>2</v>
      </c>
      <c r="F116" s="44" t="n">
        <v>2592</v>
      </c>
      <c r="G116" s="44" t="n">
        <f aca="false">E116*F116</f>
        <v>5184</v>
      </c>
      <c r="H116" s="43" t="n">
        <v>2</v>
      </c>
      <c r="I116" s="44" t="n">
        <v>2592</v>
      </c>
      <c r="J116" s="44" t="n">
        <f aca="false">H116*I116</f>
        <v>5184</v>
      </c>
      <c r="K116" s="44"/>
      <c r="L116" s="44" t="n">
        <f aca="false">IF(K116&lt;&gt;"",K116,I116)</f>
        <v>2592</v>
      </c>
      <c r="M116" s="44" t="n">
        <f aca="false">H116*L116</f>
        <v>5184</v>
      </c>
      <c r="N116" s="45" t="n">
        <f aca="false">M116-G116</f>
        <v>0</v>
      </c>
      <c r="O116" s="46" t="n">
        <f aca="false">IF(F116&gt;0,L116/F116-1,"")</f>
        <v>0</v>
      </c>
      <c r="P116" s="37" t="s">
        <v>37</v>
      </c>
      <c r="Q116" s="37"/>
      <c r="R116" s="37"/>
    </row>
    <row r="117" customFormat="false" ht="39.55" hidden="false" customHeight="false" outlineLevel="0" collapsed="false">
      <c r="A117" s="42" t="s">
        <v>19</v>
      </c>
      <c r="B117" s="42" t="s">
        <v>368</v>
      </c>
      <c r="C117" s="37" t="s">
        <v>369</v>
      </c>
      <c r="D117" s="42" t="s">
        <v>153</v>
      </c>
      <c r="E117" s="43" t="n">
        <v>12</v>
      </c>
      <c r="F117" s="44" t="n">
        <v>2592</v>
      </c>
      <c r="G117" s="44" t="n">
        <f aca="false">E117*F117</f>
        <v>31104</v>
      </c>
      <c r="H117" s="43" t="n">
        <v>12</v>
      </c>
      <c r="I117" s="44" t="n">
        <v>2592</v>
      </c>
      <c r="J117" s="44" t="n">
        <f aca="false">H117*I117</f>
        <v>31104</v>
      </c>
      <c r="K117" s="44"/>
      <c r="L117" s="44" t="n">
        <f aca="false">IF(K117&lt;&gt;"",K117,I117)</f>
        <v>2592</v>
      </c>
      <c r="M117" s="44" t="n">
        <f aca="false">H117*L117</f>
        <v>31104</v>
      </c>
      <c r="N117" s="45" t="n">
        <f aca="false">M117-G117</f>
        <v>0</v>
      </c>
      <c r="O117" s="46" t="n">
        <f aca="false">IF(F117&gt;0,L117/F117-1,"")</f>
        <v>0</v>
      </c>
      <c r="P117" s="37" t="s">
        <v>37</v>
      </c>
      <c r="Q117" s="37"/>
      <c r="R117" s="37"/>
    </row>
    <row r="118" customFormat="false" ht="15" hidden="false" customHeight="false" outlineLevel="0" collapsed="false">
      <c r="A118" s="17" t="s">
        <v>19</v>
      </c>
      <c r="B118" s="17" t="s">
        <v>370</v>
      </c>
      <c r="C118" s="18" t="s">
        <v>371</v>
      </c>
      <c r="D118" s="17" t="s">
        <v>153</v>
      </c>
      <c r="E118" s="19" t="n">
        <v>10</v>
      </c>
      <c r="F118" s="20" t="n">
        <v>4050</v>
      </c>
      <c r="G118" s="20" t="n">
        <f aca="false">E118*F118</f>
        <v>40500</v>
      </c>
      <c r="H118" s="19" t="n">
        <v>10</v>
      </c>
      <c r="I118" s="20" t="n">
        <v>4000</v>
      </c>
      <c r="J118" s="20" t="n">
        <f aca="false">H118*I118</f>
        <v>40000</v>
      </c>
      <c r="K118" s="20"/>
      <c r="L118" s="20" t="n">
        <f aca="false">IF(K118&lt;&gt;"",K118,I118)</f>
        <v>4000</v>
      </c>
      <c r="M118" s="20" t="n">
        <f aca="false">H118*L118</f>
        <v>40000</v>
      </c>
      <c r="N118" s="22" t="n">
        <f aca="false">M118-G118</f>
        <v>-500</v>
      </c>
      <c r="O118" s="21" t="n">
        <f aca="false">IF(F118&gt;0,L118/F118-1,"")</f>
        <v>-0.0123456790123457</v>
      </c>
      <c r="P118" s="18" t="s">
        <v>30</v>
      </c>
      <c r="Q118" s="18" t="s">
        <v>268</v>
      </c>
      <c r="R118" s="18"/>
    </row>
    <row r="119" customFormat="false" ht="15" hidden="false" customHeight="false" outlineLevel="0" collapsed="false">
      <c r="A119" s="17" t="s">
        <v>19</v>
      </c>
      <c r="B119" s="17" t="s">
        <v>372</v>
      </c>
      <c r="C119" s="18" t="s">
        <v>373</v>
      </c>
      <c r="D119" s="17" t="s">
        <v>153</v>
      </c>
      <c r="E119" s="19" t="n">
        <v>2</v>
      </c>
      <c r="F119" s="20" t="n">
        <v>4050</v>
      </c>
      <c r="G119" s="20" t="n">
        <f aca="false">E119*F119</f>
        <v>8100</v>
      </c>
      <c r="H119" s="19" t="n">
        <v>2</v>
      </c>
      <c r="I119" s="20" t="n">
        <v>4000</v>
      </c>
      <c r="J119" s="20" t="n">
        <f aca="false">H119*I119</f>
        <v>8000</v>
      </c>
      <c r="K119" s="20"/>
      <c r="L119" s="20" t="n">
        <f aca="false">IF(K119&lt;&gt;"",K119,I119)</f>
        <v>4000</v>
      </c>
      <c r="M119" s="20" t="n">
        <f aca="false">H119*L119</f>
        <v>8000</v>
      </c>
      <c r="N119" s="22" t="n">
        <f aca="false">M119-G119</f>
        <v>-100</v>
      </c>
      <c r="O119" s="21" t="n">
        <f aca="false">IF(F119&gt;0,L119/F119-1,"")</f>
        <v>-0.0123456790123457</v>
      </c>
      <c r="P119" s="18" t="s">
        <v>30</v>
      </c>
      <c r="Q119" s="18" t="s">
        <v>268</v>
      </c>
      <c r="R119" s="18"/>
    </row>
    <row r="120" customFormat="false" ht="39.55" hidden="false" customHeight="false" outlineLevel="0" collapsed="false">
      <c r="A120" s="17" t="s">
        <v>19</v>
      </c>
      <c r="B120" s="17" t="s">
        <v>374</v>
      </c>
      <c r="C120" s="18" t="s">
        <v>375</v>
      </c>
      <c r="D120" s="17" t="s">
        <v>153</v>
      </c>
      <c r="E120" s="19" t="n">
        <v>12</v>
      </c>
      <c r="F120" s="20" t="n">
        <v>4860</v>
      </c>
      <c r="G120" s="20" t="n">
        <f aca="false">E120*F120</f>
        <v>58320</v>
      </c>
      <c r="H120" s="19" t="n">
        <v>12</v>
      </c>
      <c r="I120" s="20" t="n">
        <v>1500</v>
      </c>
      <c r="J120" s="20" t="n">
        <f aca="false">H120*I120</f>
        <v>18000</v>
      </c>
      <c r="K120" s="20"/>
      <c r="L120" s="20" t="n">
        <f aca="false">IF(K120&lt;&gt;"",K120,I120)</f>
        <v>1500</v>
      </c>
      <c r="M120" s="20" t="n">
        <f aca="false">H120*L120</f>
        <v>18000</v>
      </c>
      <c r="N120" s="22" t="n">
        <f aca="false">M120-G120</f>
        <v>-40320</v>
      </c>
      <c r="O120" s="21" t="n">
        <f aca="false">IF(F120&gt;0,L120/F120-1,"")</f>
        <v>-0.691358024691358</v>
      </c>
      <c r="P120" s="18" t="s">
        <v>30</v>
      </c>
      <c r="Q120" s="18" t="s">
        <v>376</v>
      </c>
      <c r="R120" s="18"/>
    </row>
    <row r="121" customFormat="false" ht="15" hidden="false" customHeight="false" outlineLevel="0" collapsed="false">
      <c r="A121" s="17" t="s">
        <v>19</v>
      </c>
      <c r="B121" s="17" t="s">
        <v>377</v>
      </c>
      <c r="C121" s="18" t="s">
        <v>378</v>
      </c>
      <c r="D121" s="17" t="s">
        <v>153</v>
      </c>
      <c r="E121" s="19" t="n">
        <v>1</v>
      </c>
      <c r="F121" s="20" t="n">
        <v>4860</v>
      </c>
      <c r="G121" s="20" t="n">
        <f aca="false">E121*F121</f>
        <v>4860</v>
      </c>
      <c r="H121" s="19" t="n">
        <v>1</v>
      </c>
      <c r="I121" s="20" t="n">
        <v>4000</v>
      </c>
      <c r="J121" s="20" t="n">
        <f aca="false">H121*I121</f>
        <v>4000</v>
      </c>
      <c r="K121" s="20"/>
      <c r="L121" s="20" t="n">
        <f aca="false">IF(K121&lt;&gt;"",K121,I121)</f>
        <v>4000</v>
      </c>
      <c r="M121" s="20" t="n">
        <f aca="false">H121*L121</f>
        <v>4000</v>
      </c>
      <c r="N121" s="22" t="n">
        <f aca="false">M121-G121</f>
        <v>-860</v>
      </c>
      <c r="O121" s="21" t="n">
        <f aca="false">IF(F121&gt;0,L121/F121-1,"")</f>
        <v>-0.176954732510288</v>
      </c>
      <c r="P121" s="18" t="s">
        <v>30</v>
      </c>
      <c r="Q121" s="18" t="s">
        <v>268</v>
      </c>
      <c r="R121" s="18"/>
    </row>
    <row r="122" customFormat="false" ht="64.9" hidden="false" customHeight="false" outlineLevel="0" collapsed="false">
      <c r="A122" s="17" t="s">
        <v>19</v>
      </c>
      <c r="B122" s="17" t="s">
        <v>379</v>
      </c>
      <c r="C122" s="18" t="s">
        <v>380</v>
      </c>
      <c r="D122" s="17" t="s">
        <v>153</v>
      </c>
      <c r="E122" s="19" t="n">
        <v>1</v>
      </c>
      <c r="F122" s="20" t="n">
        <v>5670</v>
      </c>
      <c r="G122" s="20" t="n">
        <f aca="false">E122*F122</f>
        <v>5670</v>
      </c>
      <c r="H122" s="19" t="n">
        <v>1</v>
      </c>
      <c r="I122" s="20" t="n">
        <v>1500</v>
      </c>
      <c r="J122" s="20" t="n">
        <f aca="false">H122*I122</f>
        <v>1500</v>
      </c>
      <c r="K122" s="20"/>
      <c r="L122" s="20" t="n">
        <f aca="false">IF(K122&lt;&gt;"",K122,I122)</f>
        <v>1500</v>
      </c>
      <c r="M122" s="20" t="n">
        <f aca="false">H122*L122</f>
        <v>1500</v>
      </c>
      <c r="N122" s="22" t="n">
        <f aca="false">M122-G122</f>
        <v>-4170</v>
      </c>
      <c r="O122" s="21" t="n">
        <f aca="false">IF(F122&gt;0,L122/F122-1,"")</f>
        <v>-0.735449735449736</v>
      </c>
      <c r="P122" s="18" t="s">
        <v>30</v>
      </c>
      <c r="Q122" s="18" t="s">
        <v>376</v>
      </c>
      <c r="R122" s="18"/>
    </row>
    <row r="123" customFormat="false" ht="15" hidden="false" customHeight="false" outlineLevel="0" collapsed="false">
      <c r="A123" s="17" t="s">
        <v>19</v>
      </c>
      <c r="B123" s="17" t="s">
        <v>381</v>
      </c>
      <c r="C123" s="18" t="s">
        <v>382</v>
      </c>
      <c r="D123" s="17" t="s">
        <v>153</v>
      </c>
      <c r="E123" s="19" t="n">
        <v>1</v>
      </c>
      <c r="F123" s="20" t="n">
        <v>5184</v>
      </c>
      <c r="G123" s="20" t="n">
        <f aca="false">E123*F123</f>
        <v>5184</v>
      </c>
      <c r="H123" s="19" t="n">
        <v>1</v>
      </c>
      <c r="I123" s="20" t="n">
        <v>4000</v>
      </c>
      <c r="J123" s="20" t="n">
        <f aca="false">H123*I123</f>
        <v>4000</v>
      </c>
      <c r="K123" s="20"/>
      <c r="L123" s="20" t="n">
        <f aca="false">IF(K123&lt;&gt;"",K123,I123)</f>
        <v>4000</v>
      </c>
      <c r="M123" s="20" t="n">
        <f aca="false">H123*L123</f>
        <v>4000</v>
      </c>
      <c r="N123" s="22" t="n">
        <f aca="false">M123-G123</f>
        <v>-1184</v>
      </c>
      <c r="O123" s="21" t="n">
        <f aca="false">IF(F123&gt;0,L123/F123-1,"")</f>
        <v>-0.228395061728395</v>
      </c>
      <c r="P123" s="18" t="s">
        <v>30</v>
      </c>
      <c r="Q123" s="18" t="s">
        <v>268</v>
      </c>
      <c r="R123" s="18"/>
    </row>
    <row r="124" customFormat="false" ht="64.9" hidden="false" customHeight="false" outlineLevel="0" collapsed="false">
      <c r="A124" s="17" t="s">
        <v>19</v>
      </c>
      <c r="B124" s="17" t="s">
        <v>383</v>
      </c>
      <c r="C124" s="18" t="s">
        <v>384</v>
      </c>
      <c r="D124" s="17" t="s">
        <v>153</v>
      </c>
      <c r="E124" s="19" t="n">
        <v>1</v>
      </c>
      <c r="F124" s="20" t="n">
        <v>6156</v>
      </c>
      <c r="G124" s="20" t="n">
        <f aca="false">E124*F124</f>
        <v>6156</v>
      </c>
      <c r="H124" s="19" t="n">
        <v>1</v>
      </c>
      <c r="I124" s="20" t="n">
        <v>1500</v>
      </c>
      <c r="J124" s="20" t="n">
        <f aca="false">H124*I124</f>
        <v>1500</v>
      </c>
      <c r="K124" s="20"/>
      <c r="L124" s="20" t="n">
        <f aca="false">IF(K124&lt;&gt;"",K124,I124)</f>
        <v>1500</v>
      </c>
      <c r="M124" s="20" t="n">
        <f aca="false">H124*L124</f>
        <v>1500</v>
      </c>
      <c r="N124" s="22" t="n">
        <f aca="false">M124-G124</f>
        <v>-4656</v>
      </c>
      <c r="O124" s="21" t="n">
        <f aca="false">IF(F124&gt;0,L124/F124-1,"")</f>
        <v>-0.756335282651072</v>
      </c>
      <c r="P124" s="18" t="s">
        <v>30</v>
      </c>
      <c r="Q124" s="18" t="s">
        <v>376</v>
      </c>
      <c r="R124" s="18"/>
    </row>
    <row r="125" customFormat="false" ht="15" hidden="false" customHeight="false" outlineLevel="0" collapsed="false">
      <c r="A125" s="17" t="s">
        <v>19</v>
      </c>
      <c r="B125" s="17" t="s">
        <v>385</v>
      </c>
      <c r="C125" s="18" t="s">
        <v>386</v>
      </c>
      <c r="D125" s="17" t="s">
        <v>153</v>
      </c>
      <c r="E125" s="19" t="n">
        <v>1</v>
      </c>
      <c r="F125" s="20" t="n">
        <v>4860</v>
      </c>
      <c r="G125" s="20" t="n">
        <f aca="false">E125*F125</f>
        <v>4860</v>
      </c>
      <c r="H125" s="19" t="n">
        <v>1</v>
      </c>
      <c r="I125" s="20" t="n">
        <v>4000</v>
      </c>
      <c r="J125" s="20" t="n">
        <f aca="false">H125*I125</f>
        <v>4000</v>
      </c>
      <c r="K125" s="20"/>
      <c r="L125" s="20" t="n">
        <f aca="false">IF(K125&lt;&gt;"",K125,I125)</f>
        <v>4000</v>
      </c>
      <c r="M125" s="20" t="n">
        <f aca="false">H125*L125</f>
        <v>4000</v>
      </c>
      <c r="N125" s="22" t="n">
        <f aca="false">M125-G125</f>
        <v>-860</v>
      </c>
      <c r="O125" s="21" t="n">
        <f aca="false">IF(F125&gt;0,L125/F125-1,"")</f>
        <v>-0.176954732510288</v>
      </c>
      <c r="P125" s="18" t="s">
        <v>30</v>
      </c>
      <c r="Q125" s="18" t="s">
        <v>268</v>
      </c>
      <c r="R125" s="18"/>
    </row>
    <row r="126" customFormat="false" ht="39.55" hidden="false" customHeight="false" outlineLevel="0" collapsed="false">
      <c r="A126" s="17" t="s">
        <v>19</v>
      </c>
      <c r="B126" s="17" t="s">
        <v>387</v>
      </c>
      <c r="C126" s="18" t="s">
        <v>388</v>
      </c>
      <c r="D126" s="17" t="s">
        <v>153</v>
      </c>
      <c r="E126" s="19" t="n">
        <v>1</v>
      </c>
      <c r="F126" s="20" t="n">
        <v>6156</v>
      </c>
      <c r="G126" s="20" t="n">
        <f aca="false">E126*F126</f>
        <v>6156</v>
      </c>
      <c r="H126" s="19" t="n">
        <v>1</v>
      </c>
      <c r="I126" s="20" t="n">
        <v>1500</v>
      </c>
      <c r="J126" s="20" t="n">
        <f aca="false">H126*I126</f>
        <v>1500</v>
      </c>
      <c r="K126" s="20"/>
      <c r="L126" s="20" t="n">
        <f aca="false">IF(K126&lt;&gt;"",K126,I126)</f>
        <v>1500</v>
      </c>
      <c r="M126" s="20" t="n">
        <f aca="false">H126*L126</f>
        <v>1500</v>
      </c>
      <c r="N126" s="22" t="n">
        <f aca="false">M126-G126</f>
        <v>-4656</v>
      </c>
      <c r="O126" s="21" t="n">
        <f aca="false">IF(F126&gt;0,L126/F126-1,"")</f>
        <v>-0.756335282651072</v>
      </c>
      <c r="P126" s="18" t="s">
        <v>30</v>
      </c>
      <c r="Q126" s="18" t="s">
        <v>376</v>
      </c>
      <c r="R126" s="18"/>
    </row>
    <row r="127" customFormat="false" ht="15" hidden="false" customHeight="false" outlineLevel="0" collapsed="false">
      <c r="A127" s="17" t="s">
        <v>19</v>
      </c>
      <c r="B127" s="17" t="s">
        <v>389</v>
      </c>
      <c r="C127" s="18" t="s">
        <v>390</v>
      </c>
      <c r="D127" s="17" t="s">
        <v>153</v>
      </c>
      <c r="E127" s="19" t="n">
        <v>1</v>
      </c>
      <c r="F127" s="20" t="n">
        <v>1020</v>
      </c>
      <c r="G127" s="20" t="n">
        <f aca="false">E127*F127</f>
        <v>1020</v>
      </c>
      <c r="H127" s="19" t="n">
        <v>1</v>
      </c>
      <c r="I127" s="20" t="n">
        <v>950</v>
      </c>
      <c r="J127" s="20" t="n">
        <f aca="false">H127*I127</f>
        <v>950</v>
      </c>
      <c r="K127" s="20"/>
      <c r="L127" s="20" t="n">
        <f aca="false">IF(K127&lt;&gt;"",K127,I127)</f>
        <v>950</v>
      </c>
      <c r="M127" s="20" t="n">
        <f aca="false">H127*L127</f>
        <v>950</v>
      </c>
      <c r="N127" s="22" t="n">
        <f aca="false">M127-G127</f>
        <v>-70</v>
      </c>
      <c r="O127" s="21" t="n">
        <f aca="false">IF(F127&gt;0,L127/F127-1,"")</f>
        <v>-0.0686274509803921</v>
      </c>
      <c r="P127" s="18" t="s">
        <v>30</v>
      </c>
      <c r="Q127" s="18" t="s">
        <v>268</v>
      </c>
      <c r="R127" s="18"/>
    </row>
    <row r="128" customFormat="false" ht="15" hidden="false" customHeight="false" outlineLevel="0" collapsed="false">
      <c r="A128" s="17" t="s">
        <v>19</v>
      </c>
      <c r="B128" s="17" t="s">
        <v>391</v>
      </c>
      <c r="C128" s="18" t="s">
        <v>392</v>
      </c>
      <c r="D128" s="17" t="s">
        <v>303</v>
      </c>
      <c r="E128" s="19" t="n">
        <v>2</v>
      </c>
      <c r="F128" s="20" t="n">
        <v>1134</v>
      </c>
      <c r="G128" s="20" t="n">
        <f aca="false">E128*F128</f>
        <v>2268</v>
      </c>
      <c r="H128" s="19" t="n">
        <v>2</v>
      </c>
      <c r="I128" s="20" t="n">
        <v>760</v>
      </c>
      <c r="J128" s="20" t="n">
        <f aca="false">H128*I128</f>
        <v>1520</v>
      </c>
      <c r="K128" s="20"/>
      <c r="L128" s="20" t="n">
        <f aca="false">IF(K128&lt;&gt;"",K128,I128)</f>
        <v>760</v>
      </c>
      <c r="M128" s="20" t="n">
        <f aca="false">H128*L128</f>
        <v>1520</v>
      </c>
      <c r="N128" s="22" t="n">
        <f aca="false">M128-G128</f>
        <v>-748</v>
      </c>
      <c r="O128" s="21" t="n">
        <f aca="false">IF(F128&gt;0,L128/F128-1,"")</f>
        <v>-0.329805996472663</v>
      </c>
      <c r="P128" s="18" t="s">
        <v>30</v>
      </c>
      <c r="Q128" s="18" t="s">
        <v>268</v>
      </c>
      <c r="R128" s="18"/>
    </row>
    <row r="129" customFormat="false" ht="15" hidden="false" customHeight="false" outlineLevel="0" collapsed="false">
      <c r="A129" s="17" t="s">
        <v>19</v>
      </c>
      <c r="B129" s="17" t="s">
        <v>393</v>
      </c>
      <c r="C129" s="18" t="s">
        <v>394</v>
      </c>
      <c r="D129" s="17" t="s">
        <v>303</v>
      </c>
      <c r="E129" s="19" t="n">
        <v>2</v>
      </c>
      <c r="F129" s="20" t="n">
        <v>1134</v>
      </c>
      <c r="G129" s="20" t="n">
        <f aca="false">E129*F129</f>
        <v>2268</v>
      </c>
      <c r="H129" s="19" t="n">
        <v>2</v>
      </c>
      <c r="I129" s="20" t="n">
        <v>760</v>
      </c>
      <c r="J129" s="20" t="n">
        <f aca="false">H129*I129</f>
        <v>1520</v>
      </c>
      <c r="K129" s="20"/>
      <c r="L129" s="20" t="n">
        <f aca="false">IF(K129&lt;&gt;"",K129,I129)</f>
        <v>760</v>
      </c>
      <c r="M129" s="20" t="n">
        <f aca="false">H129*L129</f>
        <v>1520</v>
      </c>
      <c r="N129" s="22" t="n">
        <f aca="false">M129-G129</f>
        <v>-748</v>
      </c>
      <c r="O129" s="21" t="n">
        <f aca="false">IF(F129&gt;0,L129/F129-1,"")</f>
        <v>-0.329805996472663</v>
      </c>
      <c r="P129" s="18" t="s">
        <v>30</v>
      </c>
      <c r="Q129" s="18" t="s">
        <v>268</v>
      </c>
      <c r="R129" s="18"/>
    </row>
    <row r="130" customFormat="false" ht="15" hidden="false" customHeight="false" outlineLevel="0" collapsed="false">
      <c r="A130" s="17" t="s">
        <v>19</v>
      </c>
      <c r="B130" s="17" t="s">
        <v>395</v>
      </c>
      <c r="C130" s="18" t="s">
        <v>396</v>
      </c>
      <c r="D130" s="17" t="s">
        <v>303</v>
      </c>
      <c r="E130" s="19" t="n">
        <v>6</v>
      </c>
      <c r="F130" s="20" t="n">
        <v>1134</v>
      </c>
      <c r="G130" s="20" t="n">
        <f aca="false">E130*F130</f>
        <v>6804</v>
      </c>
      <c r="H130" s="19" t="n">
        <v>6</v>
      </c>
      <c r="I130" s="20" t="n">
        <v>760</v>
      </c>
      <c r="J130" s="20" t="n">
        <f aca="false">H130*I130</f>
        <v>4560</v>
      </c>
      <c r="K130" s="20"/>
      <c r="L130" s="20" t="n">
        <f aca="false">IF(K130&lt;&gt;"",K130,I130)</f>
        <v>760</v>
      </c>
      <c r="M130" s="20" t="n">
        <f aca="false">H130*L130</f>
        <v>4560</v>
      </c>
      <c r="N130" s="22" t="n">
        <f aca="false">M130-G130</f>
        <v>-2244</v>
      </c>
      <c r="O130" s="21" t="n">
        <f aca="false">IF(F130&gt;0,L130/F130-1,"")</f>
        <v>-0.329805996472663</v>
      </c>
      <c r="P130" s="18" t="s">
        <v>30</v>
      </c>
      <c r="Q130" s="18" t="s">
        <v>268</v>
      </c>
      <c r="R130" s="18"/>
    </row>
    <row r="131" customFormat="false" ht="15" hidden="false" customHeight="false" outlineLevel="0" collapsed="false">
      <c r="A131" s="17" t="s">
        <v>19</v>
      </c>
      <c r="B131" s="17" t="s">
        <v>397</v>
      </c>
      <c r="C131" s="18" t="s">
        <v>398</v>
      </c>
      <c r="D131" s="17" t="s">
        <v>303</v>
      </c>
      <c r="E131" s="19" t="n">
        <v>6</v>
      </c>
      <c r="F131" s="20" t="n">
        <v>1134</v>
      </c>
      <c r="G131" s="20" t="n">
        <f aca="false">E131*F131</f>
        <v>6804</v>
      </c>
      <c r="H131" s="19" t="n">
        <v>6</v>
      </c>
      <c r="I131" s="20" t="n">
        <v>760</v>
      </c>
      <c r="J131" s="20" t="n">
        <f aca="false">H131*I131</f>
        <v>4560</v>
      </c>
      <c r="K131" s="20"/>
      <c r="L131" s="20" t="n">
        <f aca="false">IF(K131&lt;&gt;"",K131,I131)</f>
        <v>760</v>
      </c>
      <c r="M131" s="20" t="n">
        <f aca="false">H131*L131</f>
        <v>4560</v>
      </c>
      <c r="N131" s="22" t="n">
        <f aca="false">M131-G131</f>
        <v>-2244</v>
      </c>
      <c r="O131" s="21" t="n">
        <f aca="false">IF(F131&gt;0,L131/F131-1,"")</f>
        <v>-0.329805996472663</v>
      </c>
      <c r="P131" s="18" t="s">
        <v>30</v>
      </c>
      <c r="Q131" s="18" t="s">
        <v>268</v>
      </c>
      <c r="R131" s="18"/>
    </row>
    <row r="132" customFormat="false" ht="26.85" hidden="false" customHeight="false" outlineLevel="0" collapsed="false">
      <c r="A132" s="17" t="s">
        <v>19</v>
      </c>
      <c r="B132" s="17" t="s">
        <v>399</v>
      </c>
      <c r="C132" s="18" t="s">
        <v>400</v>
      </c>
      <c r="D132" s="17" t="s">
        <v>303</v>
      </c>
      <c r="E132" s="19" t="n">
        <v>1</v>
      </c>
      <c r="F132" s="20" t="n">
        <v>1134</v>
      </c>
      <c r="G132" s="20" t="n">
        <f aca="false">E132*F132</f>
        <v>1134</v>
      </c>
      <c r="H132" s="19" t="n">
        <v>1</v>
      </c>
      <c r="I132" s="20" t="n">
        <v>760</v>
      </c>
      <c r="J132" s="20" t="n">
        <f aca="false">H132*I132</f>
        <v>760</v>
      </c>
      <c r="K132" s="20"/>
      <c r="L132" s="20" t="n">
        <f aca="false">IF(K132&lt;&gt;"",K132,I132)</f>
        <v>760</v>
      </c>
      <c r="M132" s="20" t="n">
        <f aca="false">H132*L132</f>
        <v>760</v>
      </c>
      <c r="N132" s="22" t="n">
        <f aca="false">M132-G132</f>
        <v>-374</v>
      </c>
      <c r="O132" s="21" t="n">
        <f aca="false">IF(F132&gt;0,L132/F132-1,"")</f>
        <v>-0.329805996472663</v>
      </c>
      <c r="P132" s="18" t="s">
        <v>30</v>
      </c>
      <c r="Q132" s="18" t="s">
        <v>268</v>
      </c>
      <c r="R132" s="18"/>
    </row>
    <row r="133" customFormat="false" ht="26.85" hidden="false" customHeight="false" outlineLevel="0" collapsed="false">
      <c r="A133" s="17" t="s">
        <v>19</v>
      </c>
      <c r="B133" s="17" t="s">
        <v>401</v>
      </c>
      <c r="C133" s="18" t="s">
        <v>402</v>
      </c>
      <c r="D133" s="17" t="s">
        <v>303</v>
      </c>
      <c r="E133" s="19" t="n">
        <v>1</v>
      </c>
      <c r="F133" s="20" t="n">
        <v>1134</v>
      </c>
      <c r="G133" s="20" t="n">
        <f aca="false">E133*F133</f>
        <v>1134</v>
      </c>
      <c r="H133" s="19" t="n">
        <v>1</v>
      </c>
      <c r="I133" s="20" t="n">
        <v>760</v>
      </c>
      <c r="J133" s="20" t="n">
        <f aca="false">H133*I133</f>
        <v>760</v>
      </c>
      <c r="K133" s="20"/>
      <c r="L133" s="20" t="n">
        <f aca="false">IF(K133&lt;&gt;"",K133,I133)</f>
        <v>760</v>
      </c>
      <c r="M133" s="20" t="n">
        <f aca="false">H133*L133</f>
        <v>760</v>
      </c>
      <c r="N133" s="22" t="n">
        <f aca="false">M133-G133</f>
        <v>-374</v>
      </c>
      <c r="O133" s="21" t="n">
        <f aca="false">IF(F133&gt;0,L133/F133-1,"")</f>
        <v>-0.329805996472663</v>
      </c>
      <c r="P133" s="18" t="s">
        <v>30</v>
      </c>
      <c r="Q133" s="18" t="s">
        <v>268</v>
      </c>
      <c r="R133" s="18"/>
    </row>
    <row r="134" customFormat="false" ht="26.85" hidden="false" customHeight="false" outlineLevel="0" collapsed="false">
      <c r="A134" s="17" t="s">
        <v>19</v>
      </c>
      <c r="B134" s="17" t="s">
        <v>403</v>
      </c>
      <c r="C134" s="18" t="s">
        <v>404</v>
      </c>
      <c r="D134" s="17" t="s">
        <v>303</v>
      </c>
      <c r="E134" s="19" t="n">
        <v>6</v>
      </c>
      <c r="F134" s="20" t="n">
        <v>1134</v>
      </c>
      <c r="G134" s="20" t="n">
        <f aca="false">E134*F134</f>
        <v>6804</v>
      </c>
      <c r="H134" s="19" t="n">
        <v>6</v>
      </c>
      <c r="I134" s="20" t="n">
        <v>760</v>
      </c>
      <c r="J134" s="20" t="n">
        <f aca="false">H134*I134</f>
        <v>4560</v>
      </c>
      <c r="K134" s="20"/>
      <c r="L134" s="20" t="n">
        <f aca="false">IF(K134&lt;&gt;"",K134,I134)</f>
        <v>760</v>
      </c>
      <c r="M134" s="20" t="n">
        <f aca="false">H134*L134</f>
        <v>4560</v>
      </c>
      <c r="N134" s="22" t="n">
        <f aca="false">M134-G134</f>
        <v>-2244</v>
      </c>
      <c r="O134" s="21" t="n">
        <f aca="false">IF(F134&gt;0,L134/F134-1,"")</f>
        <v>-0.329805996472663</v>
      </c>
      <c r="P134" s="18" t="s">
        <v>30</v>
      </c>
      <c r="Q134" s="18" t="s">
        <v>268</v>
      </c>
      <c r="R134" s="18"/>
    </row>
    <row r="135" customFormat="false" ht="26.85" hidden="false" customHeight="false" outlineLevel="0" collapsed="false">
      <c r="A135" s="17" t="s">
        <v>19</v>
      </c>
      <c r="B135" s="17" t="s">
        <v>405</v>
      </c>
      <c r="C135" s="18" t="s">
        <v>406</v>
      </c>
      <c r="D135" s="17" t="s">
        <v>303</v>
      </c>
      <c r="E135" s="19" t="n">
        <v>6</v>
      </c>
      <c r="F135" s="20" t="n">
        <v>1134</v>
      </c>
      <c r="G135" s="20" t="n">
        <f aca="false">E135*F135</f>
        <v>6804</v>
      </c>
      <c r="H135" s="19" t="n">
        <v>6</v>
      </c>
      <c r="I135" s="20" t="n">
        <v>760</v>
      </c>
      <c r="J135" s="20" t="n">
        <f aca="false">H135*I135</f>
        <v>4560</v>
      </c>
      <c r="K135" s="20"/>
      <c r="L135" s="20" t="n">
        <f aca="false">IF(K135&lt;&gt;"",K135,I135)</f>
        <v>760</v>
      </c>
      <c r="M135" s="20" t="n">
        <f aca="false">H135*L135</f>
        <v>4560</v>
      </c>
      <c r="N135" s="22" t="n">
        <f aca="false">M135-G135</f>
        <v>-2244</v>
      </c>
      <c r="O135" s="21" t="n">
        <f aca="false">IF(F135&gt;0,L135/F135-1,"")</f>
        <v>-0.329805996472663</v>
      </c>
      <c r="P135" s="18" t="s">
        <v>30</v>
      </c>
      <c r="Q135" s="18" t="s">
        <v>268</v>
      </c>
      <c r="R135" s="18"/>
    </row>
    <row r="136" customFormat="false" ht="26.85" hidden="false" customHeight="false" outlineLevel="0" collapsed="false">
      <c r="A136" s="17" t="s">
        <v>19</v>
      </c>
      <c r="B136" s="17" t="s">
        <v>407</v>
      </c>
      <c r="C136" s="18" t="s">
        <v>408</v>
      </c>
      <c r="D136" s="17" t="s">
        <v>303</v>
      </c>
      <c r="E136" s="19" t="n">
        <v>19</v>
      </c>
      <c r="F136" s="20" t="n">
        <v>1360.8</v>
      </c>
      <c r="G136" s="20" t="n">
        <f aca="false">E136*F136</f>
        <v>25855.2</v>
      </c>
      <c r="H136" s="19" t="n">
        <v>19</v>
      </c>
      <c r="I136" s="20" t="n">
        <v>950</v>
      </c>
      <c r="J136" s="20" t="n">
        <f aca="false">H136*I136</f>
        <v>18050</v>
      </c>
      <c r="K136" s="20"/>
      <c r="L136" s="20" t="n">
        <f aca="false">IF(K136&lt;&gt;"",K136,I136)</f>
        <v>950</v>
      </c>
      <c r="M136" s="20" t="n">
        <f aca="false">H136*L136</f>
        <v>18050</v>
      </c>
      <c r="N136" s="22" t="n">
        <f aca="false">M136-G136</f>
        <v>-7805.2</v>
      </c>
      <c r="O136" s="21" t="n">
        <f aca="false">IF(F136&gt;0,L136/F136-1,"")</f>
        <v>-0.301881246325691</v>
      </c>
      <c r="P136" s="18" t="s">
        <v>30</v>
      </c>
      <c r="Q136" s="18" t="s">
        <v>268</v>
      </c>
      <c r="R136" s="18"/>
    </row>
    <row r="137" customFormat="false" ht="26.85" hidden="false" customHeight="false" outlineLevel="0" collapsed="false">
      <c r="A137" s="17" t="s">
        <v>19</v>
      </c>
      <c r="B137" s="17" t="s">
        <v>409</v>
      </c>
      <c r="C137" s="18" t="s">
        <v>410</v>
      </c>
      <c r="D137" s="17" t="s">
        <v>303</v>
      </c>
      <c r="E137" s="19" t="n">
        <v>7</v>
      </c>
      <c r="F137" s="20" t="n">
        <v>1360.8</v>
      </c>
      <c r="G137" s="20" t="n">
        <f aca="false">E137*F137</f>
        <v>9525.6</v>
      </c>
      <c r="H137" s="19" t="n">
        <v>7</v>
      </c>
      <c r="I137" s="20" t="n">
        <v>689.79</v>
      </c>
      <c r="J137" s="20" t="n">
        <f aca="false">H137*I137</f>
        <v>4828.53</v>
      </c>
      <c r="K137" s="20"/>
      <c r="L137" s="20" t="n">
        <f aca="false">IF(K137&lt;&gt;"",K137,I137)</f>
        <v>689.79</v>
      </c>
      <c r="M137" s="20" t="n">
        <f aca="false">H137*L137</f>
        <v>4828.53</v>
      </c>
      <c r="N137" s="22" t="n">
        <f aca="false">M137-G137</f>
        <v>-4697.07</v>
      </c>
      <c r="O137" s="21" t="n">
        <f aca="false">IF(F137&gt;0,L137/F137-1,"")</f>
        <v>-0.493099647266314</v>
      </c>
      <c r="P137" s="18" t="s">
        <v>30</v>
      </c>
      <c r="Q137" s="18" t="s">
        <v>268</v>
      </c>
      <c r="R137" s="18"/>
    </row>
    <row r="138" customFormat="false" ht="26.85" hidden="false" customHeight="false" outlineLevel="0" collapsed="false">
      <c r="A138" s="17" t="s">
        <v>19</v>
      </c>
      <c r="B138" s="17" t="s">
        <v>411</v>
      </c>
      <c r="C138" s="18" t="s">
        <v>412</v>
      </c>
      <c r="D138" s="17" t="s">
        <v>303</v>
      </c>
      <c r="E138" s="19" t="n">
        <v>40</v>
      </c>
      <c r="F138" s="20" t="n">
        <v>1360.8</v>
      </c>
      <c r="G138" s="20" t="n">
        <f aca="false">E138*F138</f>
        <v>54432</v>
      </c>
      <c r="H138" s="19" t="n">
        <v>40</v>
      </c>
      <c r="I138" s="20" t="n">
        <v>862.23</v>
      </c>
      <c r="J138" s="20" t="n">
        <f aca="false">H138*I138</f>
        <v>34489.2</v>
      </c>
      <c r="K138" s="20"/>
      <c r="L138" s="20" t="n">
        <f aca="false">IF(K138&lt;&gt;"",K138,I138)</f>
        <v>862.23</v>
      </c>
      <c r="M138" s="20" t="n">
        <f aca="false">H138*L138</f>
        <v>34489.2</v>
      </c>
      <c r="N138" s="22" t="n">
        <f aca="false">M138-G138</f>
        <v>-19942.8</v>
      </c>
      <c r="O138" s="21" t="n">
        <f aca="false">IF(F138&gt;0,L138/F138-1,"")</f>
        <v>-0.366380070546737</v>
      </c>
      <c r="P138" s="18" t="s">
        <v>30</v>
      </c>
      <c r="Q138" s="18" t="s">
        <v>268</v>
      </c>
      <c r="R138" s="18"/>
    </row>
    <row r="139" customFormat="false" ht="26.85" hidden="false" customHeight="false" outlineLevel="0" collapsed="false">
      <c r="A139" s="17" t="s">
        <v>19</v>
      </c>
      <c r="B139" s="17" t="s">
        <v>413</v>
      </c>
      <c r="C139" s="18" t="s">
        <v>414</v>
      </c>
      <c r="D139" s="17" t="s">
        <v>303</v>
      </c>
      <c r="E139" s="19" t="n">
        <v>15</v>
      </c>
      <c r="F139" s="20" t="n">
        <v>1360.8</v>
      </c>
      <c r="G139" s="20" t="n">
        <f aca="false">E139*F139</f>
        <v>20412</v>
      </c>
      <c r="H139" s="19" t="n">
        <v>15</v>
      </c>
      <c r="I139" s="20" t="n">
        <v>1077.79</v>
      </c>
      <c r="J139" s="20" t="n">
        <f aca="false">H139*I139</f>
        <v>16166.85</v>
      </c>
      <c r="K139" s="20"/>
      <c r="L139" s="20" t="n">
        <f aca="false">IF(K139&lt;&gt;"",K139,I139)</f>
        <v>1077.79</v>
      </c>
      <c r="M139" s="20" t="n">
        <f aca="false">H139*L139</f>
        <v>16166.85</v>
      </c>
      <c r="N139" s="22" t="n">
        <f aca="false">M139-G139</f>
        <v>-4245.15</v>
      </c>
      <c r="O139" s="21" t="n">
        <f aca="false">IF(F139&gt;0,L139/F139-1,"")</f>
        <v>-0.207973251028807</v>
      </c>
      <c r="P139" s="18" t="s">
        <v>30</v>
      </c>
      <c r="Q139" s="18" t="s">
        <v>268</v>
      </c>
      <c r="R139" s="18"/>
    </row>
    <row r="140" customFormat="false" ht="26.85" hidden="false" customHeight="false" outlineLevel="0" collapsed="false">
      <c r="A140" s="42" t="s">
        <v>19</v>
      </c>
      <c r="B140" s="42" t="s">
        <v>415</v>
      </c>
      <c r="C140" s="37" t="s">
        <v>416</v>
      </c>
      <c r="D140" s="42" t="s">
        <v>303</v>
      </c>
      <c r="E140" s="43" t="n">
        <v>10</v>
      </c>
      <c r="F140" s="44" t="n">
        <v>1620</v>
      </c>
      <c r="G140" s="44" t="n">
        <f aca="false">E140*F140</f>
        <v>16200</v>
      </c>
      <c r="H140" s="43" t="n">
        <v>10</v>
      </c>
      <c r="I140" s="44" t="n">
        <v>1620</v>
      </c>
      <c r="J140" s="44" t="n">
        <f aca="false">H140*I140</f>
        <v>16200</v>
      </c>
      <c r="K140" s="44"/>
      <c r="L140" s="44" t="n">
        <f aca="false">IF(K140&lt;&gt;"",K140,I140)</f>
        <v>1620</v>
      </c>
      <c r="M140" s="44" t="n">
        <f aca="false">H140*L140</f>
        <v>16200</v>
      </c>
      <c r="N140" s="45" t="n">
        <f aca="false">M140-G140</f>
        <v>0</v>
      </c>
      <c r="O140" s="46" t="n">
        <f aca="false">IF(F140&gt;0,L140/F140-1,"")</f>
        <v>0</v>
      </c>
      <c r="P140" s="37" t="s">
        <v>37</v>
      </c>
      <c r="Q140" s="37"/>
      <c r="R140" s="37"/>
    </row>
    <row r="141" customFormat="false" ht="26.85" hidden="false" customHeight="false" outlineLevel="0" collapsed="false">
      <c r="A141" s="42" t="s">
        <v>19</v>
      </c>
      <c r="B141" s="42" t="s">
        <v>417</v>
      </c>
      <c r="C141" s="37" t="s">
        <v>418</v>
      </c>
      <c r="D141" s="42" t="s">
        <v>303</v>
      </c>
      <c r="E141" s="43" t="n">
        <v>3</v>
      </c>
      <c r="F141" s="44" t="n">
        <v>1944</v>
      </c>
      <c r="G141" s="44" t="n">
        <f aca="false">E141*F141</f>
        <v>5832</v>
      </c>
      <c r="H141" s="43" t="n">
        <v>3</v>
      </c>
      <c r="I141" s="44" t="n">
        <v>1944</v>
      </c>
      <c r="J141" s="44" t="n">
        <f aca="false">H141*I141</f>
        <v>5832</v>
      </c>
      <c r="K141" s="44"/>
      <c r="L141" s="44" t="n">
        <f aca="false">IF(K141&lt;&gt;"",K141,I141)</f>
        <v>1944</v>
      </c>
      <c r="M141" s="44" t="n">
        <f aca="false">H141*L141</f>
        <v>5832</v>
      </c>
      <c r="N141" s="45" t="n">
        <f aca="false">M141-G141</f>
        <v>0</v>
      </c>
      <c r="O141" s="46" t="n">
        <f aca="false">IF(F141&gt;0,L141/F141-1,"")</f>
        <v>0</v>
      </c>
      <c r="P141" s="37" t="s">
        <v>37</v>
      </c>
      <c r="Q141" s="37"/>
      <c r="R141" s="37"/>
    </row>
    <row r="142" customFormat="false" ht="26.85" hidden="false" customHeight="false" outlineLevel="0" collapsed="false">
      <c r="A142" s="42" t="s">
        <v>19</v>
      </c>
      <c r="B142" s="42" t="s">
        <v>419</v>
      </c>
      <c r="C142" s="37" t="s">
        <v>420</v>
      </c>
      <c r="D142" s="42" t="s">
        <v>303</v>
      </c>
      <c r="E142" s="43" t="n">
        <v>14</v>
      </c>
      <c r="F142" s="44" t="n">
        <v>1944</v>
      </c>
      <c r="G142" s="44" t="n">
        <f aca="false">E142*F142</f>
        <v>27216</v>
      </c>
      <c r="H142" s="43" t="n">
        <v>14</v>
      </c>
      <c r="I142" s="44" t="n">
        <v>1944</v>
      </c>
      <c r="J142" s="44" t="n">
        <f aca="false">H142*I142</f>
        <v>27216</v>
      </c>
      <c r="K142" s="44"/>
      <c r="L142" s="44" t="n">
        <f aca="false">IF(K142&lt;&gt;"",K142,I142)</f>
        <v>1944</v>
      </c>
      <c r="M142" s="44" t="n">
        <f aca="false">H142*L142</f>
        <v>27216</v>
      </c>
      <c r="N142" s="45" t="n">
        <f aca="false">M142-G142</f>
        <v>0</v>
      </c>
      <c r="O142" s="46" t="n">
        <f aca="false">IF(F142&gt;0,L142/F142-1,"")</f>
        <v>0</v>
      </c>
      <c r="P142" s="37" t="s">
        <v>37</v>
      </c>
      <c r="Q142" s="37"/>
      <c r="R142" s="37"/>
    </row>
    <row r="143" customFormat="false" ht="26.85" hidden="false" customHeight="false" outlineLevel="0" collapsed="false">
      <c r="A143" s="42" t="s">
        <v>19</v>
      </c>
      <c r="B143" s="42" t="s">
        <v>421</v>
      </c>
      <c r="C143" s="37" t="s">
        <v>422</v>
      </c>
      <c r="D143" s="42" t="s">
        <v>303</v>
      </c>
      <c r="E143" s="43" t="n">
        <v>10</v>
      </c>
      <c r="F143" s="44" t="n">
        <v>1944</v>
      </c>
      <c r="G143" s="44" t="n">
        <f aca="false">E143*F143</f>
        <v>19440</v>
      </c>
      <c r="H143" s="43" t="n">
        <v>10</v>
      </c>
      <c r="I143" s="44" t="n">
        <v>1944</v>
      </c>
      <c r="J143" s="44" t="n">
        <f aca="false">H143*I143</f>
        <v>19440</v>
      </c>
      <c r="K143" s="44"/>
      <c r="L143" s="44" t="n">
        <f aca="false">IF(K143&lt;&gt;"",K143,I143)</f>
        <v>1944</v>
      </c>
      <c r="M143" s="44" t="n">
        <f aca="false">H143*L143</f>
        <v>19440</v>
      </c>
      <c r="N143" s="45" t="n">
        <f aca="false">M143-G143</f>
        <v>0</v>
      </c>
      <c r="O143" s="46" t="n">
        <f aca="false">IF(F143&gt;0,L143/F143-1,"")</f>
        <v>0</v>
      </c>
      <c r="P143" s="37" t="s">
        <v>37</v>
      </c>
      <c r="Q143" s="37"/>
      <c r="R143" s="37"/>
    </row>
    <row r="144" customFormat="false" ht="26.85" hidden="false" customHeight="false" outlineLevel="0" collapsed="false">
      <c r="A144" s="42" t="s">
        <v>19</v>
      </c>
      <c r="B144" s="42" t="s">
        <v>423</v>
      </c>
      <c r="C144" s="37" t="s">
        <v>424</v>
      </c>
      <c r="D144" s="42" t="s">
        <v>303</v>
      </c>
      <c r="E144" s="43" t="n">
        <v>16</v>
      </c>
      <c r="F144" s="44" t="n">
        <v>2592</v>
      </c>
      <c r="G144" s="44" t="n">
        <f aca="false">E144*F144</f>
        <v>41472</v>
      </c>
      <c r="H144" s="43" t="n">
        <v>16</v>
      </c>
      <c r="I144" s="44" t="n">
        <v>2592</v>
      </c>
      <c r="J144" s="44" t="n">
        <f aca="false">H144*I144</f>
        <v>41472</v>
      </c>
      <c r="K144" s="44"/>
      <c r="L144" s="44" t="n">
        <f aca="false">IF(K144&lt;&gt;"",K144,I144)</f>
        <v>2592</v>
      </c>
      <c r="M144" s="44" t="n">
        <f aca="false">H144*L144</f>
        <v>41472</v>
      </c>
      <c r="N144" s="45" t="n">
        <f aca="false">M144-G144</f>
        <v>0</v>
      </c>
      <c r="O144" s="46" t="n">
        <f aca="false">IF(F144&gt;0,L144/F144-1,"")</f>
        <v>0</v>
      </c>
      <c r="P144" s="37" t="s">
        <v>37</v>
      </c>
      <c r="Q144" s="37"/>
      <c r="R144" s="37"/>
    </row>
    <row r="145" customFormat="false" ht="26.85" hidden="false" customHeight="false" outlineLevel="0" collapsed="false">
      <c r="A145" s="42" t="s">
        <v>19</v>
      </c>
      <c r="B145" s="42" t="s">
        <v>425</v>
      </c>
      <c r="C145" s="37" t="s">
        <v>426</v>
      </c>
      <c r="D145" s="42" t="s">
        <v>303</v>
      </c>
      <c r="E145" s="43" t="n">
        <v>11</v>
      </c>
      <c r="F145" s="44" t="n">
        <v>2592</v>
      </c>
      <c r="G145" s="44" t="n">
        <f aca="false">E145*F145</f>
        <v>28512</v>
      </c>
      <c r="H145" s="43" t="n">
        <v>11</v>
      </c>
      <c r="I145" s="44" t="n">
        <v>2592</v>
      </c>
      <c r="J145" s="44" t="n">
        <f aca="false">H145*I145</f>
        <v>28512</v>
      </c>
      <c r="K145" s="44"/>
      <c r="L145" s="44" t="n">
        <f aca="false">IF(K145&lt;&gt;"",K145,I145)</f>
        <v>2592</v>
      </c>
      <c r="M145" s="44" t="n">
        <f aca="false">H145*L145</f>
        <v>28512</v>
      </c>
      <c r="N145" s="45" t="n">
        <f aca="false">M145-G145</f>
        <v>0</v>
      </c>
      <c r="O145" s="46" t="n">
        <f aca="false">IF(F145&gt;0,L145/F145-1,"")</f>
        <v>0</v>
      </c>
      <c r="P145" s="37" t="s">
        <v>37</v>
      </c>
      <c r="Q145" s="37"/>
      <c r="R145" s="37"/>
    </row>
    <row r="146" customFormat="false" ht="26.85" hidden="false" customHeight="false" outlineLevel="0" collapsed="false">
      <c r="A146" s="42" t="s">
        <v>19</v>
      </c>
      <c r="B146" s="42" t="s">
        <v>427</v>
      </c>
      <c r="C146" s="37" t="s">
        <v>428</v>
      </c>
      <c r="D146" s="42" t="s">
        <v>303</v>
      </c>
      <c r="E146" s="43" t="n">
        <v>2</v>
      </c>
      <c r="F146" s="44" t="n">
        <v>2754</v>
      </c>
      <c r="G146" s="44" t="n">
        <f aca="false">E146*F146</f>
        <v>5508</v>
      </c>
      <c r="H146" s="43" t="n">
        <v>2</v>
      </c>
      <c r="I146" s="44" t="n">
        <v>2754</v>
      </c>
      <c r="J146" s="44" t="n">
        <f aca="false">H146*I146</f>
        <v>5508</v>
      </c>
      <c r="K146" s="44"/>
      <c r="L146" s="44" t="n">
        <f aca="false">IF(K146&lt;&gt;"",K146,I146)</f>
        <v>2754</v>
      </c>
      <c r="M146" s="44" t="n">
        <f aca="false">H146*L146</f>
        <v>5508</v>
      </c>
      <c r="N146" s="45" t="n">
        <f aca="false">M146-G146</f>
        <v>0</v>
      </c>
      <c r="O146" s="46" t="n">
        <f aca="false">IF(F146&gt;0,L146/F146-1,"")</f>
        <v>0</v>
      </c>
      <c r="P146" s="37" t="s">
        <v>37</v>
      </c>
      <c r="Q146" s="37"/>
      <c r="R146" s="37"/>
    </row>
    <row r="147" customFormat="false" ht="26.85" hidden="false" customHeight="false" outlineLevel="0" collapsed="false">
      <c r="A147" s="17" t="s">
        <v>19</v>
      </c>
      <c r="B147" s="17" t="s">
        <v>429</v>
      </c>
      <c r="C147" s="18" t="s">
        <v>430</v>
      </c>
      <c r="D147" s="17" t="s">
        <v>303</v>
      </c>
      <c r="E147" s="19" t="n">
        <v>18</v>
      </c>
      <c r="F147" s="20" t="n">
        <v>3726</v>
      </c>
      <c r="G147" s="20" t="n">
        <f aca="false">E147*F147</f>
        <v>67068</v>
      </c>
      <c r="H147" s="19" t="n">
        <v>18</v>
      </c>
      <c r="I147" s="20" t="n">
        <v>3230</v>
      </c>
      <c r="J147" s="20" t="n">
        <f aca="false">H147*I147</f>
        <v>58140</v>
      </c>
      <c r="K147" s="20"/>
      <c r="L147" s="20" t="n">
        <f aca="false">IF(K147&lt;&gt;"",K147,I147)</f>
        <v>3230</v>
      </c>
      <c r="M147" s="20" t="n">
        <f aca="false">H147*L147</f>
        <v>58140</v>
      </c>
      <c r="N147" s="22" t="n">
        <f aca="false">M147-G147</f>
        <v>-8928</v>
      </c>
      <c r="O147" s="21" t="n">
        <f aca="false">IF(F147&gt;0,L147/F147-1,"")</f>
        <v>-0.133118625872249</v>
      </c>
      <c r="P147" s="18" t="s">
        <v>30</v>
      </c>
      <c r="Q147" s="18"/>
      <c r="R147" s="18"/>
    </row>
    <row r="148" customFormat="false" ht="26.85" hidden="false" customHeight="false" outlineLevel="0" collapsed="false">
      <c r="A148" s="17" t="s">
        <v>19</v>
      </c>
      <c r="B148" s="17" t="s">
        <v>431</v>
      </c>
      <c r="C148" s="18" t="s">
        <v>432</v>
      </c>
      <c r="D148" s="17" t="s">
        <v>153</v>
      </c>
      <c r="E148" s="19" t="n">
        <v>4</v>
      </c>
      <c r="F148" s="20" t="n">
        <v>1020</v>
      </c>
      <c r="G148" s="20" t="n">
        <f aca="false">E148*F148</f>
        <v>4080</v>
      </c>
      <c r="H148" s="19" t="n">
        <v>4</v>
      </c>
      <c r="I148" s="20" t="n">
        <v>855</v>
      </c>
      <c r="J148" s="20" t="n">
        <f aca="false">H148*I148</f>
        <v>3420</v>
      </c>
      <c r="K148" s="20"/>
      <c r="L148" s="20" t="n">
        <f aca="false">IF(K148&lt;&gt;"",K148,I148)</f>
        <v>855</v>
      </c>
      <c r="M148" s="20" t="n">
        <f aca="false">H148*L148</f>
        <v>3420</v>
      </c>
      <c r="N148" s="22" t="n">
        <f aca="false">M148-G148</f>
        <v>-660</v>
      </c>
      <c r="O148" s="21" t="n">
        <f aca="false">IF(F148&gt;0,L148/F148-1,"")</f>
        <v>-0.161764705882353</v>
      </c>
      <c r="P148" s="18" t="s">
        <v>30</v>
      </c>
      <c r="Q148" s="18" t="s">
        <v>212</v>
      </c>
      <c r="R148" s="18"/>
    </row>
    <row r="149" customFormat="false" ht="26.85" hidden="false" customHeight="false" outlineLevel="0" collapsed="false">
      <c r="A149" s="17" t="s">
        <v>19</v>
      </c>
      <c r="B149" s="17" t="s">
        <v>433</v>
      </c>
      <c r="C149" s="18" t="s">
        <v>434</v>
      </c>
      <c r="D149" s="17" t="s">
        <v>153</v>
      </c>
      <c r="E149" s="19" t="n">
        <v>2</v>
      </c>
      <c r="F149" s="20" t="n">
        <v>1020</v>
      </c>
      <c r="G149" s="20" t="n">
        <f aca="false">E149*F149</f>
        <v>2040</v>
      </c>
      <c r="H149" s="19" t="n">
        <v>2</v>
      </c>
      <c r="I149" s="20" t="n">
        <v>855</v>
      </c>
      <c r="J149" s="20" t="n">
        <f aca="false">H149*I149</f>
        <v>1710</v>
      </c>
      <c r="K149" s="20"/>
      <c r="L149" s="20" t="n">
        <f aca="false">IF(K149&lt;&gt;"",K149,I149)</f>
        <v>855</v>
      </c>
      <c r="M149" s="20" t="n">
        <f aca="false">H149*L149</f>
        <v>1710</v>
      </c>
      <c r="N149" s="22" t="n">
        <f aca="false">M149-G149</f>
        <v>-330</v>
      </c>
      <c r="O149" s="21" t="n">
        <f aca="false">IF(F149&gt;0,L149/F149-1,"")</f>
        <v>-0.161764705882353</v>
      </c>
      <c r="P149" s="18" t="s">
        <v>30</v>
      </c>
      <c r="Q149" s="18" t="s">
        <v>212</v>
      </c>
      <c r="R149" s="18"/>
    </row>
    <row r="150" customFormat="false" ht="26.85" hidden="false" customHeight="false" outlineLevel="0" collapsed="false">
      <c r="A150" s="17" t="s">
        <v>19</v>
      </c>
      <c r="B150" s="17" t="s">
        <v>435</v>
      </c>
      <c r="C150" s="18" t="s">
        <v>436</v>
      </c>
      <c r="D150" s="17" t="s">
        <v>153</v>
      </c>
      <c r="E150" s="19" t="n">
        <v>4</v>
      </c>
      <c r="F150" s="20" t="n">
        <v>1620</v>
      </c>
      <c r="G150" s="20" t="n">
        <f aca="false">E150*F150</f>
        <v>6480</v>
      </c>
      <c r="H150" s="19" t="n">
        <v>4</v>
      </c>
      <c r="I150" s="20" t="n">
        <v>880</v>
      </c>
      <c r="J150" s="20" t="n">
        <f aca="false">H150*I150</f>
        <v>3520</v>
      </c>
      <c r="K150" s="20"/>
      <c r="L150" s="20" t="n">
        <f aca="false">IF(K150&lt;&gt;"",K150,I150)</f>
        <v>880</v>
      </c>
      <c r="M150" s="20" t="n">
        <f aca="false">H150*L150</f>
        <v>3520</v>
      </c>
      <c r="N150" s="22" t="n">
        <f aca="false">M150-G150</f>
        <v>-2960</v>
      </c>
      <c r="O150" s="21" t="n">
        <f aca="false">IF(F150&gt;0,L150/F150-1,"")</f>
        <v>-0.45679012345679</v>
      </c>
      <c r="P150" s="18" t="s">
        <v>30</v>
      </c>
      <c r="Q150" s="18" t="s">
        <v>437</v>
      </c>
      <c r="R150" s="18"/>
    </row>
    <row r="151" customFormat="false" ht="26.85" hidden="false" customHeight="false" outlineLevel="0" collapsed="false">
      <c r="A151" s="17" t="s">
        <v>19</v>
      </c>
      <c r="B151" s="17" t="s">
        <v>438</v>
      </c>
      <c r="C151" s="18" t="s">
        <v>439</v>
      </c>
      <c r="D151" s="17" t="s">
        <v>153</v>
      </c>
      <c r="E151" s="19" t="n">
        <v>2</v>
      </c>
      <c r="F151" s="20" t="n">
        <v>2592</v>
      </c>
      <c r="G151" s="20" t="n">
        <f aca="false">E151*F151</f>
        <v>5184</v>
      </c>
      <c r="H151" s="19" t="n">
        <v>2</v>
      </c>
      <c r="I151" s="20" t="n">
        <v>1700</v>
      </c>
      <c r="J151" s="20" t="n">
        <f aca="false">H151*I151</f>
        <v>3400</v>
      </c>
      <c r="K151" s="20"/>
      <c r="L151" s="20" t="n">
        <f aca="false">IF(K151&lt;&gt;"",K151,I151)</f>
        <v>1700</v>
      </c>
      <c r="M151" s="20" t="n">
        <f aca="false">H151*L151</f>
        <v>3400</v>
      </c>
      <c r="N151" s="22" t="n">
        <f aca="false">M151-G151</f>
        <v>-1784</v>
      </c>
      <c r="O151" s="21" t="n">
        <f aca="false">IF(F151&gt;0,L151/F151-1,"")</f>
        <v>-0.344135802469136</v>
      </c>
      <c r="P151" s="18" t="s">
        <v>30</v>
      </c>
      <c r="Q151" s="18"/>
      <c r="R151" s="18"/>
    </row>
    <row r="152" customFormat="false" ht="26.85" hidden="false" customHeight="false" outlineLevel="0" collapsed="false">
      <c r="A152" s="17" t="s">
        <v>19</v>
      </c>
      <c r="B152" s="17" t="s">
        <v>440</v>
      </c>
      <c r="C152" s="18" t="s">
        <v>441</v>
      </c>
      <c r="D152" s="17" t="s">
        <v>153</v>
      </c>
      <c r="E152" s="19" t="n">
        <v>2</v>
      </c>
      <c r="F152" s="20" t="n">
        <v>2268</v>
      </c>
      <c r="G152" s="20" t="n">
        <f aca="false">E152*F152</f>
        <v>4536</v>
      </c>
      <c r="H152" s="19" t="n">
        <v>2</v>
      </c>
      <c r="I152" s="20" t="n">
        <v>1020</v>
      </c>
      <c r="J152" s="20" t="n">
        <f aca="false">H152*I152</f>
        <v>2040</v>
      </c>
      <c r="K152" s="20"/>
      <c r="L152" s="20" t="n">
        <f aca="false">IF(K152&lt;&gt;"",K152,I152)</f>
        <v>1020</v>
      </c>
      <c r="M152" s="20" t="n">
        <f aca="false">H152*L152</f>
        <v>2040</v>
      </c>
      <c r="N152" s="22" t="n">
        <f aca="false">M152-G152</f>
        <v>-2496</v>
      </c>
      <c r="O152" s="21" t="n">
        <f aca="false">IF(F152&gt;0,L152/F152-1,"")</f>
        <v>-0.55026455026455</v>
      </c>
      <c r="P152" s="18" t="s">
        <v>30</v>
      </c>
      <c r="Q152" s="18"/>
      <c r="R152" s="18"/>
    </row>
    <row r="153" customFormat="false" ht="26.85" hidden="false" customHeight="false" outlineLevel="0" collapsed="false">
      <c r="A153" s="17" t="s">
        <v>19</v>
      </c>
      <c r="B153" s="17" t="s">
        <v>442</v>
      </c>
      <c r="C153" s="18" t="s">
        <v>443</v>
      </c>
      <c r="D153" s="17" t="s">
        <v>153</v>
      </c>
      <c r="E153" s="19" t="n">
        <v>1</v>
      </c>
      <c r="F153" s="20" t="n">
        <v>2268</v>
      </c>
      <c r="G153" s="20" t="n">
        <f aca="false">E153*F153</f>
        <v>2268</v>
      </c>
      <c r="H153" s="19" t="n">
        <v>1</v>
      </c>
      <c r="I153" s="20" t="n">
        <v>1360</v>
      </c>
      <c r="J153" s="20" t="n">
        <f aca="false">H153*I153</f>
        <v>1360</v>
      </c>
      <c r="K153" s="20"/>
      <c r="L153" s="20" t="n">
        <f aca="false">IF(K153&lt;&gt;"",K153,I153)</f>
        <v>1360</v>
      </c>
      <c r="M153" s="20" t="n">
        <f aca="false">H153*L153</f>
        <v>1360</v>
      </c>
      <c r="N153" s="22" t="n">
        <f aca="false">M153-G153</f>
        <v>-908</v>
      </c>
      <c r="O153" s="21" t="n">
        <f aca="false">IF(F153&gt;0,L153/F153-1,"")</f>
        <v>-0.400352733686067</v>
      </c>
      <c r="P153" s="18" t="s">
        <v>30</v>
      </c>
      <c r="Q153" s="18"/>
      <c r="R153" s="18"/>
    </row>
    <row r="154" customFormat="false" ht="26.85" hidden="false" customHeight="false" outlineLevel="0" collapsed="false">
      <c r="A154" s="17" t="s">
        <v>19</v>
      </c>
      <c r="B154" s="17" t="s">
        <v>444</v>
      </c>
      <c r="C154" s="18" t="s">
        <v>445</v>
      </c>
      <c r="D154" s="17" t="s">
        <v>153</v>
      </c>
      <c r="E154" s="19" t="n">
        <v>9</v>
      </c>
      <c r="F154" s="20" t="n">
        <v>1020</v>
      </c>
      <c r="G154" s="20" t="n">
        <f aca="false">E154*F154</f>
        <v>9180</v>
      </c>
      <c r="H154" s="19" t="n">
        <v>9</v>
      </c>
      <c r="I154" s="20" t="n">
        <v>855</v>
      </c>
      <c r="J154" s="20" t="n">
        <f aca="false">H154*I154</f>
        <v>7695</v>
      </c>
      <c r="K154" s="20"/>
      <c r="L154" s="20" t="n">
        <f aca="false">IF(K154&lt;&gt;"",K154,I154)</f>
        <v>855</v>
      </c>
      <c r="M154" s="20" t="n">
        <f aca="false">H154*L154</f>
        <v>7695</v>
      </c>
      <c r="N154" s="22" t="n">
        <f aca="false">M154-G154</f>
        <v>-1485</v>
      </c>
      <c r="O154" s="21" t="n">
        <f aca="false">IF(F154&gt;0,L154/F154-1,"")</f>
        <v>-0.161764705882353</v>
      </c>
      <c r="P154" s="18" t="s">
        <v>30</v>
      </c>
      <c r="Q154" s="18" t="s">
        <v>212</v>
      </c>
      <c r="R154" s="18"/>
    </row>
    <row r="155" customFormat="false" ht="26.85" hidden="false" customHeight="false" outlineLevel="0" collapsed="false">
      <c r="A155" s="17" t="s">
        <v>19</v>
      </c>
      <c r="B155" s="17" t="s">
        <v>446</v>
      </c>
      <c r="C155" s="18" t="s">
        <v>447</v>
      </c>
      <c r="D155" s="17" t="s">
        <v>153</v>
      </c>
      <c r="E155" s="19" t="n">
        <v>3</v>
      </c>
      <c r="F155" s="20" t="n">
        <v>1296</v>
      </c>
      <c r="G155" s="20" t="n">
        <f aca="false">E155*F155</f>
        <v>3888</v>
      </c>
      <c r="H155" s="19" t="n">
        <v>3</v>
      </c>
      <c r="I155" s="20" t="n">
        <v>680</v>
      </c>
      <c r="J155" s="20" t="n">
        <f aca="false">H155*I155</f>
        <v>2040</v>
      </c>
      <c r="K155" s="20"/>
      <c r="L155" s="20" t="n">
        <f aca="false">IF(K155&lt;&gt;"",K155,I155)</f>
        <v>680</v>
      </c>
      <c r="M155" s="20" t="n">
        <f aca="false">H155*L155</f>
        <v>2040</v>
      </c>
      <c r="N155" s="22" t="n">
        <f aca="false">M155-G155</f>
        <v>-1848</v>
      </c>
      <c r="O155" s="21" t="n">
        <f aca="false">IF(F155&gt;0,L155/F155-1,"")</f>
        <v>-0.475308641975309</v>
      </c>
      <c r="P155" s="18" t="s">
        <v>30</v>
      </c>
      <c r="Q155" s="18"/>
      <c r="R155" s="18"/>
    </row>
    <row r="156" customFormat="false" ht="26.85" hidden="false" customHeight="false" outlineLevel="0" collapsed="false">
      <c r="A156" s="17" t="s">
        <v>19</v>
      </c>
      <c r="B156" s="17" t="s">
        <v>448</v>
      </c>
      <c r="C156" s="18" t="s">
        <v>449</v>
      </c>
      <c r="D156" s="17" t="s">
        <v>153</v>
      </c>
      <c r="E156" s="19" t="n">
        <v>4</v>
      </c>
      <c r="F156" s="20" t="n">
        <v>1944</v>
      </c>
      <c r="G156" s="20" t="n">
        <f aca="false">E156*F156</f>
        <v>7776</v>
      </c>
      <c r="H156" s="19" t="n">
        <v>4</v>
      </c>
      <c r="I156" s="20" t="n">
        <v>1700</v>
      </c>
      <c r="J156" s="20" t="n">
        <f aca="false">H156*I156</f>
        <v>6800</v>
      </c>
      <c r="K156" s="20"/>
      <c r="L156" s="20" t="n">
        <f aca="false">IF(K156&lt;&gt;"",K156,I156)</f>
        <v>1700</v>
      </c>
      <c r="M156" s="20" t="n">
        <f aca="false">H156*L156</f>
        <v>6800</v>
      </c>
      <c r="N156" s="22" t="n">
        <f aca="false">M156-G156</f>
        <v>-976</v>
      </c>
      <c r="O156" s="21" t="n">
        <f aca="false">IF(F156&gt;0,L156/F156-1,"")</f>
        <v>-0.125514403292181</v>
      </c>
      <c r="P156" s="18" t="s">
        <v>30</v>
      </c>
      <c r="Q156" s="18"/>
      <c r="R156" s="18"/>
    </row>
    <row r="157" customFormat="false" ht="26.85" hidden="false" customHeight="false" outlineLevel="0" collapsed="false">
      <c r="A157" s="29" t="s">
        <v>19</v>
      </c>
      <c r="B157" s="29" t="s">
        <v>450</v>
      </c>
      <c r="C157" s="30" t="s">
        <v>451</v>
      </c>
      <c r="D157" s="29" t="s">
        <v>153</v>
      </c>
      <c r="E157" s="31" t="n">
        <v>1</v>
      </c>
      <c r="F157" s="32" t="n">
        <v>1944</v>
      </c>
      <c r="G157" s="32" t="n">
        <f aca="false">E157*F157</f>
        <v>1944</v>
      </c>
      <c r="H157" s="31" t="n">
        <v>1</v>
      </c>
      <c r="I157" s="32" t="n">
        <v>2040</v>
      </c>
      <c r="J157" s="32" t="n">
        <f aca="false">H157*I157</f>
        <v>2040</v>
      </c>
      <c r="K157" s="32"/>
      <c r="L157" s="32" t="n">
        <f aca="false">IF(K157&lt;&gt;"",K157,I157)</f>
        <v>2040</v>
      </c>
      <c r="M157" s="32" t="n">
        <f aca="false">H157*L157</f>
        <v>2040</v>
      </c>
      <c r="N157" s="34" t="n">
        <f aca="false">M157-G157</f>
        <v>96</v>
      </c>
      <c r="O157" s="33" t="n">
        <f aca="false">IF(F157&gt;0,L157/F157-1,"")</f>
        <v>0.0493827160493827</v>
      </c>
      <c r="P157" s="30" t="s">
        <v>36</v>
      </c>
      <c r="Q157" s="30"/>
      <c r="R157" s="30"/>
    </row>
    <row r="158" customFormat="false" ht="26.85" hidden="false" customHeight="false" outlineLevel="0" collapsed="false">
      <c r="A158" s="17" t="s">
        <v>19</v>
      </c>
      <c r="B158" s="17" t="s">
        <v>452</v>
      </c>
      <c r="C158" s="18" t="s">
        <v>453</v>
      </c>
      <c r="D158" s="17" t="s">
        <v>153</v>
      </c>
      <c r="E158" s="19" t="n">
        <v>10</v>
      </c>
      <c r="F158" s="20" t="n">
        <v>1020</v>
      </c>
      <c r="G158" s="20" t="n">
        <f aca="false">E158*F158</f>
        <v>10200</v>
      </c>
      <c r="H158" s="19" t="n">
        <v>10</v>
      </c>
      <c r="I158" s="20" t="n">
        <v>855</v>
      </c>
      <c r="J158" s="20" t="n">
        <f aca="false">H158*I158</f>
        <v>8550</v>
      </c>
      <c r="K158" s="20"/>
      <c r="L158" s="20" t="n">
        <f aca="false">IF(K158&lt;&gt;"",K158,I158)</f>
        <v>855</v>
      </c>
      <c r="M158" s="20" t="n">
        <f aca="false">H158*L158</f>
        <v>8550</v>
      </c>
      <c r="N158" s="22" t="n">
        <f aca="false">M158-G158</f>
        <v>-1650</v>
      </c>
      <c r="O158" s="21" t="n">
        <f aca="false">IF(F158&gt;0,L158/F158-1,"")</f>
        <v>-0.161764705882353</v>
      </c>
      <c r="P158" s="18" t="s">
        <v>30</v>
      </c>
      <c r="Q158" s="18" t="s">
        <v>212</v>
      </c>
      <c r="R158" s="18"/>
    </row>
    <row r="159" customFormat="false" ht="26.85" hidden="false" customHeight="false" outlineLevel="0" collapsed="false">
      <c r="A159" s="17" t="s">
        <v>19</v>
      </c>
      <c r="B159" s="17" t="s">
        <v>454</v>
      </c>
      <c r="C159" s="18" t="s">
        <v>455</v>
      </c>
      <c r="D159" s="17" t="s">
        <v>153</v>
      </c>
      <c r="E159" s="19" t="n">
        <v>3</v>
      </c>
      <c r="F159" s="20" t="n">
        <v>1020</v>
      </c>
      <c r="G159" s="20" t="n">
        <f aca="false">E159*F159</f>
        <v>3060</v>
      </c>
      <c r="H159" s="19" t="n">
        <v>3</v>
      </c>
      <c r="I159" s="20" t="n">
        <v>855</v>
      </c>
      <c r="J159" s="20" t="n">
        <f aca="false">H159*I159</f>
        <v>2565</v>
      </c>
      <c r="K159" s="20"/>
      <c r="L159" s="20" t="n">
        <f aca="false">IF(K159&lt;&gt;"",K159,I159)</f>
        <v>855</v>
      </c>
      <c r="M159" s="20" t="n">
        <f aca="false">H159*L159</f>
        <v>2565</v>
      </c>
      <c r="N159" s="22" t="n">
        <f aca="false">M159-G159</f>
        <v>-495</v>
      </c>
      <c r="O159" s="21" t="n">
        <f aca="false">IF(F159&gt;0,L159/F159-1,"")</f>
        <v>-0.161764705882353</v>
      </c>
      <c r="P159" s="18" t="s">
        <v>30</v>
      </c>
      <c r="Q159" s="18" t="s">
        <v>212</v>
      </c>
      <c r="R159" s="18"/>
    </row>
    <row r="160" customFormat="false" ht="26.85" hidden="false" customHeight="false" outlineLevel="0" collapsed="false">
      <c r="A160" s="17" t="s">
        <v>19</v>
      </c>
      <c r="B160" s="17" t="s">
        <v>456</v>
      </c>
      <c r="C160" s="18" t="s">
        <v>457</v>
      </c>
      <c r="D160" s="17" t="s">
        <v>153</v>
      </c>
      <c r="E160" s="19" t="n">
        <v>10</v>
      </c>
      <c r="F160" s="20" t="n">
        <v>1020</v>
      </c>
      <c r="G160" s="20" t="n">
        <f aca="false">E160*F160</f>
        <v>10200</v>
      </c>
      <c r="H160" s="19" t="n">
        <v>10</v>
      </c>
      <c r="I160" s="20" t="n">
        <v>855</v>
      </c>
      <c r="J160" s="20" t="n">
        <f aca="false">H160*I160</f>
        <v>8550</v>
      </c>
      <c r="K160" s="20"/>
      <c r="L160" s="20" t="n">
        <f aca="false">IF(K160&lt;&gt;"",K160,I160)</f>
        <v>855</v>
      </c>
      <c r="M160" s="20" t="n">
        <f aca="false">H160*L160</f>
        <v>8550</v>
      </c>
      <c r="N160" s="22" t="n">
        <f aca="false">M160-G160</f>
        <v>-1650</v>
      </c>
      <c r="O160" s="21" t="n">
        <f aca="false">IF(F160&gt;0,L160/F160-1,"")</f>
        <v>-0.161764705882353</v>
      </c>
      <c r="P160" s="18" t="s">
        <v>30</v>
      </c>
      <c r="Q160" s="18" t="s">
        <v>212</v>
      </c>
      <c r="R160" s="18"/>
    </row>
    <row r="161" customFormat="false" ht="26.85" hidden="false" customHeight="false" outlineLevel="0" collapsed="false">
      <c r="A161" s="17" t="s">
        <v>19</v>
      </c>
      <c r="B161" s="17" t="s">
        <v>458</v>
      </c>
      <c r="C161" s="18" t="s">
        <v>459</v>
      </c>
      <c r="D161" s="17" t="s">
        <v>153</v>
      </c>
      <c r="E161" s="19" t="n">
        <v>6</v>
      </c>
      <c r="F161" s="20" t="n">
        <v>1020</v>
      </c>
      <c r="G161" s="20" t="n">
        <f aca="false">E161*F161</f>
        <v>6120</v>
      </c>
      <c r="H161" s="19" t="n">
        <v>6</v>
      </c>
      <c r="I161" s="20" t="n">
        <v>855</v>
      </c>
      <c r="J161" s="20" t="n">
        <f aca="false">H161*I161</f>
        <v>5130</v>
      </c>
      <c r="K161" s="20"/>
      <c r="L161" s="20" t="n">
        <f aca="false">IF(K161&lt;&gt;"",K161,I161)</f>
        <v>855</v>
      </c>
      <c r="M161" s="20" t="n">
        <f aca="false">H161*L161</f>
        <v>5130</v>
      </c>
      <c r="N161" s="22" t="n">
        <f aca="false">M161-G161</f>
        <v>-990</v>
      </c>
      <c r="O161" s="21" t="n">
        <f aca="false">IF(F161&gt;0,L161/F161-1,"")</f>
        <v>-0.161764705882353</v>
      </c>
      <c r="P161" s="18" t="s">
        <v>30</v>
      </c>
      <c r="Q161" s="18" t="s">
        <v>212</v>
      </c>
      <c r="R161" s="18"/>
    </row>
    <row r="162" customFormat="false" ht="26.85" hidden="false" customHeight="false" outlineLevel="0" collapsed="false">
      <c r="A162" s="17" t="s">
        <v>19</v>
      </c>
      <c r="B162" s="17" t="s">
        <v>460</v>
      </c>
      <c r="C162" s="18" t="s">
        <v>461</v>
      </c>
      <c r="D162" s="17" t="s">
        <v>153</v>
      </c>
      <c r="E162" s="19" t="n">
        <v>1</v>
      </c>
      <c r="F162" s="20" t="n">
        <v>1296</v>
      </c>
      <c r="G162" s="20" t="n">
        <f aca="false">E162*F162</f>
        <v>1296</v>
      </c>
      <c r="H162" s="19" t="n">
        <v>1</v>
      </c>
      <c r="I162" s="20" t="n">
        <v>850</v>
      </c>
      <c r="J162" s="20" t="n">
        <f aca="false">H162*I162</f>
        <v>850</v>
      </c>
      <c r="K162" s="20"/>
      <c r="L162" s="20" t="n">
        <f aca="false">IF(K162&lt;&gt;"",K162,I162)</f>
        <v>850</v>
      </c>
      <c r="M162" s="20" t="n">
        <f aca="false">H162*L162</f>
        <v>850</v>
      </c>
      <c r="N162" s="22" t="n">
        <f aca="false">M162-G162</f>
        <v>-446</v>
      </c>
      <c r="O162" s="21" t="n">
        <f aca="false">IF(F162&gt;0,L162/F162-1,"")</f>
        <v>-0.344135802469136</v>
      </c>
      <c r="P162" s="18" t="s">
        <v>30</v>
      </c>
      <c r="Q162" s="18"/>
      <c r="R162" s="18"/>
    </row>
    <row r="163" customFormat="false" ht="26.85" hidden="false" customHeight="false" outlineLevel="0" collapsed="false">
      <c r="A163" s="17" t="s">
        <v>19</v>
      </c>
      <c r="B163" s="17" t="s">
        <v>462</v>
      </c>
      <c r="C163" s="18" t="s">
        <v>463</v>
      </c>
      <c r="D163" s="17" t="s">
        <v>153</v>
      </c>
      <c r="E163" s="19" t="n">
        <v>1</v>
      </c>
      <c r="F163" s="20" t="n">
        <v>2268</v>
      </c>
      <c r="G163" s="20" t="n">
        <f aca="false">E163*F163</f>
        <v>2268</v>
      </c>
      <c r="H163" s="19" t="n">
        <v>1</v>
      </c>
      <c r="I163" s="20" t="n">
        <v>1190</v>
      </c>
      <c r="J163" s="20" t="n">
        <f aca="false">H163*I163</f>
        <v>1190</v>
      </c>
      <c r="K163" s="20"/>
      <c r="L163" s="20" t="n">
        <f aca="false">IF(K163&lt;&gt;"",K163,I163)</f>
        <v>1190</v>
      </c>
      <c r="M163" s="20" t="n">
        <f aca="false">H163*L163</f>
        <v>1190</v>
      </c>
      <c r="N163" s="22" t="n">
        <f aca="false">M163-G163</f>
        <v>-1078</v>
      </c>
      <c r="O163" s="21" t="n">
        <f aca="false">IF(F163&gt;0,L163/F163-1,"")</f>
        <v>-0.475308641975309</v>
      </c>
      <c r="P163" s="18" t="s">
        <v>30</v>
      </c>
      <c r="Q163" s="18"/>
      <c r="R163" s="18"/>
    </row>
    <row r="164" customFormat="false" ht="26.85" hidden="false" customHeight="false" outlineLevel="0" collapsed="false">
      <c r="A164" s="17" t="s">
        <v>19</v>
      </c>
      <c r="B164" s="17" t="s">
        <v>464</v>
      </c>
      <c r="C164" s="18" t="s">
        <v>465</v>
      </c>
      <c r="D164" s="17" t="s">
        <v>153</v>
      </c>
      <c r="E164" s="19" t="n">
        <v>1</v>
      </c>
      <c r="F164" s="20" t="n">
        <v>2268</v>
      </c>
      <c r="G164" s="20" t="n">
        <f aca="false">E164*F164</f>
        <v>2268</v>
      </c>
      <c r="H164" s="19" t="n">
        <v>1</v>
      </c>
      <c r="I164" s="20" t="n">
        <v>1700</v>
      </c>
      <c r="J164" s="20" t="n">
        <f aca="false">H164*I164</f>
        <v>1700</v>
      </c>
      <c r="K164" s="20"/>
      <c r="L164" s="20" t="n">
        <f aca="false">IF(K164&lt;&gt;"",K164,I164)</f>
        <v>1700</v>
      </c>
      <c r="M164" s="20" t="n">
        <f aca="false">H164*L164</f>
        <v>1700</v>
      </c>
      <c r="N164" s="22" t="n">
        <f aca="false">M164-G164</f>
        <v>-568</v>
      </c>
      <c r="O164" s="21" t="n">
        <f aca="false">IF(F164&gt;0,L164/F164-1,"")</f>
        <v>-0.250440917107584</v>
      </c>
      <c r="P164" s="18" t="s">
        <v>30</v>
      </c>
      <c r="Q164" s="18"/>
      <c r="R164" s="18"/>
    </row>
    <row r="165" customFormat="false" ht="26.85" hidden="false" customHeight="false" outlineLevel="0" collapsed="false">
      <c r="A165" s="17" t="s">
        <v>19</v>
      </c>
      <c r="B165" s="17" t="s">
        <v>466</v>
      </c>
      <c r="C165" s="18" t="s">
        <v>467</v>
      </c>
      <c r="D165" s="17" t="s">
        <v>153</v>
      </c>
      <c r="E165" s="19" t="n">
        <v>3</v>
      </c>
      <c r="F165" s="20" t="n">
        <v>2268</v>
      </c>
      <c r="G165" s="20" t="n">
        <f aca="false">E165*F165</f>
        <v>6804</v>
      </c>
      <c r="H165" s="19" t="n">
        <v>3</v>
      </c>
      <c r="I165" s="20" t="n">
        <v>1870</v>
      </c>
      <c r="J165" s="20" t="n">
        <f aca="false">H165*I165</f>
        <v>5610</v>
      </c>
      <c r="K165" s="20"/>
      <c r="L165" s="20" t="n">
        <f aca="false">IF(K165&lt;&gt;"",K165,I165)</f>
        <v>1870</v>
      </c>
      <c r="M165" s="20" t="n">
        <f aca="false">H165*L165</f>
        <v>5610</v>
      </c>
      <c r="N165" s="22" t="n">
        <f aca="false">M165-G165</f>
        <v>-1194</v>
      </c>
      <c r="O165" s="21" t="n">
        <f aca="false">IF(F165&gt;0,L165/F165-1,"")</f>
        <v>-0.175485008818342</v>
      </c>
      <c r="P165" s="18" t="s">
        <v>30</v>
      </c>
      <c r="Q165" s="18"/>
      <c r="R165" s="18"/>
    </row>
    <row r="166" customFormat="false" ht="26.85" hidden="false" customHeight="false" outlineLevel="0" collapsed="false">
      <c r="A166" s="17" t="s">
        <v>19</v>
      </c>
      <c r="B166" s="17" t="s">
        <v>468</v>
      </c>
      <c r="C166" s="18" t="s">
        <v>469</v>
      </c>
      <c r="D166" s="17" t="s">
        <v>153</v>
      </c>
      <c r="E166" s="19" t="n">
        <v>1</v>
      </c>
      <c r="F166" s="20" t="n">
        <v>2268</v>
      </c>
      <c r="G166" s="20" t="n">
        <f aca="false">E166*F166</f>
        <v>2268</v>
      </c>
      <c r="H166" s="19" t="n">
        <v>1</v>
      </c>
      <c r="I166" s="20" t="n">
        <v>2040</v>
      </c>
      <c r="J166" s="20" t="n">
        <f aca="false">H166*I166</f>
        <v>2040</v>
      </c>
      <c r="K166" s="20"/>
      <c r="L166" s="20" t="n">
        <f aca="false">IF(K166&lt;&gt;"",K166,I166)</f>
        <v>2040</v>
      </c>
      <c r="M166" s="20" t="n">
        <f aca="false">H166*L166</f>
        <v>2040</v>
      </c>
      <c r="N166" s="22" t="n">
        <f aca="false">M166-G166</f>
        <v>-228</v>
      </c>
      <c r="O166" s="21" t="n">
        <f aca="false">IF(F166&gt;0,L166/F166-1,"")</f>
        <v>-0.100529100529101</v>
      </c>
      <c r="P166" s="18" t="s">
        <v>30</v>
      </c>
      <c r="Q166" s="18"/>
      <c r="R166" s="18"/>
    </row>
    <row r="167" customFormat="false" ht="26.85" hidden="false" customHeight="false" outlineLevel="0" collapsed="false">
      <c r="A167" s="17" t="s">
        <v>19</v>
      </c>
      <c r="B167" s="17" t="s">
        <v>470</v>
      </c>
      <c r="C167" s="18" t="s">
        <v>471</v>
      </c>
      <c r="D167" s="17" t="s">
        <v>153</v>
      </c>
      <c r="E167" s="19" t="n">
        <v>1</v>
      </c>
      <c r="F167" s="20" t="n">
        <v>2268</v>
      </c>
      <c r="G167" s="20" t="n">
        <f aca="false">E167*F167</f>
        <v>2268</v>
      </c>
      <c r="H167" s="19" t="n">
        <v>1</v>
      </c>
      <c r="I167" s="20" t="n">
        <v>2210</v>
      </c>
      <c r="J167" s="20" t="n">
        <f aca="false">H167*I167</f>
        <v>2210</v>
      </c>
      <c r="K167" s="20"/>
      <c r="L167" s="20" t="n">
        <f aca="false">IF(K167&lt;&gt;"",K167,I167)</f>
        <v>2210</v>
      </c>
      <c r="M167" s="20" t="n">
        <f aca="false">H167*L167</f>
        <v>2210</v>
      </c>
      <c r="N167" s="22" t="n">
        <f aca="false">M167-G167</f>
        <v>-58</v>
      </c>
      <c r="O167" s="21" t="n">
        <f aca="false">IF(F167&gt;0,L167/F167-1,"")</f>
        <v>-0.0255731922398589</v>
      </c>
      <c r="P167" s="18" t="s">
        <v>30</v>
      </c>
      <c r="Q167" s="18"/>
      <c r="R167" s="18"/>
    </row>
    <row r="168" customFormat="false" ht="26.85" hidden="false" customHeight="false" outlineLevel="0" collapsed="false">
      <c r="A168" s="29" t="s">
        <v>19</v>
      </c>
      <c r="B168" s="29" t="s">
        <v>472</v>
      </c>
      <c r="C168" s="30" t="s">
        <v>473</v>
      </c>
      <c r="D168" s="29" t="s">
        <v>153</v>
      </c>
      <c r="E168" s="31" t="n">
        <v>4</v>
      </c>
      <c r="F168" s="32" t="n">
        <v>2592</v>
      </c>
      <c r="G168" s="32" t="n">
        <f aca="false">E168*F168</f>
        <v>10368</v>
      </c>
      <c r="H168" s="31" t="n">
        <v>4</v>
      </c>
      <c r="I168" s="32" t="n">
        <v>2720</v>
      </c>
      <c r="J168" s="32" t="n">
        <f aca="false">H168*I168</f>
        <v>10880</v>
      </c>
      <c r="K168" s="32"/>
      <c r="L168" s="32" t="n">
        <f aca="false">IF(K168&lt;&gt;"",K168,I168)</f>
        <v>2720</v>
      </c>
      <c r="M168" s="32" t="n">
        <f aca="false">H168*L168</f>
        <v>10880</v>
      </c>
      <c r="N168" s="34" t="n">
        <f aca="false">M168-G168</f>
        <v>512</v>
      </c>
      <c r="O168" s="33" t="n">
        <f aca="false">IF(F168&gt;0,L168/F168-1,"")</f>
        <v>0.0493827160493827</v>
      </c>
      <c r="P168" s="30" t="s">
        <v>36</v>
      </c>
      <c r="Q168" s="30"/>
      <c r="R168" s="30"/>
    </row>
    <row r="169" customFormat="false" ht="26.85" hidden="false" customHeight="false" outlineLevel="0" collapsed="false">
      <c r="A169" s="17" t="s">
        <v>19</v>
      </c>
      <c r="B169" s="17" t="s">
        <v>474</v>
      </c>
      <c r="C169" s="18" t="s">
        <v>475</v>
      </c>
      <c r="D169" s="17" t="s">
        <v>153</v>
      </c>
      <c r="E169" s="19" t="n">
        <v>2</v>
      </c>
      <c r="F169" s="20" t="n">
        <v>1020</v>
      </c>
      <c r="G169" s="20" t="n">
        <f aca="false">E169*F169</f>
        <v>2040</v>
      </c>
      <c r="H169" s="19" t="n">
        <v>2</v>
      </c>
      <c r="I169" s="20" t="n">
        <v>370</v>
      </c>
      <c r="J169" s="20" t="n">
        <f aca="false">H169*I169</f>
        <v>740</v>
      </c>
      <c r="K169" s="20"/>
      <c r="L169" s="20" t="n">
        <f aca="false">IF(K169&lt;&gt;"",K169,I169)</f>
        <v>370</v>
      </c>
      <c r="M169" s="20" t="n">
        <f aca="false">H169*L169</f>
        <v>740</v>
      </c>
      <c r="N169" s="22" t="n">
        <f aca="false">M169-G169</f>
        <v>-1300</v>
      </c>
      <c r="O169" s="21" t="n">
        <f aca="false">IF(F169&gt;0,L169/F169-1,"")</f>
        <v>-0.637254901960784</v>
      </c>
      <c r="P169" s="18" t="s">
        <v>30</v>
      </c>
      <c r="Q169" s="18"/>
      <c r="R169" s="18"/>
    </row>
    <row r="170" customFormat="false" ht="26.85" hidden="false" customHeight="false" outlineLevel="0" collapsed="false">
      <c r="A170" s="17" t="s">
        <v>19</v>
      </c>
      <c r="B170" s="17" t="s">
        <v>476</v>
      </c>
      <c r="C170" s="18" t="s">
        <v>477</v>
      </c>
      <c r="D170" s="17" t="s">
        <v>153</v>
      </c>
      <c r="E170" s="19" t="n">
        <v>14</v>
      </c>
      <c r="F170" s="20" t="n">
        <v>1020</v>
      </c>
      <c r="G170" s="20" t="n">
        <f aca="false">E170*F170</f>
        <v>14280</v>
      </c>
      <c r="H170" s="19" t="n">
        <v>14</v>
      </c>
      <c r="I170" s="20" t="n">
        <v>370</v>
      </c>
      <c r="J170" s="20" t="n">
        <f aca="false">H170*I170</f>
        <v>5180</v>
      </c>
      <c r="K170" s="20"/>
      <c r="L170" s="20" t="n">
        <f aca="false">IF(K170&lt;&gt;"",K170,I170)</f>
        <v>370</v>
      </c>
      <c r="M170" s="20" t="n">
        <f aca="false">H170*L170</f>
        <v>5180</v>
      </c>
      <c r="N170" s="22" t="n">
        <f aca="false">M170-G170</f>
        <v>-9100</v>
      </c>
      <c r="O170" s="21" t="n">
        <f aca="false">IF(F170&gt;0,L170/F170-1,"")</f>
        <v>-0.637254901960784</v>
      </c>
      <c r="P170" s="18" t="s">
        <v>30</v>
      </c>
      <c r="Q170" s="18"/>
      <c r="R170" s="18"/>
    </row>
    <row r="171" customFormat="false" ht="26.85" hidden="false" customHeight="false" outlineLevel="0" collapsed="false">
      <c r="A171" s="17" t="s">
        <v>19</v>
      </c>
      <c r="B171" s="17" t="s">
        <v>478</v>
      </c>
      <c r="C171" s="18" t="s">
        <v>479</v>
      </c>
      <c r="D171" s="17" t="s">
        <v>153</v>
      </c>
      <c r="E171" s="19" t="n">
        <v>12</v>
      </c>
      <c r="F171" s="20" t="n">
        <v>1020</v>
      </c>
      <c r="G171" s="20" t="n">
        <f aca="false">E171*F171</f>
        <v>12240</v>
      </c>
      <c r="H171" s="19" t="n">
        <v>12</v>
      </c>
      <c r="I171" s="20" t="n">
        <v>370</v>
      </c>
      <c r="J171" s="20" t="n">
        <f aca="false">H171*I171</f>
        <v>4440</v>
      </c>
      <c r="K171" s="20"/>
      <c r="L171" s="20" t="n">
        <f aca="false">IF(K171&lt;&gt;"",K171,I171)</f>
        <v>370</v>
      </c>
      <c r="M171" s="20" t="n">
        <f aca="false">H171*L171</f>
        <v>4440</v>
      </c>
      <c r="N171" s="22" t="n">
        <f aca="false">M171-G171</f>
        <v>-7800</v>
      </c>
      <c r="O171" s="21" t="n">
        <f aca="false">IF(F171&gt;0,L171/F171-1,"")</f>
        <v>-0.637254901960784</v>
      </c>
      <c r="P171" s="18" t="s">
        <v>30</v>
      </c>
      <c r="Q171" s="18"/>
      <c r="R171" s="18"/>
    </row>
    <row r="172" customFormat="false" ht="26.85" hidden="false" customHeight="false" outlineLevel="0" collapsed="false">
      <c r="A172" s="17" t="s">
        <v>19</v>
      </c>
      <c r="B172" s="17" t="s">
        <v>480</v>
      </c>
      <c r="C172" s="18" t="s">
        <v>481</v>
      </c>
      <c r="D172" s="17" t="s">
        <v>153</v>
      </c>
      <c r="E172" s="19" t="n">
        <v>1</v>
      </c>
      <c r="F172" s="20" t="n">
        <v>1020</v>
      </c>
      <c r="G172" s="20" t="n">
        <f aca="false">E172*F172</f>
        <v>1020</v>
      </c>
      <c r="H172" s="19" t="n">
        <v>1</v>
      </c>
      <c r="I172" s="20" t="n">
        <v>370</v>
      </c>
      <c r="J172" s="20" t="n">
        <f aca="false">H172*I172</f>
        <v>370</v>
      </c>
      <c r="K172" s="20"/>
      <c r="L172" s="20" t="n">
        <f aca="false">IF(K172&lt;&gt;"",K172,I172)</f>
        <v>370</v>
      </c>
      <c r="M172" s="20" t="n">
        <f aca="false">H172*L172</f>
        <v>370</v>
      </c>
      <c r="N172" s="22" t="n">
        <f aca="false">M172-G172</f>
        <v>-650</v>
      </c>
      <c r="O172" s="21" t="n">
        <f aca="false">IF(F172&gt;0,L172/F172-1,"")</f>
        <v>-0.637254901960784</v>
      </c>
      <c r="P172" s="18" t="s">
        <v>30</v>
      </c>
      <c r="Q172" s="18"/>
      <c r="R172" s="18"/>
    </row>
    <row r="173" customFormat="false" ht="26.85" hidden="false" customHeight="false" outlineLevel="0" collapsed="false">
      <c r="A173" s="17" t="s">
        <v>19</v>
      </c>
      <c r="B173" s="17" t="s">
        <v>482</v>
      </c>
      <c r="C173" s="18" t="s">
        <v>483</v>
      </c>
      <c r="D173" s="17" t="s">
        <v>153</v>
      </c>
      <c r="E173" s="19" t="n">
        <v>1</v>
      </c>
      <c r="F173" s="20" t="n">
        <v>1020</v>
      </c>
      <c r="G173" s="20" t="n">
        <f aca="false">E173*F173</f>
        <v>1020</v>
      </c>
      <c r="H173" s="19" t="n">
        <v>1</v>
      </c>
      <c r="I173" s="20" t="n">
        <v>370</v>
      </c>
      <c r="J173" s="20" t="n">
        <f aca="false">H173*I173</f>
        <v>370</v>
      </c>
      <c r="K173" s="20"/>
      <c r="L173" s="20" t="n">
        <f aca="false">IF(K173&lt;&gt;"",K173,I173)</f>
        <v>370</v>
      </c>
      <c r="M173" s="20" t="n">
        <f aca="false">H173*L173</f>
        <v>370</v>
      </c>
      <c r="N173" s="22" t="n">
        <f aca="false">M173-G173</f>
        <v>-650</v>
      </c>
      <c r="O173" s="21" t="n">
        <f aca="false">IF(F173&gt;0,L173/F173-1,"")</f>
        <v>-0.637254901960784</v>
      </c>
      <c r="P173" s="18" t="s">
        <v>30</v>
      </c>
      <c r="Q173" s="18"/>
      <c r="R173" s="18"/>
    </row>
    <row r="174" customFormat="false" ht="26.85" hidden="false" customHeight="false" outlineLevel="0" collapsed="false">
      <c r="A174" s="17" t="s">
        <v>19</v>
      </c>
      <c r="B174" s="17" t="s">
        <v>484</v>
      </c>
      <c r="C174" s="18" t="s">
        <v>485</v>
      </c>
      <c r="D174" s="17" t="s">
        <v>153</v>
      </c>
      <c r="E174" s="19" t="n">
        <v>3</v>
      </c>
      <c r="F174" s="20" t="n">
        <v>1020</v>
      </c>
      <c r="G174" s="20" t="n">
        <f aca="false">E174*F174</f>
        <v>3060</v>
      </c>
      <c r="H174" s="19" t="n">
        <v>3</v>
      </c>
      <c r="I174" s="20" t="n">
        <v>370</v>
      </c>
      <c r="J174" s="20" t="n">
        <f aca="false">H174*I174</f>
        <v>1110</v>
      </c>
      <c r="K174" s="20"/>
      <c r="L174" s="20" t="n">
        <f aca="false">IF(K174&lt;&gt;"",K174,I174)</f>
        <v>370</v>
      </c>
      <c r="M174" s="20" t="n">
        <f aca="false">H174*L174</f>
        <v>1110</v>
      </c>
      <c r="N174" s="22" t="n">
        <f aca="false">M174-G174</f>
        <v>-1950</v>
      </c>
      <c r="O174" s="21" t="n">
        <f aca="false">IF(F174&gt;0,L174/F174-1,"")</f>
        <v>-0.637254901960784</v>
      </c>
      <c r="P174" s="18" t="s">
        <v>30</v>
      </c>
      <c r="Q174" s="18"/>
      <c r="R174" s="18"/>
    </row>
    <row r="175" customFormat="false" ht="26.85" hidden="false" customHeight="false" outlineLevel="0" collapsed="false">
      <c r="A175" s="17" t="s">
        <v>19</v>
      </c>
      <c r="B175" s="17" t="s">
        <v>486</v>
      </c>
      <c r="C175" s="18" t="s">
        <v>487</v>
      </c>
      <c r="D175" s="17" t="s">
        <v>153</v>
      </c>
      <c r="E175" s="19" t="n">
        <v>1</v>
      </c>
      <c r="F175" s="20" t="n">
        <v>1020</v>
      </c>
      <c r="G175" s="20" t="n">
        <f aca="false">E175*F175</f>
        <v>1020</v>
      </c>
      <c r="H175" s="19" t="n">
        <v>1</v>
      </c>
      <c r="I175" s="20" t="n">
        <v>370</v>
      </c>
      <c r="J175" s="20" t="n">
        <f aca="false">H175*I175</f>
        <v>370</v>
      </c>
      <c r="K175" s="20"/>
      <c r="L175" s="20" t="n">
        <f aca="false">IF(K175&lt;&gt;"",K175,I175)</f>
        <v>370</v>
      </c>
      <c r="M175" s="20" t="n">
        <f aca="false">H175*L175</f>
        <v>370</v>
      </c>
      <c r="N175" s="22" t="n">
        <f aca="false">M175-G175</f>
        <v>-650</v>
      </c>
      <c r="O175" s="21" t="n">
        <f aca="false">IF(F175&gt;0,L175/F175-1,"")</f>
        <v>-0.637254901960784</v>
      </c>
      <c r="P175" s="18" t="s">
        <v>30</v>
      </c>
      <c r="Q175" s="18"/>
      <c r="R175" s="18"/>
    </row>
    <row r="176" customFormat="false" ht="26.85" hidden="false" customHeight="false" outlineLevel="0" collapsed="false">
      <c r="A176" s="17" t="s">
        <v>19</v>
      </c>
      <c r="B176" s="17" t="s">
        <v>488</v>
      </c>
      <c r="C176" s="18" t="s">
        <v>489</v>
      </c>
      <c r="D176" s="17" t="s">
        <v>153</v>
      </c>
      <c r="E176" s="19" t="n">
        <v>2</v>
      </c>
      <c r="F176" s="20" t="n">
        <v>1020</v>
      </c>
      <c r="G176" s="20" t="n">
        <f aca="false">E176*F176</f>
        <v>2040</v>
      </c>
      <c r="H176" s="19" t="n">
        <v>2</v>
      </c>
      <c r="I176" s="20" t="n">
        <v>370</v>
      </c>
      <c r="J176" s="20" t="n">
        <f aca="false">H176*I176</f>
        <v>740</v>
      </c>
      <c r="K176" s="20"/>
      <c r="L176" s="20" t="n">
        <f aca="false">IF(K176&lt;&gt;"",K176,I176)</f>
        <v>370</v>
      </c>
      <c r="M176" s="20" t="n">
        <f aca="false">H176*L176</f>
        <v>740</v>
      </c>
      <c r="N176" s="22" t="n">
        <f aca="false">M176-G176</f>
        <v>-1300</v>
      </c>
      <c r="O176" s="21" t="n">
        <f aca="false">IF(F176&gt;0,L176/F176-1,"")</f>
        <v>-0.637254901960784</v>
      </c>
      <c r="P176" s="18" t="s">
        <v>30</v>
      </c>
      <c r="Q176" s="18"/>
      <c r="R176" s="18"/>
    </row>
    <row r="177" customFormat="false" ht="26.85" hidden="false" customHeight="false" outlineLevel="0" collapsed="false">
      <c r="A177" s="17" t="s">
        <v>19</v>
      </c>
      <c r="B177" s="17" t="s">
        <v>490</v>
      </c>
      <c r="C177" s="18" t="s">
        <v>491</v>
      </c>
      <c r="D177" s="17" t="s">
        <v>153</v>
      </c>
      <c r="E177" s="19" t="n">
        <v>1</v>
      </c>
      <c r="F177" s="20" t="n">
        <v>1020</v>
      </c>
      <c r="G177" s="20" t="n">
        <f aca="false">E177*F177</f>
        <v>1020</v>
      </c>
      <c r="H177" s="19" t="n">
        <v>1</v>
      </c>
      <c r="I177" s="20" t="n">
        <v>370</v>
      </c>
      <c r="J177" s="20" t="n">
        <f aca="false">H177*I177</f>
        <v>370</v>
      </c>
      <c r="K177" s="20"/>
      <c r="L177" s="20" t="n">
        <f aca="false">IF(K177&lt;&gt;"",K177,I177)</f>
        <v>370</v>
      </c>
      <c r="M177" s="20" t="n">
        <f aca="false">H177*L177</f>
        <v>370</v>
      </c>
      <c r="N177" s="22" t="n">
        <f aca="false">M177-G177</f>
        <v>-650</v>
      </c>
      <c r="O177" s="21" t="n">
        <f aca="false">IF(F177&gt;0,L177/F177-1,"")</f>
        <v>-0.637254901960784</v>
      </c>
      <c r="P177" s="18" t="s">
        <v>30</v>
      </c>
      <c r="Q177" s="18"/>
      <c r="R177" s="18"/>
    </row>
    <row r="178" customFormat="false" ht="26.85" hidden="false" customHeight="false" outlineLevel="0" collapsed="false">
      <c r="A178" s="17" t="s">
        <v>19</v>
      </c>
      <c r="B178" s="17" t="s">
        <v>492</v>
      </c>
      <c r="C178" s="18" t="s">
        <v>493</v>
      </c>
      <c r="D178" s="17" t="s">
        <v>153</v>
      </c>
      <c r="E178" s="19" t="n">
        <v>1</v>
      </c>
      <c r="F178" s="20" t="n">
        <v>1020</v>
      </c>
      <c r="G178" s="20" t="n">
        <f aca="false">E178*F178</f>
        <v>1020</v>
      </c>
      <c r="H178" s="19" t="n">
        <v>1</v>
      </c>
      <c r="I178" s="20" t="n">
        <v>440</v>
      </c>
      <c r="J178" s="20" t="n">
        <f aca="false">H178*I178</f>
        <v>440</v>
      </c>
      <c r="K178" s="20"/>
      <c r="L178" s="20" t="n">
        <f aca="false">IF(K178&lt;&gt;"",K178,I178)</f>
        <v>440</v>
      </c>
      <c r="M178" s="20" t="n">
        <f aca="false">H178*L178</f>
        <v>440</v>
      </c>
      <c r="N178" s="22" t="n">
        <f aca="false">M178-G178</f>
        <v>-580</v>
      </c>
      <c r="O178" s="21" t="n">
        <f aca="false">IF(F178&gt;0,L178/F178-1,"")</f>
        <v>-0.568627450980392</v>
      </c>
      <c r="P178" s="18" t="s">
        <v>30</v>
      </c>
      <c r="Q178" s="18"/>
      <c r="R178" s="18"/>
    </row>
    <row r="179" customFormat="false" ht="26.85" hidden="false" customHeight="false" outlineLevel="0" collapsed="false">
      <c r="A179" s="17" t="s">
        <v>19</v>
      </c>
      <c r="B179" s="17" t="s">
        <v>494</v>
      </c>
      <c r="C179" s="18" t="s">
        <v>495</v>
      </c>
      <c r="D179" s="17" t="s">
        <v>153</v>
      </c>
      <c r="E179" s="19" t="n">
        <v>1</v>
      </c>
      <c r="F179" s="20" t="n">
        <v>1020</v>
      </c>
      <c r="G179" s="20" t="n">
        <f aca="false">E179*F179</f>
        <v>1020</v>
      </c>
      <c r="H179" s="19" t="n">
        <v>1</v>
      </c>
      <c r="I179" s="20" t="n">
        <v>440</v>
      </c>
      <c r="J179" s="20" t="n">
        <f aca="false">H179*I179</f>
        <v>440</v>
      </c>
      <c r="K179" s="20"/>
      <c r="L179" s="20" t="n">
        <f aca="false">IF(K179&lt;&gt;"",K179,I179)</f>
        <v>440</v>
      </c>
      <c r="M179" s="20" t="n">
        <f aca="false">H179*L179</f>
        <v>440</v>
      </c>
      <c r="N179" s="22" t="n">
        <f aca="false">M179-G179</f>
        <v>-580</v>
      </c>
      <c r="O179" s="21" t="n">
        <f aca="false">IF(F179&gt;0,L179/F179-1,"")</f>
        <v>-0.568627450980392</v>
      </c>
      <c r="P179" s="18" t="s">
        <v>30</v>
      </c>
      <c r="Q179" s="18"/>
      <c r="R179" s="18"/>
    </row>
    <row r="180" customFormat="false" ht="26.85" hidden="false" customHeight="false" outlineLevel="0" collapsed="false">
      <c r="A180" s="17" t="s">
        <v>19</v>
      </c>
      <c r="B180" s="17" t="s">
        <v>496</v>
      </c>
      <c r="C180" s="18" t="s">
        <v>497</v>
      </c>
      <c r="D180" s="17" t="s">
        <v>153</v>
      </c>
      <c r="E180" s="19" t="n">
        <v>1</v>
      </c>
      <c r="F180" s="20" t="n">
        <v>1296</v>
      </c>
      <c r="G180" s="20" t="n">
        <f aca="false">E180*F180</f>
        <v>1296</v>
      </c>
      <c r="H180" s="19" t="n">
        <v>1</v>
      </c>
      <c r="I180" s="20" t="n">
        <v>680</v>
      </c>
      <c r="J180" s="20" t="n">
        <f aca="false">H180*I180</f>
        <v>680</v>
      </c>
      <c r="K180" s="20"/>
      <c r="L180" s="20" t="n">
        <f aca="false">IF(K180&lt;&gt;"",K180,I180)</f>
        <v>680</v>
      </c>
      <c r="M180" s="20" t="n">
        <f aca="false">H180*L180</f>
        <v>680</v>
      </c>
      <c r="N180" s="22" t="n">
        <f aca="false">M180-G180</f>
        <v>-616</v>
      </c>
      <c r="O180" s="21" t="n">
        <f aca="false">IF(F180&gt;0,L180/F180-1,"")</f>
        <v>-0.475308641975309</v>
      </c>
      <c r="P180" s="18" t="s">
        <v>30</v>
      </c>
      <c r="Q180" s="18"/>
      <c r="R180" s="18"/>
    </row>
    <row r="181" customFormat="false" ht="26.85" hidden="false" customHeight="false" outlineLevel="0" collapsed="false">
      <c r="A181" s="17" t="s">
        <v>19</v>
      </c>
      <c r="B181" s="17" t="s">
        <v>498</v>
      </c>
      <c r="C181" s="18" t="s">
        <v>499</v>
      </c>
      <c r="D181" s="17" t="s">
        <v>153</v>
      </c>
      <c r="E181" s="19" t="n">
        <v>1</v>
      </c>
      <c r="F181" s="20" t="n">
        <v>1620</v>
      </c>
      <c r="G181" s="20" t="n">
        <f aca="false">E181*F181</f>
        <v>1620</v>
      </c>
      <c r="H181" s="19" t="n">
        <v>1</v>
      </c>
      <c r="I181" s="20" t="n">
        <v>680</v>
      </c>
      <c r="J181" s="20" t="n">
        <f aca="false">H181*I181</f>
        <v>680</v>
      </c>
      <c r="K181" s="20"/>
      <c r="L181" s="20" t="n">
        <f aca="false">IF(K181&lt;&gt;"",K181,I181)</f>
        <v>680</v>
      </c>
      <c r="M181" s="20" t="n">
        <f aca="false">H181*L181</f>
        <v>680</v>
      </c>
      <c r="N181" s="22" t="n">
        <f aca="false">M181-G181</f>
        <v>-940</v>
      </c>
      <c r="O181" s="21" t="n">
        <f aca="false">IF(F181&gt;0,L181/F181-1,"")</f>
        <v>-0.580246913580247</v>
      </c>
      <c r="P181" s="18" t="s">
        <v>30</v>
      </c>
      <c r="Q181" s="18"/>
      <c r="R181" s="18"/>
    </row>
    <row r="182" customFormat="false" ht="26.85" hidden="false" customHeight="false" outlineLevel="0" collapsed="false">
      <c r="A182" s="17" t="s">
        <v>19</v>
      </c>
      <c r="B182" s="17" t="s">
        <v>500</v>
      </c>
      <c r="C182" s="18" t="s">
        <v>501</v>
      </c>
      <c r="D182" s="17" t="s">
        <v>153</v>
      </c>
      <c r="E182" s="19" t="n">
        <v>1</v>
      </c>
      <c r="F182" s="20" t="n">
        <v>1296</v>
      </c>
      <c r="G182" s="20" t="n">
        <f aca="false">E182*F182</f>
        <v>1296</v>
      </c>
      <c r="H182" s="19" t="n">
        <v>1</v>
      </c>
      <c r="I182" s="20" t="n">
        <v>850</v>
      </c>
      <c r="J182" s="20" t="n">
        <f aca="false">H182*I182</f>
        <v>850</v>
      </c>
      <c r="K182" s="20"/>
      <c r="L182" s="20" t="n">
        <f aca="false">IF(K182&lt;&gt;"",K182,I182)</f>
        <v>850</v>
      </c>
      <c r="M182" s="20" t="n">
        <f aca="false">H182*L182</f>
        <v>850</v>
      </c>
      <c r="N182" s="22" t="n">
        <f aca="false">M182-G182</f>
        <v>-446</v>
      </c>
      <c r="O182" s="21" t="n">
        <f aca="false">IF(F182&gt;0,L182/F182-1,"")</f>
        <v>-0.344135802469136</v>
      </c>
      <c r="P182" s="18" t="s">
        <v>30</v>
      </c>
      <c r="Q182" s="18"/>
      <c r="R182" s="18"/>
    </row>
    <row r="183" customFormat="false" ht="26.85" hidden="false" customHeight="false" outlineLevel="0" collapsed="false">
      <c r="A183" s="17" t="s">
        <v>19</v>
      </c>
      <c r="B183" s="17" t="s">
        <v>502</v>
      </c>
      <c r="C183" s="18" t="s">
        <v>503</v>
      </c>
      <c r="D183" s="17" t="s">
        <v>153</v>
      </c>
      <c r="E183" s="19" t="n">
        <v>1</v>
      </c>
      <c r="F183" s="20" t="n">
        <v>1296</v>
      </c>
      <c r="G183" s="20" t="n">
        <f aca="false">E183*F183</f>
        <v>1296</v>
      </c>
      <c r="H183" s="19" t="n">
        <v>1</v>
      </c>
      <c r="I183" s="20" t="n">
        <v>850</v>
      </c>
      <c r="J183" s="20" t="n">
        <f aca="false">H183*I183</f>
        <v>850</v>
      </c>
      <c r="K183" s="20"/>
      <c r="L183" s="20" t="n">
        <f aca="false">IF(K183&lt;&gt;"",K183,I183)</f>
        <v>850</v>
      </c>
      <c r="M183" s="20" t="n">
        <f aca="false">H183*L183</f>
        <v>850</v>
      </c>
      <c r="N183" s="22" t="n">
        <f aca="false">M183-G183</f>
        <v>-446</v>
      </c>
      <c r="O183" s="21" t="n">
        <f aca="false">IF(F183&gt;0,L183/F183-1,"")</f>
        <v>-0.344135802469136</v>
      </c>
      <c r="P183" s="18" t="s">
        <v>30</v>
      </c>
      <c r="Q183" s="18"/>
      <c r="R183" s="18"/>
    </row>
    <row r="184" customFormat="false" ht="26.85" hidden="false" customHeight="false" outlineLevel="0" collapsed="false">
      <c r="A184" s="17" t="s">
        <v>19</v>
      </c>
      <c r="B184" s="17" t="s">
        <v>504</v>
      </c>
      <c r="C184" s="18" t="s">
        <v>505</v>
      </c>
      <c r="D184" s="17" t="s">
        <v>153</v>
      </c>
      <c r="E184" s="19" t="n">
        <v>1</v>
      </c>
      <c r="F184" s="20" t="n">
        <v>2106</v>
      </c>
      <c r="G184" s="20" t="n">
        <f aca="false">E184*F184</f>
        <v>2106</v>
      </c>
      <c r="H184" s="19" t="n">
        <v>1</v>
      </c>
      <c r="I184" s="20" t="n">
        <v>850</v>
      </c>
      <c r="J184" s="20" t="n">
        <f aca="false">H184*I184</f>
        <v>850</v>
      </c>
      <c r="K184" s="20"/>
      <c r="L184" s="20" t="n">
        <f aca="false">IF(K184&lt;&gt;"",K184,I184)</f>
        <v>850</v>
      </c>
      <c r="M184" s="20" t="n">
        <f aca="false">H184*L184</f>
        <v>850</v>
      </c>
      <c r="N184" s="22" t="n">
        <f aca="false">M184-G184</f>
        <v>-1256</v>
      </c>
      <c r="O184" s="21" t="n">
        <f aca="false">IF(F184&gt;0,L184/F184-1,"")</f>
        <v>-0.59639126305793</v>
      </c>
      <c r="P184" s="18" t="s">
        <v>30</v>
      </c>
      <c r="Q184" s="18"/>
      <c r="R184" s="18"/>
    </row>
    <row r="185" customFormat="false" ht="26.85" hidden="false" customHeight="false" outlineLevel="0" collapsed="false">
      <c r="A185" s="17" t="s">
        <v>19</v>
      </c>
      <c r="B185" s="17" t="s">
        <v>506</v>
      </c>
      <c r="C185" s="18" t="s">
        <v>507</v>
      </c>
      <c r="D185" s="17" t="s">
        <v>153</v>
      </c>
      <c r="E185" s="19" t="n">
        <v>1</v>
      </c>
      <c r="F185" s="20" t="n">
        <v>1620</v>
      </c>
      <c r="G185" s="20" t="n">
        <f aca="false">E185*F185</f>
        <v>1620</v>
      </c>
      <c r="H185" s="19" t="n">
        <v>1</v>
      </c>
      <c r="I185" s="20" t="n">
        <v>850</v>
      </c>
      <c r="J185" s="20" t="n">
        <f aca="false">H185*I185</f>
        <v>850</v>
      </c>
      <c r="K185" s="20"/>
      <c r="L185" s="20" t="n">
        <f aca="false">IF(K185&lt;&gt;"",K185,I185)</f>
        <v>850</v>
      </c>
      <c r="M185" s="20" t="n">
        <f aca="false">H185*L185</f>
        <v>850</v>
      </c>
      <c r="N185" s="22" t="n">
        <f aca="false">M185-G185</f>
        <v>-770</v>
      </c>
      <c r="O185" s="21" t="n">
        <f aca="false">IF(F185&gt;0,L185/F185-1,"")</f>
        <v>-0.475308641975309</v>
      </c>
      <c r="P185" s="18" t="s">
        <v>30</v>
      </c>
      <c r="Q185" s="18"/>
      <c r="R185" s="18"/>
    </row>
    <row r="186" customFormat="false" ht="26.85" hidden="false" customHeight="false" outlineLevel="0" collapsed="false">
      <c r="A186" s="17" t="s">
        <v>19</v>
      </c>
      <c r="B186" s="17" t="s">
        <v>508</v>
      </c>
      <c r="C186" s="18" t="s">
        <v>509</v>
      </c>
      <c r="D186" s="17" t="s">
        <v>153</v>
      </c>
      <c r="E186" s="19" t="n">
        <v>1</v>
      </c>
      <c r="F186" s="20" t="n">
        <v>1944</v>
      </c>
      <c r="G186" s="20" t="n">
        <f aca="false">E186*F186</f>
        <v>1944</v>
      </c>
      <c r="H186" s="19" t="n">
        <v>1</v>
      </c>
      <c r="I186" s="20" t="n">
        <v>1020</v>
      </c>
      <c r="J186" s="20" t="n">
        <f aca="false">H186*I186</f>
        <v>1020</v>
      </c>
      <c r="K186" s="20"/>
      <c r="L186" s="20" t="n">
        <f aca="false">IF(K186&lt;&gt;"",K186,I186)</f>
        <v>1020</v>
      </c>
      <c r="M186" s="20" t="n">
        <f aca="false">H186*L186</f>
        <v>1020</v>
      </c>
      <c r="N186" s="22" t="n">
        <f aca="false">M186-G186</f>
        <v>-924</v>
      </c>
      <c r="O186" s="21" t="n">
        <f aca="false">IF(F186&gt;0,L186/F186-1,"")</f>
        <v>-0.475308641975309</v>
      </c>
      <c r="P186" s="18" t="s">
        <v>30</v>
      </c>
      <c r="Q186" s="18"/>
      <c r="R186" s="18"/>
    </row>
    <row r="187" customFormat="false" ht="26.85" hidden="false" customHeight="false" outlineLevel="0" collapsed="false">
      <c r="A187" s="17" t="s">
        <v>19</v>
      </c>
      <c r="B187" s="17" t="s">
        <v>510</v>
      </c>
      <c r="C187" s="18" t="s">
        <v>511</v>
      </c>
      <c r="D187" s="17" t="s">
        <v>153</v>
      </c>
      <c r="E187" s="19" t="n">
        <v>2</v>
      </c>
      <c r="F187" s="20" t="n">
        <v>1944</v>
      </c>
      <c r="G187" s="20" t="n">
        <f aca="false">E187*F187</f>
        <v>3888</v>
      </c>
      <c r="H187" s="19" t="n">
        <v>2</v>
      </c>
      <c r="I187" s="20" t="n">
        <v>1020</v>
      </c>
      <c r="J187" s="20" t="n">
        <f aca="false">H187*I187</f>
        <v>2040</v>
      </c>
      <c r="K187" s="20"/>
      <c r="L187" s="20" t="n">
        <f aca="false">IF(K187&lt;&gt;"",K187,I187)</f>
        <v>1020</v>
      </c>
      <c r="M187" s="20" t="n">
        <f aca="false">H187*L187</f>
        <v>2040</v>
      </c>
      <c r="N187" s="22" t="n">
        <f aca="false">M187-G187</f>
        <v>-1848</v>
      </c>
      <c r="O187" s="21" t="n">
        <f aca="false">IF(F187&gt;0,L187/F187-1,"")</f>
        <v>-0.475308641975309</v>
      </c>
      <c r="P187" s="18" t="s">
        <v>30</v>
      </c>
      <c r="Q187" s="18"/>
      <c r="R187" s="18"/>
    </row>
    <row r="188" customFormat="false" ht="26.85" hidden="false" customHeight="false" outlineLevel="0" collapsed="false">
      <c r="A188" s="17" t="s">
        <v>19</v>
      </c>
      <c r="B188" s="17" t="s">
        <v>512</v>
      </c>
      <c r="C188" s="18" t="s">
        <v>513</v>
      </c>
      <c r="D188" s="17" t="s">
        <v>153</v>
      </c>
      <c r="E188" s="19" t="n">
        <v>1</v>
      </c>
      <c r="F188" s="20" t="n">
        <v>2592</v>
      </c>
      <c r="G188" s="20" t="n">
        <f aca="false">E188*F188</f>
        <v>2592</v>
      </c>
      <c r="H188" s="19" t="n">
        <v>1</v>
      </c>
      <c r="I188" s="20" t="n">
        <v>1020</v>
      </c>
      <c r="J188" s="20" t="n">
        <f aca="false">H188*I188</f>
        <v>1020</v>
      </c>
      <c r="K188" s="20"/>
      <c r="L188" s="20" t="n">
        <f aca="false">IF(K188&lt;&gt;"",K188,I188)</f>
        <v>1020</v>
      </c>
      <c r="M188" s="20" t="n">
        <f aca="false">H188*L188</f>
        <v>1020</v>
      </c>
      <c r="N188" s="22" t="n">
        <f aca="false">M188-G188</f>
        <v>-1572</v>
      </c>
      <c r="O188" s="21" t="n">
        <f aca="false">IF(F188&gt;0,L188/F188-1,"")</f>
        <v>-0.606481481481481</v>
      </c>
      <c r="P188" s="18" t="s">
        <v>30</v>
      </c>
      <c r="Q188" s="18"/>
      <c r="R188" s="18"/>
    </row>
    <row r="189" customFormat="false" ht="26.85" hidden="false" customHeight="false" outlineLevel="0" collapsed="false">
      <c r="A189" s="17" t="s">
        <v>19</v>
      </c>
      <c r="B189" s="17" t="s">
        <v>514</v>
      </c>
      <c r="C189" s="18" t="s">
        <v>515</v>
      </c>
      <c r="D189" s="17" t="s">
        <v>153</v>
      </c>
      <c r="E189" s="19" t="n">
        <v>4</v>
      </c>
      <c r="F189" s="20" t="n">
        <v>1020</v>
      </c>
      <c r="G189" s="20" t="n">
        <f aca="false">E189*F189</f>
        <v>4080</v>
      </c>
      <c r="H189" s="19" t="n">
        <v>4</v>
      </c>
      <c r="I189" s="20" t="n">
        <v>370</v>
      </c>
      <c r="J189" s="20" t="n">
        <f aca="false">H189*I189</f>
        <v>1480</v>
      </c>
      <c r="K189" s="20"/>
      <c r="L189" s="20" t="n">
        <f aca="false">IF(K189&lt;&gt;"",K189,I189)</f>
        <v>370</v>
      </c>
      <c r="M189" s="20" t="n">
        <f aca="false">H189*L189</f>
        <v>1480</v>
      </c>
      <c r="N189" s="22" t="n">
        <f aca="false">M189-G189</f>
        <v>-2600</v>
      </c>
      <c r="O189" s="21" t="n">
        <f aca="false">IF(F189&gt;0,L189/F189-1,"")</f>
        <v>-0.637254901960784</v>
      </c>
      <c r="P189" s="18" t="s">
        <v>30</v>
      </c>
      <c r="Q189" s="18"/>
      <c r="R189" s="18"/>
    </row>
    <row r="190" customFormat="false" ht="26.85" hidden="false" customHeight="false" outlineLevel="0" collapsed="false">
      <c r="A190" s="17" t="s">
        <v>19</v>
      </c>
      <c r="B190" s="17" t="s">
        <v>516</v>
      </c>
      <c r="C190" s="18" t="s">
        <v>517</v>
      </c>
      <c r="D190" s="17" t="s">
        <v>153</v>
      </c>
      <c r="E190" s="19" t="n">
        <v>3</v>
      </c>
      <c r="F190" s="20" t="n">
        <v>1020</v>
      </c>
      <c r="G190" s="20" t="n">
        <f aca="false">E190*F190</f>
        <v>3060</v>
      </c>
      <c r="H190" s="19" t="n">
        <v>3</v>
      </c>
      <c r="I190" s="20" t="n">
        <v>370</v>
      </c>
      <c r="J190" s="20" t="n">
        <f aca="false">H190*I190</f>
        <v>1110</v>
      </c>
      <c r="K190" s="20"/>
      <c r="L190" s="20" t="n">
        <f aca="false">IF(K190&lt;&gt;"",K190,I190)</f>
        <v>370</v>
      </c>
      <c r="M190" s="20" t="n">
        <f aca="false">H190*L190</f>
        <v>1110</v>
      </c>
      <c r="N190" s="22" t="n">
        <f aca="false">M190-G190</f>
        <v>-1950</v>
      </c>
      <c r="O190" s="21" t="n">
        <f aca="false">IF(F190&gt;0,L190/F190-1,"")</f>
        <v>-0.637254901960784</v>
      </c>
      <c r="P190" s="18" t="s">
        <v>30</v>
      </c>
      <c r="Q190" s="18"/>
      <c r="R190" s="18"/>
    </row>
    <row r="191" customFormat="false" ht="26.85" hidden="false" customHeight="false" outlineLevel="0" collapsed="false">
      <c r="A191" s="17" t="s">
        <v>19</v>
      </c>
      <c r="B191" s="17" t="s">
        <v>518</v>
      </c>
      <c r="C191" s="18" t="s">
        <v>519</v>
      </c>
      <c r="D191" s="17" t="s">
        <v>153</v>
      </c>
      <c r="E191" s="19" t="n">
        <v>17</v>
      </c>
      <c r="F191" s="20" t="n">
        <v>1020</v>
      </c>
      <c r="G191" s="20" t="n">
        <f aca="false">E191*F191</f>
        <v>17340</v>
      </c>
      <c r="H191" s="19" t="n">
        <v>17</v>
      </c>
      <c r="I191" s="20" t="n">
        <v>370</v>
      </c>
      <c r="J191" s="20" t="n">
        <f aca="false">H191*I191</f>
        <v>6290</v>
      </c>
      <c r="K191" s="20"/>
      <c r="L191" s="20" t="n">
        <f aca="false">IF(K191&lt;&gt;"",K191,I191)</f>
        <v>370</v>
      </c>
      <c r="M191" s="20" t="n">
        <f aca="false">H191*L191</f>
        <v>6290</v>
      </c>
      <c r="N191" s="22" t="n">
        <f aca="false">M191-G191</f>
        <v>-11050</v>
      </c>
      <c r="O191" s="21" t="n">
        <f aca="false">IF(F191&gt;0,L191/F191-1,"")</f>
        <v>-0.637254901960784</v>
      </c>
      <c r="P191" s="18" t="s">
        <v>30</v>
      </c>
      <c r="Q191" s="18"/>
      <c r="R191" s="18"/>
    </row>
    <row r="192" customFormat="false" ht="26.85" hidden="false" customHeight="false" outlineLevel="0" collapsed="false">
      <c r="A192" s="17" t="s">
        <v>19</v>
      </c>
      <c r="B192" s="17" t="s">
        <v>520</v>
      </c>
      <c r="C192" s="18" t="s">
        <v>521</v>
      </c>
      <c r="D192" s="17" t="s">
        <v>153</v>
      </c>
      <c r="E192" s="19" t="n">
        <v>12</v>
      </c>
      <c r="F192" s="20" t="n">
        <v>1020</v>
      </c>
      <c r="G192" s="20" t="n">
        <f aca="false">E192*F192</f>
        <v>12240</v>
      </c>
      <c r="H192" s="19" t="n">
        <v>12</v>
      </c>
      <c r="I192" s="20" t="n">
        <v>370</v>
      </c>
      <c r="J192" s="20" t="n">
        <f aca="false">H192*I192</f>
        <v>4440</v>
      </c>
      <c r="K192" s="20"/>
      <c r="L192" s="20" t="n">
        <f aca="false">IF(K192&lt;&gt;"",K192,I192)</f>
        <v>370</v>
      </c>
      <c r="M192" s="20" t="n">
        <f aca="false">H192*L192</f>
        <v>4440</v>
      </c>
      <c r="N192" s="22" t="n">
        <f aca="false">M192-G192</f>
        <v>-7800</v>
      </c>
      <c r="O192" s="21" t="n">
        <f aca="false">IF(F192&gt;0,L192/F192-1,"")</f>
        <v>-0.637254901960784</v>
      </c>
      <c r="P192" s="18" t="s">
        <v>30</v>
      </c>
      <c r="Q192" s="18"/>
      <c r="R192" s="18"/>
    </row>
    <row r="193" customFormat="false" ht="15" hidden="false" customHeight="false" outlineLevel="0" collapsed="false">
      <c r="A193" s="17" t="s">
        <v>19</v>
      </c>
      <c r="B193" s="17" t="s">
        <v>522</v>
      </c>
      <c r="C193" s="18" t="s">
        <v>523</v>
      </c>
      <c r="D193" s="17" t="s">
        <v>153</v>
      </c>
      <c r="E193" s="19" t="n">
        <v>30</v>
      </c>
      <c r="F193" s="20" t="n">
        <v>1296</v>
      </c>
      <c r="G193" s="20" t="n">
        <f aca="false">E193*F193</f>
        <v>38880</v>
      </c>
      <c r="H193" s="19" t="n">
        <v>30</v>
      </c>
      <c r="I193" s="20" t="n">
        <v>450</v>
      </c>
      <c r="J193" s="20" t="n">
        <f aca="false">H193*I193</f>
        <v>13500</v>
      </c>
      <c r="K193" s="20"/>
      <c r="L193" s="20" t="n">
        <f aca="false">IF(K193&lt;&gt;"",K193,I193)</f>
        <v>450</v>
      </c>
      <c r="M193" s="20" t="n">
        <f aca="false">H193*L193</f>
        <v>13500</v>
      </c>
      <c r="N193" s="22" t="n">
        <f aca="false">M193-G193</f>
        <v>-25380</v>
      </c>
      <c r="O193" s="21" t="n">
        <f aca="false">IF(F193&gt;0,L193/F193-1,"")</f>
        <v>-0.652777777777778</v>
      </c>
      <c r="P193" s="18" t="s">
        <v>30</v>
      </c>
      <c r="Q193" s="18" t="s">
        <v>268</v>
      </c>
      <c r="R193" s="18"/>
    </row>
    <row r="194" customFormat="false" ht="15" hidden="false" customHeight="false" outlineLevel="0" collapsed="false">
      <c r="A194" s="17" t="s">
        <v>19</v>
      </c>
      <c r="B194" s="17" t="s">
        <v>524</v>
      </c>
      <c r="C194" s="18" t="s">
        <v>525</v>
      </c>
      <c r="D194" s="17" t="s">
        <v>153</v>
      </c>
      <c r="E194" s="19" t="n">
        <v>80</v>
      </c>
      <c r="F194" s="20" t="n">
        <v>3240</v>
      </c>
      <c r="G194" s="20" t="n">
        <f aca="false">E194*F194</f>
        <v>259200</v>
      </c>
      <c r="H194" s="19" t="n">
        <v>80</v>
      </c>
      <c r="I194" s="20" t="n">
        <v>665</v>
      </c>
      <c r="J194" s="20" t="n">
        <f aca="false">H194*I194</f>
        <v>53200</v>
      </c>
      <c r="K194" s="20"/>
      <c r="L194" s="20" t="n">
        <f aca="false">IF(K194&lt;&gt;"",K194,I194)</f>
        <v>665</v>
      </c>
      <c r="M194" s="20" t="n">
        <f aca="false">H194*L194</f>
        <v>53200</v>
      </c>
      <c r="N194" s="22" t="n">
        <f aca="false">M194-G194</f>
        <v>-206000</v>
      </c>
      <c r="O194" s="21" t="n">
        <f aca="false">IF(F194&gt;0,L194/F194-1,"")</f>
        <v>-0.794753086419753</v>
      </c>
      <c r="P194" s="18" t="s">
        <v>30</v>
      </c>
      <c r="Q194" s="18" t="s">
        <v>526</v>
      </c>
      <c r="R194" s="18"/>
    </row>
    <row r="195" customFormat="false" ht="15" hidden="false" customHeight="false" outlineLevel="0" collapsed="false">
      <c r="A195" s="17" t="s">
        <v>19</v>
      </c>
      <c r="B195" s="17" t="s">
        <v>527</v>
      </c>
      <c r="C195" s="18" t="s">
        <v>528</v>
      </c>
      <c r="D195" s="17" t="s">
        <v>186</v>
      </c>
      <c r="E195" s="19" t="n">
        <v>120</v>
      </c>
      <c r="F195" s="20" t="n">
        <v>1092</v>
      </c>
      <c r="G195" s="20" t="n">
        <f aca="false">E195*F195</f>
        <v>131040</v>
      </c>
      <c r="H195" s="19" t="n">
        <v>120</v>
      </c>
      <c r="I195" s="20" t="n">
        <v>665</v>
      </c>
      <c r="J195" s="20" t="n">
        <f aca="false">H195*I195</f>
        <v>79800</v>
      </c>
      <c r="K195" s="20"/>
      <c r="L195" s="20" t="n">
        <f aca="false">IF(K195&lt;&gt;"",K195,I195)</f>
        <v>665</v>
      </c>
      <c r="M195" s="20" t="n">
        <f aca="false">H195*L195</f>
        <v>79800</v>
      </c>
      <c r="N195" s="22" t="n">
        <f aca="false">M195-G195</f>
        <v>-51240</v>
      </c>
      <c r="O195" s="21" t="n">
        <f aca="false">IF(F195&gt;0,L195/F195-1,"")</f>
        <v>-0.391025641025641</v>
      </c>
      <c r="P195" s="18" t="s">
        <v>30</v>
      </c>
      <c r="Q195" s="18"/>
      <c r="R195" s="18"/>
    </row>
    <row r="196" customFormat="false" ht="15" hidden="false" customHeight="false" outlineLevel="0" collapsed="false">
      <c r="A196" s="17" t="s">
        <v>19</v>
      </c>
      <c r="B196" s="17" t="s">
        <v>529</v>
      </c>
      <c r="C196" s="18" t="s">
        <v>530</v>
      </c>
      <c r="D196" s="17" t="s">
        <v>303</v>
      </c>
      <c r="E196" s="19" t="n">
        <v>81</v>
      </c>
      <c r="F196" s="20" t="n">
        <v>1020</v>
      </c>
      <c r="G196" s="20" t="n">
        <f aca="false">E196*F196</f>
        <v>82620</v>
      </c>
      <c r="H196" s="19" t="n">
        <v>81</v>
      </c>
      <c r="I196" s="20" t="n">
        <v>665</v>
      </c>
      <c r="J196" s="20" t="n">
        <f aca="false">H196*I196</f>
        <v>53865</v>
      </c>
      <c r="K196" s="20"/>
      <c r="L196" s="20" t="n">
        <f aca="false">IF(K196&lt;&gt;"",K196,I196)</f>
        <v>665</v>
      </c>
      <c r="M196" s="20" t="n">
        <f aca="false">H196*L196</f>
        <v>53865</v>
      </c>
      <c r="N196" s="22" t="n">
        <f aca="false">M196-G196</f>
        <v>-28755</v>
      </c>
      <c r="O196" s="21" t="n">
        <f aca="false">IF(F196&gt;0,L196/F196-1,"")</f>
        <v>-0.348039215686275</v>
      </c>
      <c r="P196" s="18" t="s">
        <v>30</v>
      </c>
      <c r="Q196" s="18" t="s">
        <v>531</v>
      </c>
      <c r="R196" s="18"/>
    </row>
    <row r="197" customFormat="false" ht="15" hidden="false" customHeight="false" outlineLevel="0" collapsed="false">
      <c r="A197" s="17" t="s">
        <v>19</v>
      </c>
      <c r="B197" s="17" t="s">
        <v>532</v>
      </c>
      <c r="C197" s="18" t="s">
        <v>533</v>
      </c>
      <c r="D197" s="17" t="s">
        <v>297</v>
      </c>
      <c r="E197" s="19" t="n">
        <v>1</v>
      </c>
      <c r="F197" s="20" t="n">
        <v>162000</v>
      </c>
      <c r="G197" s="20" t="n">
        <f aca="false">E197*F197</f>
        <v>162000</v>
      </c>
      <c r="H197" s="19" t="n">
        <v>1</v>
      </c>
      <c r="I197" s="20" t="n">
        <v>95000</v>
      </c>
      <c r="J197" s="20" t="n">
        <f aca="false">H197*I197</f>
        <v>95000</v>
      </c>
      <c r="K197" s="20"/>
      <c r="L197" s="20" t="n">
        <f aca="false">IF(K197&lt;&gt;"",K197,I197)</f>
        <v>95000</v>
      </c>
      <c r="M197" s="20" t="n">
        <f aca="false">H197*L197</f>
        <v>95000</v>
      </c>
      <c r="N197" s="22" t="n">
        <f aca="false">M197-G197</f>
        <v>-67000</v>
      </c>
      <c r="O197" s="21" t="n">
        <f aca="false">IF(F197&gt;0,L197/F197-1,"")</f>
        <v>-0.41358024691358</v>
      </c>
      <c r="P197" s="18" t="s">
        <v>30</v>
      </c>
      <c r="Q197" s="18" t="s">
        <v>534</v>
      </c>
      <c r="R197" s="18"/>
    </row>
    <row r="198" customFormat="false" ht="15" hidden="false" customHeight="false" outlineLevel="0" collapsed="false">
      <c r="A198" s="40"/>
      <c r="B198" s="41" t="s">
        <v>20</v>
      </c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</row>
    <row r="199" customFormat="false" ht="26.85" hidden="false" customHeight="false" outlineLevel="0" collapsed="false">
      <c r="A199" s="17" t="s">
        <v>20</v>
      </c>
      <c r="B199" s="17" t="s">
        <v>535</v>
      </c>
      <c r="C199" s="18" t="s">
        <v>536</v>
      </c>
      <c r="D199" s="17" t="s">
        <v>186</v>
      </c>
      <c r="E199" s="19" t="n">
        <v>52</v>
      </c>
      <c r="F199" s="20" t="n">
        <v>2560</v>
      </c>
      <c r="G199" s="20" t="n">
        <f aca="false">E199*F199</f>
        <v>133120</v>
      </c>
      <c r="H199" s="19" t="n">
        <v>52</v>
      </c>
      <c r="I199" s="20"/>
      <c r="J199" s="20" t="n">
        <f aca="false">H199*I199</f>
        <v>0</v>
      </c>
      <c r="K199" s="20"/>
      <c r="L199" s="20" t="n">
        <f aca="false">IF(K199&lt;&gt;"",K199,I199)</f>
        <v>0</v>
      </c>
      <c r="M199" s="20" t="n">
        <f aca="false">H199*L199</f>
        <v>0</v>
      </c>
      <c r="N199" s="22" t="n">
        <f aca="false">M199-G199</f>
        <v>-133120</v>
      </c>
      <c r="O199" s="21" t="n">
        <f aca="false">IF(F199&gt;0,L199/F199-1,"")</f>
        <v>-1</v>
      </c>
      <c r="P199" s="18" t="s">
        <v>33</v>
      </c>
      <c r="Q199" s="18" t="s">
        <v>537</v>
      </c>
      <c r="R199" s="18"/>
    </row>
    <row r="200" customFormat="false" ht="26.85" hidden="false" customHeight="false" outlineLevel="0" collapsed="false">
      <c r="A200" s="17" t="s">
        <v>20</v>
      </c>
      <c r="B200" s="17" t="s">
        <v>538</v>
      </c>
      <c r="C200" s="18" t="s">
        <v>539</v>
      </c>
      <c r="D200" s="17" t="s">
        <v>186</v>
      </c>
      <c r="E200" s="19" t="n">
        <v>66</v>
      </c>
      <c r="F200" s="20" t="n">
        <v>1440</v>
      </c>
      <c r="G200" s="20" t="n">
        <f aca="false">E200*F200</f>
        <v>95040</v>
      </c>
      <c r="H200" s="19" t="n">
        <v>66</v>
      </c>
      <c r="I200" s="20"/>
      <c r="J200" s="20" t="n">
        <f aca="false">H200*I200</f>
        <v>0</v>
      </c>
      <c r="K200" s="20"/>
      <c r="L200" s="20" t="n">
        <f aca="false">IF(K200&lt;&gt;"",K200,I200)</f>
        <v>0</v>
      </c>
      <c r="M200" s="20" t="n">
        <f aca="false">H200*L200</f>
        <v>0</v>
      </c>
      <c r="N200" s="22" t="n">
        <f aca="false">M200-G200</f>
        <v>-95040</v>
      </c>
      <c r="O200" s="21" t="n">
        <f aca="false">IF(F200&gt;0,L200/F200-1,"")</f>
        <v>-1</v>
      </c>
      <c r="P200" s="18" t="s">
        <v>33</v>
      </c>
      <c r="Q200" s="18" t="s">
        <v>537</v>
      </c>
      <c r="R200" s="18"/>
    </row>
    <row r="201" customFormat="false" ht="26.85" hidden="false" customHeight="false" outlineLevel="0" collapsed="false">
      <c r="A201" s="17" t="s">
        <v>20</v>
      </c>
      <c r="B201" s="17" t="s">
        <v>540</v>
      </c>
      <c r="C201" s="18" t="s">
        <v>541</v>
      </c>
      <c r="D201" s="17" t="s">
        <v>153</v>
      </c>
      <c r="E201" s="19" t="n">
        <v>1</v>
      </c>
      <c r="F201" s="20" t="n">
        <v>9600</v>
      </c>
      <c r="G201" s="20" t="n">
        <f aca="false">E201*F201</f>
        <v>9600</v>
      </c>
      <c r="H201" s="19" t="n">
        <v>1</v>
      </c>
      <c r="I201" s="20"/>
      <c r="J201" s="20" t="n">
        <f aca="false">H201*I201</f>
        <v>0</v>
      </c>
      <c r="K201" s="20"/>
      <c r="L201" s="20" t="n">
        <f aca="false">IF(K201&lt;&gt;"",K201,I201)</f>
        <v>0</v>
      </c>
      <c r="M201" s="20" t="n">
        <f aca="false">H201*L201</f>
        <v>0</v>
      </c>
      <c r="N201" s="22" t="n">
        <f aca="false">M201-G201</f>
        <v>-9600</v>
      </c>
      <c r="O201" s="21" t="n">
        <f aca="false">IF(F201&gt;0,L201/F201-1,"")</f>
        <v>-1</v>
      </c>
      <c r="P201" s="18" t="s">
        <v>33</v>
      </c>
      <c r="Q201" s="18" t="s">
        <v>537</v>
      </c>
      <c r="R201" s="18"/>
    </row>
    <row r="202" customFormat="false" ht="26.85" hidden="false" customHeight="false" outlineLevel="0" collapsed="false">
      <c r="A202" s="17" t="s">
        <v>20</v>
      </c>
      <c r="B202" s="17" t="s">
        <v>542</v>
      </c>
      <c r="C202" s="18" t="s">
        <v>543</v>
      </c>
      <c r="D202" s="17" t="s">
        <v>153</v>
      </c>
      <c r="E202" s="19" t="n">
        <v>2</v>
      </c>
      <c r="F202" s="20" t="n">
        <v>8000</v>
      </c>
      <c r="G202" s="20" t="n">
        <f aca="false">E202*F202</f>
        <v>16000</v>
      </c>
      <c r="H202" s="19" t="n">
        <v>2</v>
      </c>
      <c r="I202" s="20"/>
      <c r="J202" s="20" t="n">
        <f aca="false">H202*I202</f>
        <v>0</v>
      </c>
      <c r="K202" s="20"/>
      <c r="L202" s="20" t="n">
        <f aca="false">IF(K202&lt;&gt;"",K202,I202)</f>
        <v>0</v>
      </c>
      <c r="M202" s="20" t="n">
        <f aca="false">H202*L202</f>
        <v>0</v>
      </c>
      <c r="N202" s="22" t="n">
        <f aca="false">M202-G202</f>
        <v>-16000</v>
      </c>
      <c r="O202" s="21" t="n">
        <f aca="false">IF(F202&gt;0,L202/F202-1,"")</f>
        <v>-1</v>
      </c>
      <c r="P202" s="18" t="s">
        <v>33</v>
      </c>
      <c r="Q202" s="18" t="s">
        <v>537</v>
      </c>
      <c r="R202" s="18"/>
    </row>
    <row r="203" customFormat="false" ht="15" hidden="false" customHeight="false" outlineLevel="0" collapsed="false">
      <c r="A203" s="40"/>
      <c r="B203" s="41" t="s">
        <v>21</v>
      </c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</row>
    <row r="204" customFormat="false" ht="15" hidden="false" customHeight="false" outlineLevel="0" collapsed="false">
      <c r="A204" s="17" t="s">
        <v>21</v>
      </c>
      <c r="B204" s="17" t="s">
        <v>544</v>
      </c>
      <c r="C204" s="18" t="s">
        <v>545</v>
      </c>
      <c r="D204" s="17" t="s">
        <v>153</v>
      </c>
      <c r="E204" s="19" t="n">
        <v>10</v>
      </c>
      <c r="F204" s="20" t="n">
        <v>25920</v>
      </c>
      <c r="G204" s="20" t="n">
        <f aca="false">E204*F204</f>
        <v>259200</v>
      </c>
      <c r="H204" s="19" t="n">
        <v>10</v>
      </c>
      <c r="I204" s="20" t="n">
        <v>14000</v>
      </c>
      <c r="J204" s="20" t="n">
        <f aca="false">H204*I204</f>
        <v>140000</v>
      </c>
      <c r="K204" s="20"/>
      <c r="L204" s="20" t="n">
        <f aca="false">IF(K204&lt;&gt;"",K204,I204)</f>
        <v>14000</v>
      </c>
      <c r="M204" s="20" t="n">
        <f aca="false">H204*L204</f>
        <v>140000</v>
      </c>
      <c r="N204" s="22" t="n">
        <f aca="false">M204-G204</f>
        <v>-119200</v>
      </c>
      <c r="O204" s="21" t="n">
        <f aca="false">IF(F204&gt;0,L204/F204-1,"")</f>
        <v>-0.459876543209877</v>
      </c>
      <c r="P204" s="18" t="s">
        <v>30</v>
      </c>
      <c r="Q204" s="18" t="s">
        <v>546</v>
      </c>
      <c r="R204" s="18"/>
    </row>
    <row r="205" customFormat="false" ht="26.85" hidden="false" customHeight="false" outlineLevel="0" collapsed="false">
      <c r="A205" s="42" t="s">
        <v>21</v>
      </c>
      <c r="B205" s="42" t="s">
        <v>547</v>
      </c>
      <c r="C205" s="37" t="s">
        <v>548</v>
      </c>
      <c r="D205" s="42" t="s">
        <v>153</v>
      </c>
      <c r="E205" s="43" t="n">
        <v>3</v>
      </c>
      <c r="F205" s="44" t="n">
        <v>1296</v>
      </c>
      <c r="G205" s="44" t="n">
        <f aca="false">E205*F205</f>
        <v>3888</v>
      </c>
      <c r="H205" s="43" t="n">
        <v>3</v>
      </c>
      <c r="I205" s="44" t="n">
        <v>1296</v>
      </c>
      <c r="J205" s="44" t="n">
        <f aca="false">H205*I205</f>
        <v>3888</v>
      </c>
      <c r="K205" s="44"/>
      <c r="L205" s="44" t="n">
        <f aca="false">IF(K205&lt;&gt;"",K205,I205)</f>
        <v>1296</v>
      </c>
      <c r="M205" s="44" t="n">
        <f aca="false">H205*L205</f>
        <v>3888</v>
      </c>
      <c r="N205" s="45" t="n">
        <f aca="false">M205-G205</f>
        <v>0</v>
      </c>
      <c r="O205" s="46" t="n">
        <f aca="false">IF(F205&gt;0,L205/F205-1,"")</f>
        <v>0</v>
      </c>
      <c r="P205" s="37" t="s">
        <v>37</v>
      </c>
      <c r="Q205" s="37"/>
      <c r="R205" s="37"/>
    </row>
    <row r="206" customFormat="false" ht="26.85" hidden="false" customHeight="false" outlineLevel="0" collapsed="false">
      <c r="A206" s="17" t="s">
        <v>21</v>
      </c>
      <c r="B206" s="17" t="s">
        <v>549</v>
      </c>
      <c r="C206" s="18" t="s">
        <v>550</v>
      </c>
      <c r="D206" s="17" t="s">
        <v>153</v>
      </c>
      <c r="E206" s="19" t="n">
        <v>3</v>
      </c>
      <c r="F206" s="20" t="n">
        <v>1620</v>
      </c>
      <c r="G206" s="20" t="n">
        <f aca="false">E206*F206</f>
        <v>4860</v>
      </c>
      <c r="H206" s="19" t="n">
        <v>3</v>
      </c>
      <c r="I206" s="20" t="n">
        <v>500</v>
      </c>
      <c r="J206" s="20" t="n">
        <f aca="false">H206*I206</f>
        <v>1500</v>
      </c>
      <c r="K206" s="20"/>
      <c r="L206" s="20" t="n">
        <f aca="false">IF(K206&lt;&gt;"",K206,I206)</f>
        <v>500</v>
      </c>
      <c r="M206" s="20" t="n">
        <f aca="false">H206*L206</f>
        <v>1500</v>
      </c>
      <c r="N206" s="22" t="n">
        <f aca="false">M206-G206</f>
        <v>-3360</v>
      </c>
      <c r="O206" s="21" t="n">
        <f aca="false">IF(F206&gt;0,L206/F206-1,"")</f>
        <v>-0.691358024691358</v>
      </c>
      <c r="P206" s="18" t="s">
        <v>30</v>
      </c>
      <c r="Q206" s="18" t="s">
        <v>212</v>
      </c>
      <c r="R206" s="18"/>
    </row>
    <row r="207" customFormat="false" ht="26.85" hidden="false" customHeight="false" outlineLevel="0" collapsed="false">
      <c r="A207" s="42" t="s">
        <v>21</v>
      </c>
      <c r="B207" s="42" t="s">
        <v>551</v>
      </c>
      <c r="C207" s="37" t="s">
        <v>552</v>
      </c>
      <c r="D207" s="42" t="s">
        <v>153</v>
      </c>
      <c r="E207" s="43" t="n">
        <v>31</v>
      </c>
      <c r="F207" s="44" t="n">
        <v>1944</v>
      </c>
      <c r="G207" s="44" t="n">
        <f aca="false">E207*F207</f>
        <v>60264</v>
      </c>
      <c r="H207" s="43" t="n">
        <v>31</v>
      </c>
      <c r="I207" s="44" t="n">
        <v>1944</v>
      </c>
      <c r="J207" s="44" t="n">
        <f aca="false">H207*I207</f>
        <v>60264</v>
      </c>
      <c r="K207" s="44"/>
      <c r="L207" s="44" t="n">
        <f aca="false">IF(K207&lt;&gt;"",K207,I207)</f>
        <v>1944</v>
      </c>
      <c r="M207" s="44" t="n">
        <f aca="false">H207*L207</f>
        <v>60264</v>
      </c>
      <c r="N207" s="45" t="n">
        <f aca="false">M207-G207</f>
        <v>0</v>
      </c>
      <c r="O207" s="46" t="n">
        <f aca="false">IF(F207&gt;0,L207/F207-1,"")</f>
        <v>0</v>
      </c>
      <c r="P207" s="37" t="s">
        <v>37</v>
      </c>
      <c r="Q207" s="37"/>
      <c r="R207" s="37"/>
    </row>
    <row r="208" customFormat="false" ht="26.85" hidden="false" customHeight="false" outlineLevel="0" collapsed="false">
      <c r="A208" s="42" t="s">
        <v>21</v>
      </c>
      <c r="B208" s="42" t="s">
        <v>553</v>
      </c>
      <c r="C208" s="37" t="s">
        <v>554</v>
      </c>
      <c r="D208" s="42" t="s">
        <v>153</v>
      </c>
      <c r="E208" s="43" t="n">
        <v>31</v>
      </c>
      <c r="F208" s="44" t="n">
        <v>1944</v>
      </c>
      <c r="G208" s="44" t="n">
        <f aca="false">E208*F208</f>
        <v>60264</v>
      </c>
      <c r="H208" s="43" t="n">
        <v>31</v>
      </c>
      <c r="I208" s="44" t="n">
        <v>1944</v>
      </c>
      <c r="J208" s="44" t="n">
        <f aca="false">H208*I208</f>
        <v>60264</v>
      </c>
      <c r="K208" s="44"/>
      <c r="L208" s="44" t="n">
        <f aca="false">IF(K208&lt;&gt;"",K208,I208)</f>
        <v>1944</v>
      </c>
      <c r="M208" s="44" t="n">
        <f aca="false">H208*L208</f>
        <v>60264</v>
      </c>
      <c r="N208" s="45" t="n">
        <f aca="false">M208-G208</f>
        <v>0</v>
      </c>
      <c r="O208" s="46" t="n">
        <f aca="false">IF(F208&gt;0,L208/F208-1,"")</f>
        <v>0</v>
      </c>
      <c r="P208" s="37" t="s">
        <v>37</v>
      </c>
      <c r="Q208" s="37"/>
      <c r="R208" s="37"/>
    </row>
    <row r="209" customFormat="false" ht="26.85" hidden="false" customHeight="false" outlineLevel="0" collapsed="false">
      <c r="A209" s="42" t="s">
        <v>21</v>
      </c>
      <c r="B209" s="42" t="s">
        <v>555</v>
      </c>
      <c r="C209" s="37" t="s">
        <v>556</v>
      </c>
      <c r="D209" s="42" t="s">
        <v>153</v>
      </c>
      <c r="E209" s="43" t="n">
        <v>62</v>
      </c>
      <c r="F209" s="44" t="n">
        <v>1296</v>
      </c>
      <c r="G209" s="44" t="n">
        <f aca="false">E209*F209</f>
        <v>80352</v>
      </c>
      <c r="H209" s="43" t="n">
        <v>62</v>
      </c>
      <c r="I209" s="44" t="n">
        <v>1296</v>
      </c>
      <c r="J209" s="44" t="n">
        <f aca="false">H209*I209</f>
        <v>80352</v>
      </c>
      <c r="K209" s="44"/>
      <c r="L209" s="44" t="n">
        <f aca="false">IF(K209&lt;&gt;"",K209,I209)</f>
        <v>1296</v>
      </c>
      <c r="M209" s="44" t="n">
        <f aca="false">H209*L209</f>
        <v>80352</v>
      </c>
      <c r="N209" s="45" t="n">
        <f aca="false">M209-G209</f>
        <v>0</v>
      </c>
      <c r="O209" s="46" t="n">
        <f aca="false">IF(F209&gt;0,L209/F209-1,"")</f>
        <v>0</v>
      </c>
      <c r="P209" s="37" t="s">
        <v>37</v>
      </c>
      <c r="Q209" s="37"/>
      <c r="R209" s="37"/>
    </row>
    <row r="210" customFormat="false" ht="15" hidden="false" customHeight="false" outlineLevel="0" collapsed="false">
      <c r="A210" s="42" t="s">
        <v>21</v>
      </c>
      <c r="B210" s="42" t="s">
        <v>557</v>
      </c>
      <c r="C210" s="37" t="s">
        <v>558</v>
      </c>
      <c r="D210" s="42" t="s">
        <v>153</v>
      </c>
      <c r="E210" s="43" t="n">
        <v>31</v>
      </c>
      <c r="F210" s="44" t="n">
        <v>1296</v>
      </c>
      <c r="G210" s="44" t="n">
        <f aca="false">E210*F210</f>
        <v>40176</v>
      </c>
      <c r="H210" s="43" t="n">
        <v>31</v>
      </c>
      <c r="I210" s="44" t="n">
        <v>1296</v>
      </c>
      <c r="J210" s="44" t="n">
        <f aca="false">H210*I210</f>
        <v>40176</v>
      </c>
      <c r="K210" s="44"/>
      <c r="L210" s="44" t="n">
        <f aca="false">IF(K210&lt;&gt;"",K210,I210)</f>
        <v>1296</v>
      </c>
      <c r="M210" s="44" t="n">
        <f aca="false">H210*L210</f>
        <v>40176</v>
      </c>
      <c r="N210" s="45" t="n">
        <f aca="false">M210-G210</f>
        <v>0</v>
      </c>
      <c r="O210" s="46" t="n">
        <f aca="false">IF(F210&gt;0,L210/F210-1,"")</f>
        <v>0</v>
      </c>
      <c r="P210" s="37" t="s">
        <v>37</v>
      </c>
      <c r="Q210" s="37"/>
      <c r="R210" s="37"/>
    </row>
    <row r="211" customFormat="false" ht="15" hidden="false" customHeight="false" outlineLevel="0" collapsed="false">
      <c r="A211" s="17" t="s">
        <v>21</v>
      </c>
      <c r="B211" s="17" t="s">
        <v>559</v>
      </c>
      <c r="C211" s="18" t="s">
        <v>560</v>
      </c>
      <c r="D211" s="17" t="s">
        <v>153</v>
      </c>
      <c r="E211" s="19" t="n">
        <v>62</v>
      </c>
      <c r="F211" s="20" t="n">
        <v>1296</v>
      </c>
      <c r="G211" s="20" t="n">
        <f aca="false">E211*F211</f>
        <v>80352</v>
      </c>
      <c r="H211" s="19" t="n">
        <v>62</v>
      </c>
      <c r="I211" s="20" t="n">
        <v>700</v>
      </c>
      <c r="J211" s="20" t="n">
        <f aca="false">H211*I211</f>
        <v>43400</v>
      </c>
      <c r="K211" s="20"/>
      <c r="L211" s="20" t="n">
        <f aca="false">IF(K211&lt;&gt;"",K211,I211)</f>
        <v>700</v>
      </c>
      <c r="M211" s="20" t="n">
        <f aca="false">H211*L211</f>
        <v>43400</v>
      </c>
      <c r="N211" s="22" t="n">
        <f aca="false">M211-G211</f>
        <v>-36952</v>
      </c>
      <c r="O211" s="21" t="n">
        <f aca="false">IF(F211&gt;0,L211/F211-1,"")</f>
        <v>-0.459876543209877</v>
      </c>
      <c r="P211" s="18" t="s">
        <v>30</v>
      </c>
      <c r="Q211" s="18"/>
      <c r="R211" s="18" t="s">
        <v>188</v>
      </c>
    </row>
    <row r="212" customFormat="false" ht="15" hidden="false" customHeight="false" outlineLevel="0" collapsed="false">
      <c r="A212" s="17" t="s">
        <v>21</v>
      </c>
      <c r="B212" s="17" t="s">
        <v>561</v>
      </c>
      <c r="C212" s="18" t="s">
        <v>562</v>
      </c>
      <c r="D212" s="17" t="s">
        <v>153</v>
      </c>
      <c r="E212" s="19" t="n">
        <v>62</v>
      </c>
      <c r="F212" s="20" t="n">
        <v>1296</v>
      </c>
      <c r="G212" s="20" t="n">
        <f aca="false">E212*F212</f>
        <v>80352</v>
      </c>
      <c r="H212" s="19" t="n">
        <v>62</v>
      </c>
      <c r="I212" s="20" t="n">
        <v>700</v>
      </c>
      <c r="J212" s="20" t="n">
        <f aca="false">H212*I212</f>
        <v>43400</v>
      </c>
      <c r="K212" s="20"/>
      <c r="L212" s="20" t="n">
        <f aca="false">IF(K212&lt;&gt;"",K212,I212)</f>
        <v>700</v>
      </c>
      <c r="M212" s="20" t="n">
        <f aca="false">H212*L212</f>
        <v>43400</v>
      </c>
      <c r="N212" s="22" t="n">
        <f aca="false">M212-G212</f>
        <v>-36952</v>
      </c>
      <c r="O212" s="21" t="n">
        <f aca="false">IF(F212&gt;0,L212/F212-1,"")</f>
        <v>-0.459876543209877</v>
      </c>
      <c r="P212" s="18" t="s">
        <v>30</v>
      </c>
      <c r="Q212" s="18"/>
      <c r="R212" s="18" t="s">
        <v>188</v>
      </c>
    </row>
    <row r="213" customFormat="false" ht="26.85" hidden="false" customHeight="false" outlineLevel="0" collapsed="false">
      <c r="A213" s="17" t="s">
        <v>21</v>
      </c>
      <c r="B213" s="17" t="s">
        <v>563</v>
      </c>
      <c r="C213" s="18" t="s">
        <v>564</v>
      </c>
      <c r="D213" s="17" t="s">
        <v>153</v>
      </c>
      <c r="E213" s="19" t="n">
        <v>62</v>
      </c>
      <c r="F213" s="20" t="n">
        <v>1296</v>
      </c>
      <c r="G213" s="20" t="n">
        <f aca="false">E213*F213</f>
        <v>80352</v>
      </c>
      <c r="H213" s="19" t="n">
        <v>62</v>
      </c>
      <c r="I213" s="20" t="n">
        <v>700</v>
      </c>
      <c r="J213" s="20" t="n">
        <f aca="false">H213*I213</f>
        <v>43400</v>
      </c>
      <c r="K213" s="20"/>
      <c r="L213" s="20" t="n">
        <f aca="false">IF(K213&lt;&gt;"",K213,I213)</f>
        <v>700</v>
      </c>
      <c r="M213" s="20" t="n">
        <f aca="false">H213*L213</f>
        <v>43400</v>
      </c>
      <c r="N213" s="22" t="n">
        <f aca="false">M213-G213</f>
        <v>-36952</v>
      </c>
      <c r="O213" s="21" t="n">
        <f aca="false">IF(F213&gt;0,L213/F213-1,"")</f>
        <v>-0.459876543209877</v>
      </c>
      <c r="P213" s="18" t="s">
        <v>30</v>
      </c>
      <c r="Q213" s="18"/>
      <c r="R213" s="18" t="s">
        <v>188</v>
      </c>
    </row>
    <row r="214" customFormat="false" ht="15" hidden="false" customHeight="false" outlineLevel="0" collapsed="false">
      <c r="A214" s="17" t="s">
        <v>21</v>
      </c>
      <c r="B214" s="17" t="s">
        <v>565</v>
      </c>
      <c r="C214" s="18" t="s">
        <v>566</v>
      </c>
      <c r="D214" s="17" t="s">
        <v>153</v>
      </c>
      <c r="E214" s="19" t="n">
        <v>62</v>
      </c>
      <c r="F214" s="20" t="n">
        <v>1296</v>
      </c>
      <c r="G214" s="20" t="n">
        <f aca="false">E214*F214</f>
        <v>80352</v>
      </c>
      <c r="H214" s="19" t="n">
        <v>62</v>
      </c>
      <c r="I214" s="20" t="n">
        <v>700</v>
      </c>
      <c r="J214" s="20" t="n">
        <f aca="false">H214*I214</f>
        <v>43400</v>
      </c>
      <c r="K214" s="20"/>
      <c r="L214" s="20" t="n">
        <f aca="false">IF(K214&lt;&gt;"",K214,I214)</f>
        <v>700</v>
      </c>
      <c r="M214" s="20" t="n">
        <f aca="false">H214*L214</f>
        <v>43400</v>
      </c>
      <c r="N214" s="22" t="n">
        <f aca="false">M214-G214</f>
        <v>-36952</v>
      </c>
      <c r="O214" s="21" t="n">
        <f aca="false">IF(F214&gt;0,L214/F214-1,"")</f>
        <v>-0.459876543209877</v>
      </c>
      <c r="P214" s="18" t="s">
        <v>30</v>
      </c>
      <c r="Q214" s="18"/>
      <c r="R214" s="18" t="s">
        <v>188</v>
      </c>
    </row>
    <row r="215" customFormat="false" ht="15" hidden="false" customHeight="false" outlineLevel="0" collapsed="false">
      <c r="A215" s="17" t="s">
        <v>21</v>
      </c>
      <c r="B215" s="17" t="s">
        <v>567</v>
      </c>
      <c r="C215" s="18" t="s">
        <v>568</v>
      </c>
      <c r="D215" s="17" t="s">
        <v>153</v>
      </c>
      <c r="E215" s="19" t="n">
        <v>62</v>
      </c>
      <c r="F215" s="20" t="n">
        <v>1296</v>
      </c>
      <c r="G215" s="20" t="n">
        <f aca="false">E215*F215</f>
        <v>80352</v>
      </c>
      <c r="H215" s="19" t="n">
        <v>62</v>
      </c>
      <c r="I215" s="20" t="n">
        <v>700</v>
      </c>
      <c r="J215" s="20" t="n">
        <f aca="false">H215*I215</f>
        <v>43400</v>
      </c>
      <c r="K215" s="20"/>
      <c r="L215" s="20" t="n">
        <f aca="false">IF(K215&lt;&gt;"",K215,I215)</f>
        <v>700</v>
      </c>
      <c r="M215" s="20" t="n">
        <f aca="false">H215*L215</f>
        <v>43400</v>
      </c>
      <c r="N215" s="22" t="n">
        <f aca="false">M215-G215</f>
        <v>-36952</v>
      </c>
      <c r="O215" s="21" t="n">
        <f aca="false">IF(F215&gt;0,L215/F215-1,"")</f>
        <v>-0.459876543209877</v>
      </c>
      <c r="P215" s="18" t="s">
        <v>30</v>
      </c>
      <c r="Q215" s="18"/>
      <c r="R215" s="18" t="s">
        <v>188</v>
      </c>
    </row>
    <row r="216" customFormat="false" ht="15" hidden="false" customHeight="false" outlineLevel="0" collapsed="false">
      <c r="A216" s="17" t="s">
        <v>21</v>
      </c>
      <c r="B216" s="17" t="s">
        <v>569</v>
      </c>
      <c r="C216" s="18" t="s">
        <v>570</v>
      </c>
      <c r="D216" s="17" t="s">
        <v>153</v>
      </c>
      <c r="E216" s="19" t="n">
        <v>62</v>
      </c>
      <c r="F216" s="20" t="n">
        <v>1296</v>
      </c>
      <c r="G216" s="20" t="n">
        <f aca="false">E216*F216</f>
        <v>80352</v>
      </c>
      <c r="H216" s="19" t="n">
        <v>62</v>
      </c>
      <c r="I216" s="20" t="n">
        <v>700</v>
      </c>
      <c r="J216" s="20" t="n">
        <f aca="false">H216*I216</f>
        <v>43400</v>
      </c>
      <c r="K216" s="20"/>
      <c r="L216" s="20" t="n">
        <f aca="false">IF(K216&lt;&gt;"",K216,I216)</f>
        <v>700</v>
      </c>
      <c r="M216" s="20" t="n">
        <f aca="false">H216*L216</f>
        <v>43400</v>
      </c>
      <c r="N216" s="22" t="n">
        <f aca="false">M216-G216</f>
        <v>-36952</v>
      </c>
      <c r="O216" s="21" t="n">
        <f aca="false">IF(F216&gt;0,L216/F216-1,"")</f>
        <v>-0.459876543209877</v>
      </c>
      <c r="P216" s="18" t="s">
        <v>30</v>
      </c>
      <c r="Q216" s="18"/>
      <c r="R216" s="18" t="s">
        <v>188</v>
      </c>
    </row>
    <row r="217" customFormat="false" ht="15" hidden="false" customHeight="false" outlineLevel="0" collapsed="false">
      <c r="A217" s="17" t="s">
        <v>21</v>
      </c>
      <c r="B217" s="17" t="s">
        <v>571</v>
      </c>
      <c r="C217" s="18" t="s">
        <v>572</v>
      </c>
      <c r="D217" s="17" t="s">
        <v>153</v>
      </c>
      <c r="E217" s="19" t="n">
        <v>10</v>
      </c>
      <c r="F217" s="20" t="n">
        <v>1296</v>
      </c>
      <c r="G217" s="20" t="n">
        <f aca="false">E217*F217</f>
        <v>12960</v>
      </c>
      <c r="H217" s="19" t="n">
        <v>10</v>
      </c>
      <c r="I217" s="20" t="n">
        <v>700</v>
      </c>
      <c r="J217" s="20" t="n">
        <f aca="false">H217*I217</f>
        <v>7000</v>
      </c>
      <c r="K217" s="20"/>
      <c r="L217" s="20" t="n">
        <f aca="false">IF(K217&lt;&gt;"",K217,I217)</f>
        <v>700</v>
      </c>
      <c r="M217" s="20" t="n">
        <f aca="false">H217*L217</f>
        <v>7000</v>
      </c>
      <c r="N217" s="22" t="n">
        <f aca="false">M217-G217</f>
        <v>-5960</v>
      </c>
      <c r="O217" s="21" t="n">
        <f aca="false">IF(F217&gt;0,L217/F217-1,"")</f>
        <v>-0.459876543209877</v>
      </c>
      <c r="P217" s="18" t="s">
        <v>30</v>
      </c>
      <c r="Q217" s="18"/>
      <c r="R217" s="18" t="s">
        <v>188</v>
      </c>
    </row>
    <row r="218" customFormat="false" ht="15" hidden="false" customHeight="false" outlineLevel="0" collapsed="false">
      <c r="A218" s="17" t="s">
        <v>21</v>
      </c>
      <c r="B218" s="17" t="s">
        <v>573</v>
      </c>
      <c r="C218" s="18" t="s">
        <v>574</v>
      </c>
      <c r="D218" s="17" t="s">
        <v>153</v>
      </c>
      <c r="E218" s="19" t="n">
        <v>10</v>
      </c>
      <c r="F218" s="20" t="n">
        <v>1296</v>
      </c>
      <c r="G218" s="20" t="n">
        <f aca="false">E218*F218</f>
        <v>12960</v>
      </c>
      <c r="H218" s="19" t="n">
        <v>10</v>
      </c>
      <c r="I218" s="20" t="n">
        <v>700</v>
      </c>
      <c r="J218" s="20" t="n">
        <f aca="false">H218*I218</f>
        <v>7000</v>
      </c>
      <c r="K218" s="20"/>
      <c r="L218" s="20" t="n">
        <f aca="false">IF(K218&lt;&gt;"",K218,I218)</f>
        <v>700</v>
      </c>
      <c r="M218" s="20" t="n">
        <f aca="false">H218*L218</f>
        <v>7000</v>
      </c>
      <c r="N218" s="22" t="n">
        <f aca="false">M218-G218</f>
        <v>-5960</v>
      </c>
      <c r="O218" s="21" t="n">
        <f aca="false">IF(F218&gt;0,L218/F218-1,"")</f>
        <v>-0.459876543209877</v>
      </c>
      <c r="P218" s="18" t="s">
        <v>30</v>
      </c>
      <c r="Q218" s="18"/>
      <c r="R218" s="18" t="s">
        <v>188</v>
      </c>
    </row>
    <row r="219" customFormat="false" ht="15" hidden="false" customHeight="false" outlineLevel="0" collapsed="false">
      <c r="A219" s="17" t="s">
        <v>21</v>
      </c>
      <c r="B219" s="17" t="s">
        <v>575</v>
      </c>
      <c r="C219" s="18" t="s">
        <v>576</v>
      </c>
      <c r="D219" s="17" t="s">
        <v>303</v>
      </c>
      <c r="E219" s="19" t="n">
        <v>90</v>
      </c>
      <c r="F219" s="20" t="n">
        <v>1020</v>
      </c>
      <c r="G219" s="20" t="n">
        <f aca="false">E219*F219</f>
        <v>91800</v>
      </c>
      <c r="H219" s="19" t="n">
        <v>90</v>
      </c>
      <c r="I219" s="20" t="n">
        <v>750</v>
      </c>
      <c r="J219" s="20" t="n">
        <f aca="false">H219*I219</f>
        <v>67500</v>
      </c>
      <c r="K219" s="20"/>
      <c r="L219" s="20" t="n">
        <f aca="false">IF(K219&lt;&gt;"",K219,I219)</f>
        <v>750</v>
      </c>
      <c r="M219" s="20" t="n">
        <f aca="false">H219*L219</f>
        <v>67500</v>
      </c>
      <c r="N219" s="22" t="n">
        <f aca="false">M219-G219</f>
        <v>-24300</v>
      </c>
      <c r="O219" s="21" t="n">
        <f aca="false">IF(F219&gt;0,L219/F219-1,"")</f>
        <v>-0.264705882352941</v>
      </c>
      <c r="P219" s="18" t="s">
        <v>30</v>
      </c>
      <c r="Q219" s="18" t="s">
        <v>268</v>
      </c>
      <c r="R219" s="18" t="s">
        <v>188</v>
      </c>
    </row>
    <row r="220" customFormat="false" ht="15" hidden="false" customHeight="false" outlineLevel="0" collapsed="false">
      <c r="A220" s="17" t="s">
        <v>21</v>
      </c>
      <c r="B220" s="17" t="s">
        <v>577</v>
      </c>
      <c r="C220" s="18" t="s">
        <v>578</v>
      </c>
      <c r="D220" s="17" t="s">
        <v>303</v>
      </c>
      <c r="E220" s="19" t="n">
        <v>35</v>
      </c>
      <c r="F220" s="20" t="n">
        <v>1296</v>
      </c>
      <c r="G220" s="20" t="n">
        <f aca="false">E220*F220</f>
        <v>45360</v>
      </c>
      <c r="H220" s="19" t="n">
        <v>35</v>
      </c>
      <c r="I220" s="20" t="n">
        <v>900</v>
      </c>
      <c r="J220" s="20" t="n">
        <f aca="false">H220*I220</f>
        <v>31500</v>
      </c>
      <c r="K220" s="20"/>
      <c r="L220" s="20" t="n">
        <f aca="false">IF(K220&lt;&gt;"",K220,I220)</f>
        <v>900</v>
      </c>
      <c r="M220" s="20" t="n">
        <f aca="false">H220*L220</f>
        <v>31500</v>
      </c>
      <c r="N220" s="22" t="n">
        <f aca="false">M220-G220</f>
        <v>-13860</v>
      </c>
      <c r="O220" s="21" t="n">
        <f aca="false">IF(F220&gt;0,L220/F220-1,"")</f>
        <v>-0.305555555555556</v>
      </c>
      <c r="P220" s="18" t="s">
        <v>30</v>
      </c>
      <c r="Q220" s="18" t="s">
        <v>268</v>
      </c>
      <c r="R220" s="18" t="s">
        <v>188</v>
      </c>
    </row>
    <row r="221" customFormat="false" ht="15" hidden="false" customHeight="false" outlineLevel="0" collapsed="false">
      <c r="A221" s="17" t="s">
        <v>21</v>
      </c>
      <c r="B221" s="17" t="s">
        <v>579</v>
      </c>
      <c r="C221" s="18" t="s">
        <v>580</v>
      </c>
      <c r="D221" s="17" t="s">
        <v>303</v>
      </c>
      <c r="E221" s="19" t="n">
        <v>40</v>
      </c>
      <c r="F221" s="20" t="n">
        <v>1296</v>
      </c>
      <c r="G221" s="20" t="n">
        <f aca="false">E221*F221</f>
        <v>51840</v>
      </c>
      <c r="H221" s="19" t="n">
        <v>40</v>
      </c>
      <c r="I221" s="20" t="n">
        <v>950</v>
      </c>
      <c r="J221" s="20" t="n">
        <f aca="false">H221*I221</f>
        <v>38000</v>
      </c>
      <c r="K221" s="20"/>
      <c r="L221" s="20" t="n">
        <f aca="false">IF(K221&lt;&gt;"",K221,I221)</f>
        <v>950</v>
      </c>
      <c r="M221" s="20" t="n">
        <f aca="false">H221*L221</f>
        <v>38000</v>
      </c>
      <c r="N221" s="22" t="n">
        <f aca="false">M221-G221</f>
        <v>-13840</v>
      </c>
      <c r="O221" s="21" t="n">
        <f aca="false">IF(F221&gt;0,L221/F221-1,"")</f>
        <v>-0.266975308641975</v>
      </c>
      <c r="P221" s="18" t="s">
        <v>30</v>
      </c>
      <c r="Q221" s="18" t="s">
        <v>268</v>
      </c>
      <c r="R221" s="18" t="s">
        <v>188</v>
      </c>
    </row>
    <row r="222" customFormat="false" ht="26.85" hidden="false" customHeight="false" outlineLevel="0" collapsed="false">
      <c r="A222" s="17" t="s">
        <v>21</v>
      </c>
      <c r="B222" s="17" t="s">
        <v>581</v>
      </c>
      <c r="C222" s="18" t="s">
        <v>582</v>
      </c>
      <c r="D222" s="17" t="s">
        <v>303</v>
      </c>
      <c r="E222" s="19" t="n">
        <v>90</v>
      </c>
      <c r="F222" s="20" t="n">
        <v>291.6</v>
      </c>
      <c r="G222" s="20" t="n">
        <f aca="false">E222*F222</f>
        <v>26244</v>
      </c>
      <c r="H222" s="19" t="n">
        <v>90</v>
      </c>
      <c r="I222" s="20" t="n">
        <v>200</v>
      </c>
      <c r="J222" s="20" t="n">
        <f aca="false">H222*I222</f>
        <v>18000</v>
      </c>
      <c r="K222" s="20"/>
      <c r="L222" s="20" t="n">
        <f aca="false">IF(K222&lt;&gt;"",K222,I222)</f>
        <v>200</v>
      </c>
      <c r="M222" s="20" t="n">
        <f aca="false">H222*L222</f>
        <v>18000</v>
      </c>
      <c r="N222" s="22" t="n">
        <f aca="false">M222-G222</f>
        <v>-8244</v>
      </c>
      <c r="O222" s="21" t="n">
        <f aca="false">IF(F222&gt;0,L222/F222-1,"")</f>
        <v>-0.314128943758574</v>
      </c>
      <c r="P222" s="18" t="s">
        <v>30</v>
      </c>
      <c r="Q222" s="18" t="s">
        <v>268</v>
      </c>
      <c r="R222" s="18" t="s">
        <v>188</v>
      </c>
    </row>
    <row r="223" customFormat="false" ht="26.85" hidden="false" customHeight="false" outlineLevel="0" collapsed="false">
      <c r="A223" s="17" t="s">
        <v>21</v>
      </c>
      <c r="B223" s="17" t="s">
        <v>583</v>
      </c>
      <c r="C223" s="18" t="s">
        <v>584</v>
      </c>
      <c r="D223" s="17" t="s">
        <v>303</v>
      </c>
      <c r="E223" s="19" t="n">
        <v>35</v>
      </c>
      <c r="F223" s="20" t="n">
        <v>291.6</v>
      </c>
      <c r="G223" s="20" t="n">
        <f aca="false">E223*F223</f>
        <v>10206</v>
      </c>
      <c r="H223" s="19" t="n">
        <v>35</v>
      </c>
      <c r="I223" s="20" t="n">
        <v>260</v>
      </c>
      <c r="J223" s="20" t="n">
        <f aca="false">H223*I223</f>
        <v>9100</v>
      </c>
      <c r="K223" s="20"/>
      <c r="L223" s="20" t="n">
        <f aca="false">IF(K223&lt;&gt;"",K223,I223)</f>
        <v>260</v>
      </c>
      <c r="M223" s="20" t="n">
        <f aca="false">H223*L223</f>
        <v>9100</v>
      </c>
      <c r="N223" s="22" t="n">
        <f aca="false">M223-G223</f>
        <v>-1106</v>
      </c>
      <c r="O223" s="21" t="n">
        <f aca="false">IF(F223&gt;0,L223/F223-1,"")</f>
        <v>-0.108367626886145</v>
      </c>
      <c r="P223" s="18" t="s">
        <v>30</v>
      </c>
      <c r="Q223" s="18" t="s">
        <v>268</v>
      </c>
      <c r="R223" s="18" t="s">
        <v>188</v>
      </c>
    </row>
    <row r="224" customFormat="false" ht="26.85" hidden="false" customHeight="false" outlineLevel="0" collapsed="false">
      <c r="A224" s="17" t="s">
        <v>21</v>
      </c>
      <c r="B224" s="17" t="s">
        <v>585</v>
      </c>
      <c r="C224" s="18" t="s">
        <v>586</v>
      </c>
      <c r="D224" s="17" t="s">
        <v>303</v>
      </c>
      <c r="E224" s="19" t="n">
        <v>40</v>
      </c>
      <c r="F224" s="20" t="n">
        <v>291.6</v>
      </c>
      <c r="G224" s="20" t="n">
        <f aca="false">E224*F224</f>
        <v>11664</v>
      </c>
      <c r="H224" s="19" t="n">
        <v>40</v>
      </c>
      <c r="I224" s="20" t="n">
        <v>260</v>
      </c>
      <c r="J224" s="20" t="n">
        <f aca="false">H224*I224</f>
        <v>10400</v>
      </c>
      <c r="K224" s="20"/>
      <c r="L224" s="20" t="n">
        <f aca="false">IF(K224&lt;&gt;"",K224,I224)</f>
        <v>260</v>
      </c>
      <c r="M224" s="20" t="n">
        <f aca="false">H224*L224</f>
        <v>10400</v>
      </c>
      <c r="N224" s="22" t="n">
        <f aca="false">M224-G224</f>
        <v>-1264</v>
      </c>
      <c r="O224" s="21" t="n">
        <f aca="false">IF(F224&gt;0,L224/F224-1,"")</f>
        <v>-0.108367626886145</v>
      </c>
      <c r="P224" s="18" t="s">
        <v>30</v>
      </c>
      <c r="Q224" s="18" t="s">
        <v>268</v>
      </c>
      <c r="R224" s="18" t="s">
        <v>188</v>
      </c>
    </row>
    <row r="225" customFormat="false" ht="15" hidden="false" customHeight="false" outlineLevel="0" collapsed="false">
      <c r="A225" s="17" t="s">
        <v>21</v>
      </c>
      <c r="B225" s="17" t="s">
        <v>587</v>
      </c>
      <c r="C225" s="18" t="s">
        <v>588</v>
      </c>
      <c r="D225" s="17" t="s">
        <v>153</v>
      </c>
      <c r="E225" s="19" t="n">
        <v>20</v>
      </c>
      <c r="F225" s="20" t="n">
        <v>1020</v>
      </c>
      <c r="G225" s="20" t="n">
        <f aca="false">E225*F225</f>
        <v>20400</v>
      </c>
      <c r="H225" s="19" t="n">
        <v>20</v>
      </c>
      <c r="I225" s="20" t="n">
        <v>520</v>
      </c>
      <c r="J225" s="20" t="n">
        <f aca="false">H225*I225</f>
        <v>10400</v>
      </c>
      <c r="K225" s="20"/>
      <c r="L225" s="20" t="n">
        <f aca="false">IF(K225&lt;&gt;"",K225,I225)</f>
        <v>520</v>
      </c>
      <c r="M225" s="20" t="n">
        <f aca="false">H225*L225</f>
        <v>10400</v>
      </c>
      <c r="N225" s="22" t="n">
        <f aca="false">M225-G225</f>
        <v>-10000</v>
      </c>
      <c r="O225" s="21" t="n">
        <f aca="false">IF(F225&gt;0,L225/F225-1,"")</f>
        <v>-0.490196078431373</v>
      </c>
      <c r="P225" s="18" t="s">
        <v>30</v>
      </c>
      <c r="Q225" s="18"/>
      <c r="R225" s="18" t="s">
        <v>188</v>
      </c>
    </row>
    <row r="226" customFormat="false" ht="15" hidden="false" customHeight="false" outlineLevel="0" collapsed="false">
      <c r="A226" s="17" t="s">
        <v>21</v>
      </c>
      <c r="B226" s="17" t="s">
        <v>589</v>
      </c>
      <c r="C226" s="18" t="s">
        <v>590</v>
      </c>
      <c r="D226" s="17" t="s">
        <v>153</v>
      </c>
      <c r="E226" s="19" t="n">
        <v>2</v>
      </c>
      <c r="F226" s="20" t="n">
        <v>1020</v>
      </c>
      <c r="G226" s="20" t="n">
        <f aca="false">E226*F226</f>
        <v>2040</v>
      </c>
      <c r="H226" s="19" t="n">
        <v>2</v>
      </c>
      <c r="I226" s="20" t="n">
        <v>520</v>
      </c>
      <c r="J226" s="20" t="n">
        <f aca="false">H226*I226</f>
        <v>1040</v>
      </c>
      <c r="K226" s="20"/>
      <c r="L226" s="20" t="n">
        <f aca="false">IF(K226&lt;&gt;"",K226,I226)</f>
        <v>520</v>
      </c>
      <c r="M226" s="20" t="n">
        <f aca="false">H226*L226</f>
        <v>1040</v>
      </c>
      <c r="N226" s="22" t="n">
        <f aca="false">M226-G226</f>
        <v>-1000</v>
      </c>
      <c r="O226" s="21" t="n">
        <f aca="false">IF(F226&gt;0,L226/F226-1,"")</f>
        <v>-0.490196078431373</v>
      </c>
      <c r="P226" s="18" t="s">
        <v>30</v>
      </c>
      <c r="Q226" s="18"/>
      <c r="R226" s="18" t="s">
        <v>188</v>
      </c>
    </row>
    <row r="227" customFormat="false" ht="15" hidden="false" customHeight="false" outlineLevel="0" collapsed="false">
      <c r="A227" s="17" t="s">
        <v>21</v>
      </c>
      <c r="B227" s="17" t="s">
        <v>591</v>
      </c>
      <c r="C227" s="18" t="s">
        <v>592</v>
      </c>
      <c r="D227" s="17" t="s">
        <v>153</v>
      </c>
      <c r="E227" s="19" t="n">
        <v>3</v>
      </c>
      <c r="F227" s="20" t="n">
        <v>1020</v>
      </c>
      <c r="G227" s="20" t="n">
        <f aca="false">E227*F227</f>
        <v>3060</v>
      </c>
      <c r="H227" s="19" t="n">
        <v>3</v>
      </c>
      <c r="I227" s="20" t="n">
        <v>520</v>
      </c>
      <c r="J227" s="20" t="n">
        <f aca="false">H227*I227</f>
        <v>1560</v>
      </c>
      <c r="K227" s="20"/>
      <c r="L227" s="20" t="n">
        <f aca="false">IF(K227&lt;&gt;"",K227,I227)</f>
        <v>520</v>
      </c>
      <c r="M227" s="20" t="n">
        <f aca="false">H227*L227</f>
        <v>1560</v>
      </c>
      <c r="N227" s="22" t="n">
        <f aca="false">M227-G227</f>
        <v>-1500</v>
      </c>
      <c r="O227" s="21" t="n">
        <f aca="false">IF(F227&gt;0,L227/F227-1,"")</f>
        <v>-0.490196078431373</v>
      </c>
      <c r="P227" s="18" t="s">
        <v>30</v>
      </c>
      <c r="Q227" s="18"/>
      <c r="R227" s="18" t="s">
        <v>188</v>
      </c>
    </row>
    <row r="228" customFormat="false" ht="15" hidden="false" customHeight="false" outlineLevel="0" collapsed="false">
      <c r="A228" s="17" t="s">
        <v>21</v>
      </c>
      <c r="B228" s="17" t="s">
        <v>593</v>
      </c>
      <c r="C228" s="18" t="s">
        <v>594</v>
      </c>
      <c r="D228" s="17" t="s">
        <v>153</v>
      </c>
      <c r="E228" s="19" t="n">
        <v>15</v>
      </c>
      <c r="F228" s="20" t="n">
        <v>1020</v>
      </c>
      <c r="G228" s="20" t="n">
        <f aca="false">E228*F228</f>
        <v>15300</v>
      </c>
      <c r="H228" s="19" t="n">
        <v>15</v>
      </c>
      <c r="I228" s="20" t="n">
        <v>520</v>
      </c>
      <c r="J228" s="20" t="n">
        <f aca="false">H228*I228</f>
        <v>7800</v>
      </c>
      <c r="K228" s="20"/>
      <c r="L228" s="20" t="n">
        <f aca="false">IF(K228&lt;&gt;"",K228,I228)</f>
        <v>520</v>
      </c>
      <c r="M228" s="20" t="n">
        <f aca="false">H228*L228</f>
        <v>7800</v>
      </c>
      <c r="N228" s="22" t="n">
        <f aca="false">M228-G228</f>
        <v>-7500</v>
      </c>
      <c r="O228" s="21" t="n">
        <f aca="false">IF(F228&gt;0,L228/F228-1,"")</f>
        <v>-0.490196078431373</v>
      </c>
      <c r="P228" s="18" t="s">
        <v>30</v>
      </c>
      <c r="Q228" s="18"/>
      <c r="R228" s="18" t="s">
        <v>188</v>
      </c>
    </row>
    <row r="229" customFormat="false" ht="15" hidden="false" customHeight="false" outlineLevel="0" collapsed="false">
      <c r="A229" s="17" t="s">
        <v>21</v>
      </c>
      <c r="B229" s="17" t="s">
        <v>595</v>
      </c>
      <c r="C229" s="18" t="s">
        <v>596</v>
      </c>
      <c r="D229" s="17" t="s">
        <v>153</v>
      </c>
      <c r="E229" s="19" t="n">
        <v>2</v>
      </c>
      <c r="F229" s="20" t="n">
        <v>1020</v>
      </c>
      <c r="G229" s="20" t="n">
        <f aca="false">E229*F229</f>
        <v>2040</v>
      </c>
      <c r="H229" s="19" t="n">
        <v>2</v>
      </c>
      <c r="I229" s="20" t="n">
        <v>520</v>
      </c>
      <c r="J229" s="20" t="n">
        <f aca="false">H229*I229</f>
        <v>1040</v>
      </c>
      <c r="K229" s="20"/>
      <c r="L229" s="20" t="n">
        <f aca="false">IF(K229&lt;&gt;"",K229,I229)</f>
        <v>520</v>
      </c>
      <c r="M229" s="20" t="n">
        <f aca="false">H229*L229</f>
        <v>1040</v>
      </c>
      <c r="N229" s="22" t="n">
        <f aca="false">M229-G229</f>
        <v>-1000</v>
      </c>
      <c r="O229" s="21" t="n">
        <f aca="false">IF(F229&gt;0,L229/F229-1,"")</f>
        <v>-0.490196078431373</v>
      </c>
      <c r="P229" s="18" t="s">
        <v>30</v>
      </c>
      <c r="Q229" s="18"/>
      <c r="R229" s="18" t="s">
        <v>188</v>
      </c>
    </row>
    <row r="230" customFormat="false" ht="15" hidden="false" customHeight="false" outlineLevel="0" collapsed="false">
      <c r="A230" s="17" t="s">
        <v>21</v>
      </c>
      <c r="B230" s="17" t="s">
        <v>597</v>
      </c>
      <c r="C230" s="18" t="s">
        <v>598</v>
      </c>
      <c r="D230" s="17" t="s">
        <v>153</v>
      </c>
      <c r="E230" s="19" t="n">
        <v>30</v>
      </c>
      <c r="F230" s="20" t="n">
        <v>1020</v>
      </c>
      <c r="G230" s="20" t="n">
        <f aca="false">E230*F230</f>
        <v>30600</v>
      </c>
      <c r="H230" s="19" t="n">
        <v>30</v>
      </c>
      <c r="I230" s="20" t="n">
        <v>520</v>
      </c>
      <c r="J230" s="20" t="n">
        <f aca="false">H230*I230</f>
        <v>15600</v>
      </c>
      <c r="K230" s="20"/>
      <c r="L230" s="20" t="n">
        <f aca="false">IF(K230&lt;&gt;"",K230,I230)</f>
        <v>520</v>
      </c>
      <c r="M230" s="20" t="n">
        <f aca="false">H230*L230</f>
        <v>15600</v>
      </c>
      <c r="N230" s="22" t="n">
        <f aca="false">M230-G230</f>
        <v>-15000</v>
      </c>
      <c r="O230" s="21" t="n">
        <f aca="false">IF(F230&gt;0,L230/F230-1,"")</f>
        <v>-0.490196078431373</v>
      </c>
      <c r="P230" s="18" t="s">
        <v>30</v>
      </c>
      <c r="Q230" s="18"/>
      <c r="R230" s="18" t="s">
        <v>188</v>
      </c>
    </row>
    <row r="231" customFormat="false" ht="15" hidden="false" customHeight="false" outlineLevel="0" collapsed="false">
      <c r="A231" s="17" t="s">
        <v>21</v>
      </c>
      <c r="B231" s="17" t="s">
        <v>599</v>
      </c>
      <c r="C231" s="18" t="s">
        <v>600</v>
      </c>
      <c r="D231" s="17" t="s">
        <v>153</v>
      </c>
      <c r="E231" s="19" t="n">
        <v>1</v>
      </c>
      <c r="F231" s="20" t="n">
        <v>1020</v>
      </c>
      <c r="G231" s="20" t="n">
        <f aca="false">E231*F231</f>
        <v>1020</v>
      </c>
      <c r="H231" s="19" t="n">
        <v>1</v>
      </c>
      <c r="I231" s="20" t="n">
        <v>520</v>
      </c>
      <c r="J231" s="20" t="n">
        <f aca="false">H231*I231</f>
        <v>520</v>
      </c>
      <c r="K231" s="20"/>
      <c r="L231" s="20" t="n">
        <f aca="false">IF(K231&lt;&gt;"",K231,I231)</f>
        <v>520</v>
      </c>
      <c r="M231" s="20" t="n">
        <f aca="false">H231*L231</f>
        <v>520</v>
      </c>
      <c r="N231" s="22" t="n">
        <f aca="false">M231-G231</f>
        <v>-500</v>
      </c>
      <c r="O231" s="21" t="n">
        <f aca="false">IF(F231&gt;0,L231/F231-1,"")</f>
        <v>-0.490196078431373</v>
      </c>
      <c r="P231" s="18" t="s">
        <v>30</v>
      </c>
      <c r="Q231" s="18"/>
      <c r="R231" s="18" t="s">
        <v>188</v>
      </c>
    </row>
    <row r="232" customFormat="false" ht="15" hidden="false" customHeight="false" outlineLevel="0" collapsed="false">
      <c r="A232" s="17" t="s">
        <v>21</v>
      </c>
      <c r="B232" s="17" t="s">
        <v>601</v>
      </c>
      <c r="C232" s="18" t="s">
        <v>602</v>
      </c>
      <c r="D232" s="17" t="s">
        <v>153</v>
      </c>
      <c r="E232" s="19" t="n">
        <v>6</v>
      </c>
      <c r="F232" s="20" t="n">
        <v>1020</v>
      </c>
      <c r="G232" s="20" t="n">
        <f aca="false">E232*F232</f>
        <v>6120</v>
      </c>
      <c r="H232" s="19" t="n">
        <v>6</v>
      </c>
      <c r="I232" s="20" t="n">
        <v>520</v>
      </c>
      <c r="J232" s="20" t="n">
        <f aca="false">H232*I232</f>
        <v>3120</v>
      </c>
      <c r="K232" s="20"/>
      <c r="L232" s="20" t="n">
        <f aca="false">IF(K232&lt;&gt;"",K232,I232)</f>
        <v>520</v>
      </c>
      <c r="M232" s="20" t="n">
        <f aca="false">H232*L232</f>
        <v>3120</v>
      </c>
      <c r="N232" s="22" t="n">
        <f aca="false">M232-G232</f>
        <v>-3000</v>
      </c>
      <c r="O232" s="21" t="n">
        <f aca="false">IF(F232&gt;0,L232/F232-1,"")</f>
        <v>-0.490196078431373</v>
      </c>
      <c r="P232" s="18" t="s">
        <v>30</v>
      </c>
      <c r="Q232" s="18"/>
      <c r="R232" s="18" t="s">
        <v>188</v>
      </c>
    </row>
    <row r="233" customFormat="false" ht="15" hidden="false" customHeight="false" outlineLevel="0" collapsed="false">
      <c r="A233" s="17" t="s">
        <v>21</v>
      </c>
      <c r="B233" s="17" t="s">
        <v>603</v>
      </c>
      <c r="C233" s="18" t="s">
        <v>604</v>
      </c>
      <c r="D233" s="17" t="s">
        <v>153</v>
      </c>
      <c r="E233" s="19" t="n">
        <v>2</v>
      </c>
      <c r="F233" s="20" t="n">
        <v>1020</v>
      </c>
      <c r="G233" s="20" t="n">
        <f aca="false">E233*F233</f>
        <v>2040</v>
      </c>
      <c r="H233" s="19" t="n">
        <v>2</v>
      </c>
      <c r="I233" s="20" t="n">
        <v>520</v>
      </c>
      <c r="J233" s="20" t="n">
        <f aca="false">H233*I233</f>
        <v>1040</v>
      </c>
      <c r="K233" s="20"/>
      <c r="L233" s="20" t="n">
        <f aca="false">IF(K233&lt;&gt;"",K233,I233)</f>
        <v>520</v>
      </c>
      <c r="M233" s="20" t="n">
        <f aca="false">H233*L233</f>
        <v>1040</v>
      </c>
      <c r="N233" s="22" t="n">
        <f aca="false">M233-G233</f>
        <v>-1000</v>
      </c>
      <c r="O233" s="21" t="n">
        <f aca="false">IF(F233&gt;0,L233/F233-1,"")</f>
        <v>-0.490196078431373</v>
      </c>
      <c r="P233" s="18" t="s">
        <v>30</v>
      </c>
      <c r="Q233" s="18"/>
      <c r="R233" s="18" t="s">
        <v>188</v>
      </c>
    </row>
    <row r="234" customFormat="false" ht="15" hidden="false" customHeight="false" outlineLevel="0" collapsed="false">
      <c r="A234" s="17" t="s">
        <v>21</v>
      </c>
      <c r="B234" s="17" t="s">
        <v>605</v>
      </c>
      <c r="C234" s="18" t="s">
        <v>606</v>
      </c>
      <c r="D234" s="17" t="s">
        <v>153</v>
      </c>
      <c r="E234" s="19" t="n">
        <v>75</v>
      </c>
      <c r="F234" s="20" t="n">
        <v>1020</v>
      </c>
      <c r="G234" s="20" t="n">
        <f aca="false">E234*F234</f>
        <v>76500</v>
      </c>
      <c r="H234" s="19" t="n">
        <v>75</v>
      </c>
      <c r="I234" s="20" t="n">
        <v>740</v>
      </c>
      <c r="J234" s="20" t="n">
        <f aca="false">H234*I234</f>
        <v>55500</v>
      </c>
      <c r="K234" s="20"/>
      <c r="L234" s="20" t="n">
        <f aca="false">IF(K234&lt;&gt;"",K234,I234)</f>
        <v>740</v>
      </c>
      <c r="M234" s="20" t="n">
        <f aca="false">H234*L234</f>
        <v>55500</v>
      </c>
      <c r="N234" s="22" t="n">
        <f aca="false">M234-G234</f>
        <v>-21000</v>
      </c>
      <c r="O234" s="21" t="n">
        <f aca="false">IF(F234&gt;0,L234/F234-1,"")</f>
        <v>-0.274509803921569</v>
      </c>
      <c r="P234" s="18" t="s">
        <v>30</v>
      </c>
      <c r="Q234" s="18"/>
      <c r="R234" s="18" t="s">
        <v>188</v>
      </c>
    </row>
    <row r="235" customFormat="false" ht="15" hidden="false" customHeight="false" outlineLevel="0" collapsed="false">
      <c r="A235" s="17" t="s">
        <v>21</v>
      </c>
      <c r="B235" s="17" t="s">
        <v>607</v>
      </c>
      <c r="C235" s="18" t="s">
        <v>608</v>
      </c>
      <c r="D235" s="17" t="s">
        <v>153</v>
      </c>
      <c r="E235" s="19" t="n">
        <v>8</v>
      </c>
      <c r="F235" s="20" t="n">
        <v>1020</v>
      </c>
      <c r="G235" s="20" t="n">
        <f aca="false">E235*F235</f>
        <v>8160</v>
      </c>
      <c r="H235" s="19" t="n">
        <v>8</v>
      </c>
      <c r="I235" s="20" t="n">
        <v>740</v>
      </c>
      <c r="J235" s="20" t="n">
        <f aca="false">H235*I235</f>
        <v>5920</v>
      </c>
      <c r="K235" s="20"/>
      <c r="L235" s="20" t="n">
        <f aca="false">IF(K235&lt;&gt;"",K235,I235)</f>
        <v>740</v>
      </c>
      <c r="M235" s="20" t="n">
        <f aca="false">H235*L235</f>
        <v>5920</v>
      </c>
      <c r="N235" s="22" t="n">
        <f aca="false">M235-G235</f>
        <v>-2240</v>
      </c>
      <c r="O235" s="21" t="n">
        <f aca="false">IF(F235&gt;0,L235/F235-1,"")</f>
        <v>-0.274509803921569</v>
      </c>
      <c r="P235" s="18" t="s">
        <v>30</v>
      </c>
      <c r="Q235" s="18"/>
      <c r="R235" s="18" t="s">
        <v>188</v>
      </c>
    </row>
    <row r="236" customFormat="false" ht="26.85" hidden="false" customHeight="false" outlineLevel="0" collapsed="false">
      <c r="A236" s="17" t="s">
        <v>21</v>
      </c>
      <c r="B236" s="17" t="s">
        <v>609</v>
      </c>
      <c r="C236" s="18" t="s">
        <v>610</v>
      </c>
      <c r="D236" s="17" t="s">
        <v>153</v>
      </c>
      <c r="E236" s="19" t="n">
        <v>75</v>
      </c>
      <c r="F236" s="20" t="n">
        <v>1020</v>
      </c>
      <c r="G236" s="20" t="n">
        <f aca="false">E236*F236</f>
        <v>76500</v>
      </c>
      <c r="H236" s="19" t="n">
        <v>75</v>
      </c>
      <c r="I236" s="20" t="n">
        <v>200</v>
      </c>
      <c r="J236" s="20" t="n">
        <f aca="false">H236*I236</f>
        <v>15000</v>
      </c>
      <c r="K236" s="20"/>
      <c r="L236" s="20" t="n">
        <f aca="false">IF(K236&lt;&gt;"",K236,I236)</f>
        <v>200</v>
      </c>
      <c r="M236" s="20" t="n">
        <f aca="false">H236*L236</f>
        <v>15000</v>
      </c>
      <c r="N236" s="22" t="n">
        <f aca="false">M236-G236</f>
        <v>-61500</v>
      </c>
      <c r="O236" s="21" t="n">
        <f aca="false">IF(F236&gt;0,L236/F236-1,"")</f>
        <v>-0.803921568627451</v>
      </c>
      <c r="P236" s="18" t="s">
        <v>30</v>
      </c>
      <c r="Q236" s="18" t="s">
        <v>268</v>
      </c>
      <c r="R236" s="18" t="s">
        <v>188</v>
      </c>
    </row>
    <row r="237" customFormat="false" ht="26.85" hidden="false" customHeight="false" outlineLevel="0" collapsed="false">
      <c r="A237" s="17" t="s">
        <v>21</v>
      </c>
      <c r="B237" s="17" t="s">
        <v>611</v>
      </c>
      <c r="C237" s="18" t="s">
        <v>612</v>
      </c>
      <c r="D237" s="17" t="s">
        <v>153</v>
      </c>
      <c r="E237" s="19" t="n">
        <v>8</v>
      </c>
      <c r="F237" s="20" t="n">
        <v>1020</v>
      </c>
      <c r="G237" s="20" t="n">
        <f aca="false">E237*F237</f>
        <v>8160</v>
      </c>
      <c r="H237" s="19" t="n">
        <v>8</v>
      </c>
      <c r="I237" s="20" t="n">
        <v>260</v>
      </c>
      <c r="J237" s="20" t="n">
        <f aca="false">H237*I237</f>
        <v>2080</v>
      </c>
      <c r="K237" s="20"/>
      <c r="L237" s="20" t="n">
        <f aca="false">IF(K237&lt;&gt;"",K237,I237)</f>
        <v>260</v>
      </c>
      <c r="M237" s="20" t="n">
        <f aca="false">H237*L237</f>
        <v>2080</v>
      </c>
      <c r="N237" s="22" t="n">
        <f aca="false">M237-G237</f>
        <v>-6080</v>
      </c>
      <c r="O237" s="21" t="n">
        <f aca="false">IF(F237&gt;0,L237/F237-1,"")</f>
        <v>-0.745098039215686</v>
      </c>
      <c r="P237" s="18" t="s">
        <v>30</v>
      </c>
      <c r="Q237" s="18" t="s">
        <v>268</v>
      </c>
      <c r="R237" s="18" t="s">
        <v>188</v>
      </c>
    </row>
    <row r="238" customFormat="false" ht="26.85" hidden="false" customHeight="false" outlineLevel="0" collapsed="false">
      <c r="A238" s="17" t="s">
        <v>21</v>
      </c>
      <c r="B238" s="17" t="s">
        <v>613</v>
      </c>
      <c r="C238" s="18" t="s">
        <v>614</v>
      </c>
      <c r="D238" s="17" t="s">
        <v>303</v>
      </c>
      <c r="E238" s="19" t="n">
        <v>100</v>
      </c>
      <c r="F238" s="20" t="n">
        <v>1092</v>
      </c>
      <c r="G238" s="20" t="n">
        <f aca="false">E238*F238</f>
        <v>109200</v>
      </c>
      <c r="H238" s="19" t="n">
        <v>0</v>
      </c>
      <c r="I238" s="20"/>
      <c r="J238" s="20" t="n">
        <f aca="false">H238*I238</f>
        <v>0</v>
      </c>
      <c r="K238" s="20"/>
      <c r="L238" s="20" t="n">
        <f aca="false">IF(K238&lt;&gt;"",K238,I238)</f>
        <v>0</v>
      </c>
      <c r="M238" s="20" t="n">
        <f aca="false">H238*L238</f>
        <v>0</v>
      </c>
      <c r="N238" s="22" t="n">
        <f aca="false">M238-G238</f>
        <v>-109200</v>
      </c>
      <c r="O238" s="21" t="n">
        <f aca="false">IF(F238&gt;0,L238/F238-1,"")</f>
        <v>-1</v>
      </c>
      <c r="P238" s="18" t="s">
        <v>32</v>
      </c>
      <c r="Q238" s="18"/>
      <c r="R238" s="18"/>
    </row>
    <row r="239" customFormat="false" ht="15" hidden="false" customHeight="false" outlineLevel="0" collapsed="false">
      <c r="A239" s="17" t="s">
        <v>21</v>
      </c>
      <c r="B239" s="17" t="s">
        <v>615</v>
      </c>
      <c r="C239" s="18" t="s">
        <v>616</v>
      </c>
      <c r="D239" s="17" t="s">
        <v>297</v>
      </c>
      <c r="E239" s="19" t="n">
        <v>1</v>
      </c>
      <c r="F239" s="20" t="n">
        <v>162000</v>
      </c>
      <c r="G239" s="20" t="n">
        <f aca="false">E239*F239</f>
        <v>162000</v>
      </c>
      <c r="H239" s="19" t="n">
        <v>1</v>
      </c>
      <c r="I239" s="20" t="n">
        <v>120000</v>
      </c>
      <c r="J239" s="20" t="n">
        <f aca="false">H239*I239</f>
        <v>120000</v>
      </c>
      <c r="K239" s="20"/>
      <c r="L239" s="20" t="n">
        <f aca="false">IF(K239&lt;&gt;"",K239,I239)</f>
        <v>120000</v>
      </c>
      <c r="M239" s="20" t="n">
        <f aca="false">H239*L239</f>
        <v>120000</v>
      </c>
      <c r="N239" s="22" t="n">
        <f aca="false">M239-G239</f>
        <v>-42000</v>
      </c>
      <c r="O239" s="21" t="n">
        <f aca="false">IF(F239&gt;0,L239/F239-1,"")</f>
        <v>-0.259259259259259</v>
      </c>
      <c r="P239" s="18" t="s">
        <v>30</v>
      </c>
      <c r="Q239" s="18" t="s">
        <v>534</v>
      </c>
      <c r="R239" s="18"/>
    </row>
    <row r="240" customFormat="false" ht="15" hidden="false" customHeight="false" outlineLevel="0" collapsed="false">
      <c r="A240" s="40"/>
      <c r="B240" s="41" t="s">
        <v>22</v>
      </c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</row>
    <row r="241" customFormat="false" ht="26.85" hidden="false" customHeight="false" outlineLevel="0" collapsed="false">
      <c r="A241" s="23" t="s">
        <v>22</v>
      </c>
      <c r="B241" s="23" t="s">
        <v>617</v>
      </c>
      <c r="C241" s="24" t="s">
        <v>363</v>
      </c>
      <c r="D241" s="23" t="s">
        <v>153</v>
      </c>
      <c r="E241" s="25" t="n">
        <v>3</v>
      </c>
      <c r="F241" s="26" t="n">
        <v>1296</v>
      </c>
      <c r="G241" s="26" t="n">
        <f aca="false">E241*F241</f>
        <v>3888</v>
      </c>
      <c r="H241" s="25" t="n">
        <v>3</v>
      </c>
      <c r="I241" s="26" t="n">
        <v>1296</v>
      </c>
      <c r="J241" s="26" t="n">
        <f aca="false">H241*I241</f>
        <v>3888</v>
      </c>
      <c r="K241" s="26" t="n">
        <v>185</v>
      </c>
      <c r="L241" s="26" t="n">
        <f aca="false">IF(K241&lt;&gt;"",K241,I241)</f>
        <v>185</v>
      </c>
      <c r="M241" s="26" t="n">
        <f aca="false">H241*L241</f>
        <v>555</v>
      </c>
      <c r="N241" s="28" t="n">
        <f aca="false">M241-G241</f>
        <v>-3333</v>
      </c>
      <c r="O241" s="27" t="n">
        <f aca="false">IF(F241&gt;0,L241/F241-1,"")</f>
        <v>-0.857253086419753</v>
      </c>
      <c r="P241" s="24" t="s">
        <v>35</v>
      </c>
      <c r="Q241" s="24" t="s">
        <v>268</v>
      </c>
      <c r="R241" s="24"/>
    </row>
    <row r="242" customFormat="false" ht="26.85" hidden="false" customHeight="false" outlineLevel="0" collapsed="false">
      <c r="A242" s="23" t="s">
        <v>22</v>
      </c>
      <c r="B242" s="23" t="s">
        <v>618</v>
      </c>
      <c r="C242" s="24" t="s">
        <v>619</v>
      </c>
      <c r="D242" s="23" t="s">
        <v>153</v>
      </c>
      <c r="E242" s="25" t="n">
        <v>1</v>
      </c>
      <c r="F242" s="26" t="n">
        <v>1296</v>
      </c>
      <c r="G242" s="26" t="n">
        <f aca="false">E242*F242</f>
        <v>1296</v>
      </c>
      <c r="H242" s="25" t="n">
        <v>1</v>
      </c>
      <c r="I242" s="26" t="n">
        <v>1296</v>
      </c>
      <c r="J242" s="26" t="n">
        <f aca="false">H242*I242</f>
        <v>1296</v>
      </c>
      <c r="K242" s="26" t="n">
        <v>205.66</v>
      </c>
      <c r="L242" s="26" t="n">
        <f aca="false">IF(K242&lt;&gt;"",K242,I242)</f>
        <v>205.66</v>
      </c>
      <c r="M242" s="26" t="n">
        <f aca="false">H242*L242</f>
        <v>205.66</v>
      </c>
      <c r="N242" s="28" t="n">
        <f aca="false">M242-G242</f>
        <v>-1090.34</v>
      </c>
      <c r="O242" s="27" t="n">
        <f aca="false">IF(F242&gt;0,L242/F242-1,"")</f>
        <v>-0.841311728395062</v>
      </c>
      <c r="P242" s="24" t="s">
        <v>35</v>
      </c>
      <c r="Q242" s="24" t="s">
        <v>268</v>
      </c>
      <c r="R242" s="24"/>
    </row>
    <row r="243" customFormat="false" ht="26.85" hidden="false" customHeight="false" outlineLevel="0" collapsed="false">
      <c r="A243" s="23" t="s">
        <v>22</v>
      </c>
      <c r="B243" s="23" t="s">
        <v>620</v>
      </c>
      <c r="C243" s="24" t="s">
        <v>621</v>
      </c>
      <c r="D243" s="23" t="s">
        <v>153</v>
      </c>
      <c r="E243" s="25" t="n">
        <v>44</v>
      </c>
      <c r="F243" s="26" t="n">
        <v>1296</v>
      </c>
      <c r="G243" s="26" t="n">
        <f aca="false">E243*F243</f>
        <v>57024</v>
      </c>
      <c r="H243" s="25" t="n">
        <v>44</v>
      </c>
      <c r="I243" s="26" t="n">
        <v>1296</v>
      </c>
      <c r="J243" s="26" t="n">
        <f aca="false">H243*I243</f>
        <v>57024</v>
      </c>
      <c r="K243" s="26" t="n">
        <v>298.89</v>
      </c>
      <c r="L243" s="26" t="n">
        <f aca="false">IF(K243&lt;&gt;"",K243,I243)</f>
        <v>298.89</v>
      </c>
      <c r="M243" s="26" t="n">
        <f aca="false">H243*L243</f>
        <v>13151.16</v>
      </c>
      <c r="N243" s="28" t="n">
        <f aca="false">M243-G243</f>
        <v>-43872.84</v>
      </c>
      <c r="O243" s="27" t="n">
        <f aca="false">IF(F243&gt;0,L243/F243-1,"")</f>
        <v>-0.769375</v>
      </c>
      <c r="P243" s="24" t="s">
        <v>35</v>
      </c>
      <c r="Q243" s="24" t="s">
        <v>268</v>
      </c>
      <c r="R243" s="24"/>
    </row>
    <row r="244" customFormat="false" ht="15" hidden="false" customHeight="false" outlineLevel="0" collapsed="false">
      <c r="A244" s="17" t="s">
        <v>22</v>
      </c>
      <c r="B244" s="17" t="s">
        <v>622</v>
      </c>
      <c r="C244" s="18" t="s">
        <v>623</v>
      </c>
      <c r="D244" s="17" t="s">
        <v>153</v>
      </c>
      <c r="E244" s="19" t="n">
        <v>8</v>
      </c>
      <c r="F244" s="20" t="n">
        <v>1296</v>
      </c>
      <c r="G244" s="20" t="n">
        <f aca="false">E244*F244</f>
        <v>10368</v>
      </c>
      <c r="H244" s="19" t="n">
        <v>8</v>
      </c>
      <c r="I244" s="20" t="n">
        <v>600</v>
      </c>
      <c r="J244" s="20" t="n">
        <f aca="false">H244*I244</f>
        <v>4800</v>
      </c>
      <c r="K244" s="20"/>
      <c r="L244" s="20" t="n">
        <f aca="false">IF(K244&lt;&gt;"",K244,I244)</f>
        <v>600</v>
      </c>
      <c r="M244" s="20" t="n">
        <f aca="false">H244*L244</f>
        <v>4800</v>
      </c>
      <c r="N244" s="22" t="n">
        <f aca="false">M244-G244</f>
        <v>-5568</v>
      </c>
      <c r="O244" s="21" t="n">
        <f aca="false">IF(F244&gt;0,L244/F244-1,"")</f>
        <v>-0.537037037037037</v>
      </c>
      <c r="P244" s="18" t="s">
        <v>30</v>
      </c>
      <c r="Q244" s="18" t="s">
        <v>268</v>
      </c>
      <c r="R244" s="18"/>
    </row>
    <row r="245" customFormat="false" ht="15" hidden="false" customHeight="false" outlineLevel="0" collapsed="false">
      <c r="A245" s="17" t="s">
        <v>22</v>
      </c>
      <c r="B245" s="17" t="s">
        <v>624</v>
      </c>
      <c r="C245" s="18" t="s">
        <v>625</v>
      </c>
      <c r="D245" s="17" t="s">
        <v>153</v>
      </c>
      <c r="E245" s="19" t="n">
        <v>9</v>
      </c>
      <c r="F245" s="20" t="n">
        <v>1296</v>
      </c>
      <c r="G245" s="20" t="n">
        <f aca="false">E245*F245</f>
        <v>11664</v>
      </c>
      <c r="H245" s="19" t="n">
        <v>9</v>
      </c>
      <c r="I245" s="20" t="n">
        <v>600</v>
      </c>
      <c r="J245" s="20" t="n">
        <f aca="false">H245*I245</f>
        <v>5400</v>
      </c>
      <c r="K245" s="20"/>
      <c r="L245" s="20" t="n">
        <f aca="false">IF(K245&lt;&gt;"",K245,I245)</f>
        <v>600</v>
      </c>
      <c r="M245" s="20" t="n">
        <f aca="false">H245*L245</f>
        <v>5400</v>
      </c>
      <c r="N245" s="22" t="n">
        <f aca="false">M245-G245</f>
        <v>-6264</v>
      </c>
      <c r="O245" s="21" t="n">
        <f aca="false">IF(F245&gt;0,L245/F245-1,"")</f>
        <v>-0.537037037037037</v>
      </c>
      <c r="P245" s="18" t="s">
        <v>30</v>
      </c>
      <c r="Q245" s="18" t="s">
        <v>268</v>
      </c>
      <c r="R245" s="18"/>
    </row>
    <row r="246" customFormat="false" ht="15" hidden="false" customHeight="false" outlineLevel="0" collapsed="false">
      <c r="A246" s="17" t="s">
        <v>22</v>
      </c>
      <c r="B246" s="17" t="s">
        <v>626</v>
      </c>
      <c r="C246" s="18" t="s">
        <v>627</v>
      </c>
      <c r="D246" s="17" t="s">
        <v>153</v>
      </c>
      <c r="E246" s="19" t="n">
        <v>2</v>
      </c>
      <c r="F246" s="20" t="n">
        <v>1296</v>
      </c>
      <c r="G246" s="20" t="n">
        <f aca="false">E246*F246</f>
        <v>2592</v>
      </c>
      <c r="H246" s="19" t="n">
        <v>2</v>
      </c>
      <c r="I246" s="20" t="n">
        <v>600</v>
      </c>
      <c r="J246" s="20" t="n">
        <f aca="false">H246*I246</f>
        <v>1200</v>
      </c>
      <c r="K246" s="20"/>
      <c r="L246" s="20" t="n">
        <f aca="false">IF(K246&lt;&gt;"",K246,I246)</f>
        <v>600</v>
      </c>
      <c r="M246" s="20" t="n">
        <f aca="false">H246*L246</f>
        <v>1200</v>
      </c>
      <c r="N246" s="22" t="n">
        <f aca="false">M246-G246</f>
        <v>-1392</v>
      </c>
      <c r="O246" s="21" t="n">
        <f aca="false">IF(F246&gt;0,L246/F246-1,"")</f>
        <v>-0.537037037037037</v>
      </c>
      <c r="P246" s="18" t="s">
        <v>30</v>
      </c>
      <c r="Q246" s="18" t="s">
        <v>268</v>
      </c>
      <c r="R246" s="18"/>
    </row>
    <row r="247" customFormat="false" ht="15" hidden="false" customHeight="false" outlineLevel="0" collapsed="false">
      <c r="A247" s="17" t="s">
        <v>22</v>
      </c>
      <c r="B247" s="17" t="s">
        <v>628</v>
      </c>
      <c r="C247" s="18" t="s">
        <v>629</v>
      </c>
      <c r="D247" s="17" t="s">
        <v>153</v>
      </c>
      <c r="E247" s="19" t="n">
        <v>4</v>
      </c>
      <c r="F247" s="20" t="n">
        <v>1296</v>
      </c>
      <c r="G247" s="20" t="n">
        <f aca="false">E247*F247</f>
        <v>5184</v>
      </c>
      <c r="H247" s="19" t="n">
        <v>4</v>
      </c>
      <c r="I247" s="20" t="n">
        <v>600</v>
      </c>
      <c r="J247" s="20" t="n">
        <f aca="false">H247*I247</f>
        <v>2400</v>
      </c>
      <c r="K247" s="20"/>
      <c r="L247" s="20" t="n">
        <f aca="false">IF(K247&lt;&gt;"",K247,I247)</f>
        <v>600</v>
      </c>
      <c r="M247" s="20" t="n">
        <f aca="false">H247*L247</f>
        <v>2400</v>
      </c>
      <c r="N247" s="22" t="n">
        <f aca="false">M247-G247</f>
        <v>-2784</v>
      </c>
      <c r="O247" s="21" t="n">
        <f aca="false">IF(F247&gt;0,L247/F247-1,"")</f>
        <v>-0.537037037037037</v>
      </c>
      <c r="P247" s="18" t="s">
        <v>30</v>
      </c>
      <c r="Q247" s="18" t="s">
        <v>268</v>
      </c>
      <c r="R247" s="18"/>
    </row>
    <row r="248" customFormat="false" ht="15" hidden="false" customHeight="false" outlineLevel="0" collapsed="false">
      <c r="A248" s="17" t="s">
        <v>22</v>
      </c>
      <c r="B248" s="17" t="s">
        <v>630</v>
      </c>
      <c r="C248" s="18" t="s">
        <v>631</v>
      </c>
      <c r="D248" s="17" t="s">
        <v>153</v>
      </c>
      <c r="E248" s="19" t="n">
        <v>11</v>
      </c>
      <c r="F248" s="20" t="n">
        <v>1377</v>
      </c>
      <c r="G248" s="20" t="n">
        <f aca="false">E248*F248</f>
        <v>15147</v>
      </c>
      <c r="H248" s="19" t="n">
        <v>11</v>
      </c>
      <c r="I248" s="20" t="n">
        <v>950</v>
      </c>
      <c r="J248" s="20" t="n">
        <f aca="false">H248*I248</f>
        <v>10450</v>
      </c>
      <c r="K248" s="20"/>
      <c r="L248" s="20" t="n">
        <f aca="false">IF(K248&lt;&gt;"",K248,I248)</f>
        <v>950</v>
      </c>
      <c r="M248" s="20" t="n">
        <f aca="false">H248*L248</f>
        <v>10450</v>
      </c>
      <c r="N248" s="22" t="n">
        <f aca="false">M248-G248</f>
        <v>-4697</v>
      </c>
      <c r="O248" s="21" t="n">
        <f aca="false">IF(F248&gt;0,L248/F248-1,"")</f>
        <v>-0.310094408133624</v>
      </c>
      <c r="P248" s="18" t="s">
        <v>30</v>
      </c>
      <c r="Q248" s="18" t="s">
        <v>268</v>
      </c>
      <c r="R248" s="18"/>
    </row>
    <row r="249" customFormat="false" ht="15" hidden="false" customHeight="false" outlineLevel="0" collapsed="false">
      <c r="A249" s="17" t="s">
        <v>22</v>
      </c>
      <c r="B249" s="17" t="s">
        <v>632</v>
      </c>
      <c r="C249" s="18" t="s">
        <v>633</v>
      </c>
      <c r="D249" s="17" t="s">
        <v>153</v>
      </c>
      <c r="E249" s="19" t="n">
        <v>3</v>
      </c>
      <c r="F249" s="20" t="n">
        <v>1377</v>
      </c>
      <c r="G249" s="20" t="n">
        <f aca="false">E249*F249</f>
        <v>4131</v>
      </c>
      <c r="H249" s="19" t="n">
        <v>3</v>
      </c>
      <c r="I249" s="20" t="n">
        <v>950</v>
      </c>
      <c r="J249" s="20" t="n">
        <f aca="false">H249*I249</f>
        <v>2850</v>
      </c>
      <c r="K249" s="20"/>
      <c r="L249" s="20" t="n">
        <f aca="false">IF(K249&lt;&gt;"",K249,I249)</f>
        <v>950</v>
      </c>
      <c r="M249" s="20" t="n">
        <f aca="false">H249*L249</f>
        <v>2850</v>
      </c>
      <c r="N249" s="22" t="n">
        <f aca="false">M249-G249</f>
        <v>-1281</v>
      </c>
      <c r="O249" s="21" t="n">
        <f aca="false">IF(F249&gt;0,L249/F249-1,"")</f>
        <v>-0.310094408133624</v>
      </c>
      <c r="P249" s="18" t="s">
        <v>30</v>
      </c>
      <c r="Q249" s="18" t="s">
        <v>268</v>
      </c>
      <c r="R249" s="18"/>
    </row>
    <row r="250" customFormat="false" ht="15" hidden="false" customHeight="false" outlineLevel="0" collapsed="false">
      <c r="A250" s="17" t="s">
        <v>22</v>
      </c>
      <c r="B250" s="17" t="s">
        <v>634</v>
      </c>
      <c r="C250" s="18" t="s">
        <v>635</v>
      </c>
      <c r="D250" s="17" t="s">
        <v>153</v>
      </c>
      <c r="E250" s="19" t="n">
        <v>2</v>
      </c>
      <c r="F250" s="20" t="n">
        <v>1377</v>
      </c>
      <c r="G250" s="20" t="n">
        <f aca="false">E250*F250</f>
        <v>2754</v>
      </c>
      <c r="H250" s="19" t="n">
        <v>2</v>
      </c>
      <c r="I250" s="20" t="n">
        <v>950</v>
      </c>
      <c r="J250" s="20" t="n">
        <f aca="false">H250*I250</f>
        <v>1900</v>
      </c>
      <c r="K250" s="20"/>
      <c r="L250" s="20" t="n">
        <f aca="false">IF(K250&lt;&gt;"",K250,I250)</f>
        <v>950</v>
      </c>
      <c r="M250" s="20" t="n">
        <f aca="false">H250*L250</f>
        <v>1900</v>
      </c>
      <c r="N250" s="22" t="n">
        <f aca="false">M250-G250</f>
        <v>-854</v>
      </c>
      <c r="O250" s="21" t="n">
        <f aca="false">IF(F250&gt;0,L250/F250-1,"")</f>
        <v>-0.310094408133624</v>
      </c>
      <c r="P250" s="18" t="s">
        <v>30</v>
      </c>
      <c r="Q250" s="18" t="s">
        <v>268</v>
      </c>
      <c r="R250" s="18"/>
    </row>
    <row r="251" customFormat="false" ht="15" hidden="false" customHeight="false" outlineLevel="0" collapsed="false">
      <c r="A251" s="17" t="s">
        <v>22</v>
      </c>
      <c r="B251" s="17" t="s">
        <v>636</v>
      </c>
      <c r="C251" s="18" t="s">
        <v>392</v>
      </c>
      <c r="D251" s="17" t="s">
        <v>303</v>
      </c>
      <c r="E251" s="19" t="n">
        <v>8</v>
      </c>
      <c r="F251" s="20" t="n">
        <v>1134</v>
      </c>
      <c r="G251" s="20" t="n">
        <f aca="false">E251*F251</f>
        <v>9072</v>
      </c>
      <c r="H251" s="19" t="n">
        <v>8</v>
      </c>
      <c r="I251" s="20" t="n">
        <v>760</v>
      </c>
      <c r="J251" s="20" t="n">
        <f aca="false">H251*I251</f>
        <v>6080</v>
      </c>
      <c r="K251" s="20"/>
      <c r="L251" s="20" t="n">
        <f aca="false">IF(K251&lt;&gt;"",K251,I251)</f>
        <v>760</v>
      </c>
      <c r="M251" s="20" t="n">
        <f aca="false">H251*L251</f>
        <v>6080</v>
      </c>
      <c r="N251" s="22" t="n">
        <f aca="false">M251-G251</f>
        <v>-2992</v>
      </c>
      <c r="O251" s="21" t="n">
        <f aca="false">IF(F251&gt;0,L251/F251-1,"")</f>
        <v>-0.329805996472663</v>
      </c>
      <c r="P251" s="18" t="s">
        <v>30</v>
      </c>
      <c r="Q251" s="18" t="s">
        <v>268</v>
      </c>
      <c r="R251" s="18"/>
    </row>
    <row r="252" customFormat="false" ht="15" hidden="false" customHeight="false" outlineLevel="0" collapsed="false">
      <c r="A252" s="17" t="s">
        <v>22</v>
      </c>
      <c r="B252" s="17" t="s">
        <v>637</v>
      </c>
      <c r="C252" s="18" t="s">
        <v>394</v>
      </c>
      <c r="D252" s="17" t="s">
        <v>303</v>
      </c>
      <c r="E252" s="19" t="n">
        <v>3</v>
      </c>
      <c r="F252" s="20" t="n">
        <v>1134</v>
      </c>
      <c r="G252" s="20" t="n">
        <f aca="false">E252*F252</f>
        <v>3402</v>
      </c>
      <c r="H252" s="19" t="n">
        <v>3</v>
      </c>
      <c r="I252" s="20" t="n">
        <v>760</v>
      </c>
      <c r="J252" s="20" t="n">
        <f aca="false">H252*I252</f>
        <v>2280</v>
      </c>
      <c r="K252" s="20"/>
      <c r="L252" s="20" t="n">
        <f aca="false">IF(K252&lt;&gt;"",K252,I252)</f>
        <v>760</v>
      </c>
      <c r="M252" s="20" t="n">
        <f aca="false">H252*L252</f>
        <v>2280</v>
      </c>
      <c r="N252" s="22" t="n">
        <f aca="false">M252-G252</f>
        <v>-1122</v>
      </c>
      <c r="O252" s="21" t="n">
        <f aca="false">IF(F252&gt;0,L252/F252-1,"")</f>
        <v>-0.329805996472663</v>
      </c>
      <c r="P252" s="18" t="s">
        <v>30</v>
      </c>
      <c r="Q252" s="18" t="s">
        <v>268</v>
      </c>
      <c r="R252" s="18"/>
    </row>
    <row r="253" customFormat="false" ht="26.85" hidden="false" customHeight="false" outlineLevel="0" collapsed="false">
      <c r="A253" s="17" t="s">
        <v>22</v>
      </c>
      <c r="B253" s="17" t="s">
        <v>638</v>
      </c>
      <c r="C253" s="18" t="s">
        <v>400</v>
      </c>
      <c r="D253" s="17" t="s">
        <v>303</v>
      </c>
      <c r="E253" s="19" t="n">
        <v>4</v>
      </c>
      <c r="F253" s="20" t="n">
        <v>1134</v>
      </c>
      <c r="G253" s="20" t="n">
        <f aca="false">E253*F253</f>
        <v>4536</v>
      </c>
      <c r="H253" s="19" t="n">
        <v>4</v>
      </c>
      <c r="I253" s="20" t="n">
        <v>760</v>
      </c>
      <c r="J253" s="20" t="n">
        <f aca="false">H253*I253</f>
        <v>3040</v>
      </c>
      <c r="K253" s="20"/>
      <c r="L253" s="20" t="n">
        <f aca="false">IF(K253&lt;&gt;"",K253,I253)</f>
        <v>760</v>
      </c>
      <c r="M253" s="20" t="n">
        <f aca="false">H253*L253</f>
        <v>3040</v>
      </c>
      <c r="N253" s="22" t="n">
        <f aca="false">M253-G253</f>
        <v>-1496</v>
      </c>
      <c r="O253" s="21" t="n">
        <f aca="false">IF(F253&gt;0,L253/F253-1,"")</f>
        <v>-0.329805996472663</v>
      </c>
      <c r="P253" s="18" t="s">
        <v>30</v>
      </c>
      <c r="Q253" s="18" t="s">
        <v>268</v>
      </c>
      <c r="R253" s="18"/>
    </row>
    <row r="254" customFormat="false" ht="26.85" hidden="false" customHeight="false" outlineLevel="0" collapsed="false">
      <c r="A254" s="17" t="s">
        <v>22</v>
      </c>
      <c r="B254" s="17" t="s">
        <v>639</v>
      </c>
      <c r="C254" s="18" t="s">
        <v>402</v>
      </c>
      <c r="D254" s="17" t="s">
        <v>303</v>
      </c>
      <c r="E254" s="19" t="n">
        <v>7</v>
      </c>
      <c r="F254" s="20" t="n">
        <v>1134</v>
      </c>
      <c r="G254" s="20" t="n">
        <f aca="false">E254*F254</f>
        <v>7938</v>
      </c>
      <c r="H254" s="19" t="n">
        <v>7</v>
      </c>
      <c r="I254" s="20" t="n">
        <v>760</v>
      </c>
      <c r="J254" s="20" t="n">
        <f aca="false">H254*I254</f>
        <v>5320</v>
      </c>
      <c r="K254" s="20"/>
      <c r="L254" s="20" t="n">
        <f aca="false">IF(K254&lt;&gt;"",K254,I254)</f>
        <v>760</v>
      </c>
      <c r="M254" s="20" t="n">
        <f aca="false">H254*L254</f>
        <v>5320</v>
      </c>
      <c r="N254" s="22" t="n">
        <f aca="false">M254-G254</f>
        <v>-2618</v>
      </c>
      <c r="O254" s="21" t="n">
        <f aca="false">IF(F254&gt;0,L254/F254-1,"")</f>
        <v>-0.329805996472663</v>
      </c>
      <c r="P254" s="18" t="s">
        <v>30</v>
      </c>
      <c r="Q254" s="18" t="s">
        <v>268</v>
      </c>
      <c r="R254" s="18"/>
    </row>
    <row r="255" customFormat="false" ht="26.85" hidden="false" customHeight="false" outlineLevel="0" collapsed="false">
      <c r="A255" s="17" t="s">
        <v>22</v>
      </c>
      <c r="B255" s="17" t="s">
        <v>640</v>
      </c>
      <c r="C255" s="18" t="s">
        <v>408</v>
      </c>
      <c r="D255" s="17" t="s">
        <v>303</v>
      </c>
      <c r="E255" s="19" t="n">
        <v>36</v>
      </c>
      <c r="F255" s="20" t="n">
        <v>1360.8</v>
      </c>
      <c r="G255" s="20" t="n">
        <f aca="false">E255*F255</f>
        <v>48988.8</v>
      </c>
      <c r="H255" s="19" t="n">
        <v>36</v>
      </c>
      <c r="I255" s="20" t="n">
        <v>950</v>
      </c>
      <c r="J255" s="20" t="n">
        <f aca="false">H255*I255</f>
        <v>34200</v>
      </c>
      <c r="K255" s="20"/>
      <c r="L255" s="20" t="n">
        <f aca="false">IF(K255&lt;&gt;"",K255,I255)</f>
        <v>950</v>
      </c>
      <c r="M255" s="20" t="n">
        <f aca="false">H255*L255</f>
        <v>34200</v>
      </c>
      <c r="N255" s="22" t="n">
        <f aca="false">M255-G255</f>
        <v>-14788.8</v>
      </c>
      <c r="O255" s="21" t="n">
        <f aca="false">IF(F255&gt;0,L255/F255-1,"")</f>
        <v>-0.301881246325691</v>
      </c>
      <c r="P255" s="18" t="s">
        <v>30</v>
      </c>
      <c r="Q255" s="18" t="s">
        <v>268</v>
      </c>
      <c r="R255" s="18"/>
    </row>
    <row r="256" customFormat="false" ht="26.85" hidden="false" customHeight="false" outlineLevel="0" collapsed="false">
      <c r="A256" s="17" t="s">
        <v>22</v>
      </c>
      <c r="B256" s="17" t="s">
        <v>641</v>
      </c>
      <c r="C256" s="18" t="s">
        <v>410</v>
      </c>
      <c r="D256" s="17" t="s">
        <v>303</v>
      </c>
      <c r="E256" s="19" t="n">
        <v>30</v>
      </c>
      <c r="F256" s="20" t="n">
        <v>1360.8</v>
      </c>
      <c r="G256" s="20" t="n">
        <f aca="false">E256*F256</f>
        <v>40824</v>
      </c>
      <c r="H256" s="19" t="n">
        <v>30</v>
      </c>
      <c r="I256" s="20" t="n">
        <v>689.79</v>
      </c>
      <c r="J256" s="20" t="n">
        <f aca="false">H256*I256</f>
        <v>20693.7</v>
      </c>
      <c r="K256" s="20"/>
      <c r="L256" s="20" t="n">
        <f aca="false">IF(K256&lt;&gt;"",K256,I256)</f>
        <v>689.79</v>
      </c>
      <c r="M256" s="20" t="n">
        <f aca="false">H256*L256</f>
        <v>20693.7</v>
      </c>
      <c r="N256" s="22" t="n">
        <f aca="false">M256-G256</f>
        <v>-20130.3</v>
      </c>
      <c r="O256" s="21" t="n">
        <f aca="false">IF(F256&gt;0,L256/F256-1,"")</f>
        <v>-0.493099647266314</v>
      </c>
      <c r="P256" s="18" t="s">
        <v>30</v>
      </c>
      <c r="Q256" s="18" t="s">
        <v>268</v>
      </c>
      <c r="R256" s="18"/>
    </row>
    <row r="257" customFormat="false" ht="26.85" hidden="false" customHeight="false" outlineLevel="0" collapsed="false">
      <c r="A257" s="17" t="s">
        <v>22</v>
      </c>
      <c r="B257" s="17" t="s">
        <v>642</v>
      </c>
      <c r="C257" s="18" t="s">
        <v>412</v>
      </c>
      <c r="D257" s="17" t="s">
        <v>303</v>
      </c>
      <c r="E257" s="19" t="n">
        <v>3</v>
      </c>
      <c r="F257" s="20" t="n">
        <v>1360.8</v>
      </c>
      <c r="G257" s="20" t="n">
        <f aca="false">E257*F257</f>
        <v>4082.4</v>
      </c>
      <c r="H257" s="19" t="n">
        <v>3</v>
      </c>
      <c r="I257" s="20" t="n">
        <v>862.23</v>
      </c>
      <c r="J257" s="20" t="n">
        <f aca="false">H257*I257</f>
        <v>2586.69</v>
      </c>
      <c r="K257" s="20"/>
      <c r="L257" s="20" t="n">
        <f aca="false">IF(K257&lt;&gt;"",K257,I257)</f>
        <v>862.23</v>
      </c>
      <c r="M257" s="20" t="n">
        <f aca="false">H257*L257</f>
        <v>2586.69</v>
      </c>
      <c r="N257" s="22" t="n">
        <f aca="false">M257-G257</f>
        <v>-1495.71</v>
      </c>
      <c r="O257" s="21" t="n">
        <f aca="false">IF(F257&gt;0,L257/F257-1,"")</f>
        <v>-0.366380070546737</v>
      </c>
      <c r="P257" s="18" t="s">
        <v>30</v>
      </c>
      <c r="Q257" s="18" t="s">
        <v>268</v>
      </c>
      <c r="R257" s="18"/>
    </row>
    <row r="258" customFormat="false" ht="26.85" hidden="false" customHeight="false" outlineLevel="0" collapsed="false">
      <c r="A258" s="17" t="s">
        <v>22</v>
      </c>
      <c r="B258" s="17" t="s">
        <v>643</v>
      </c>
      <c r="C258" s="18" t="s">
        <v>414</v>
      </c>
      <c r="D258" s="17" t="s">
        <v>303</v>
      </c>
      <c r="E258" s="19" t="n">
        <v>55</v>
      </c>
      <c r="F258" s="20" t="n">
        <v>1393.2</v>
      </c>
      <c r="G258" s="20" t="n">
        <f aca="false">E258*F258</f>
        <v>76626</v>
      </c>
      <c r="H258" s="19" t="n">
        <v>55</v>
      </c>
      <c r="I258" s="20" t="n">
        <v>862.23</v>
      </c>
      <c r="J258" s="20" t="n">
        <f aca="false">H258*I258</f>
        <v>47422.65</v>
      </c>
      <c r="K258" s="20"/>
      <c r="L258" s="20" t="n">
        <f aca="false">IF(K258&lt;&gt;"",K258,I258)</f>
        <v>862.23</v>
      </c>
      <c r="M258" s="20" t="n">
        <f aca="false">H258*L258</f>
        <v>47422.65</v>
      </c>
      <c r="N258" s="22" t="n">
        <f aca="false">M258-G258</f>
        <v>-29203.35</v>
      </c>
      <c r="O258" s="21" t="n">
        <f aca="false">IF(F258&gt;0,L258/F258-1,"")</f>
        <v>-0.381115417743325</v>
      </c>
      <c r="P258" s="18" t="s">
        <v>30</v>
      </c>
      <c r="Q258" s="18" t="s">
        <v>268</v>
      </c>
      <c r="R258" s="18"/>
    </row>
    <row r="259" customFormat="false" ht="26.85" hidden="false" customHeight="false" outlineLevel="0" collapsed="false">
      <c r="A259" s="17" t="s">
        <v>22</v>
      </c>
      <c r="B259" s="17" t="s">
        <v>644</v>
      </c>
      <c r="C259" s="18" t="s">
        <v>645</v>
      </c>
      <c r="D259" s="17" t="s">
        <v>303</v>
      </c>
      <c r="E259" s="19" t="n">
        <v>6</v>
      </c>
      <c r="F259" s="20" t="n">
        <v>1393.2</v>
      </c>
      <c r="G259" s="20" t="n">
        <f aca="false">E259*F259</f>
        <v>8359.2</v>
      </c>
      <c r="H259" s="19" t="n">
        <v>6</v>
      </c>
      <c r="I259" s="20" t="n">
        <v>1077.79</v>
      </c>
      <c r="J259" s="20" t="n">
        <f aca="false">H259*I259</f>
        <v>6466.74</v>
      </c>
      <c r="K259" s="20"/>
      <c r="L259" s="20" t="n">
        <f aca="false">IF(K259&lt;&gt;"",K259,I259)</f>
        <v>1077.79</v>
      </c>
      <c r="M259" s="20" t="n">
        <f aca="false">H259*L259</f>
        <v>6466.74</v>
      </c>
      <c r="N259" s="22" t="n">
        <f aca="false">M259-G259</f>
        <v>-1892.46</v>
      </c>
      <c r="O259" s="21" t="n">
        <f aca="false">IF(F259&gt;0,L259/F259-1,"")</f>
        <v>-0.226392477749067</v>
      </c>
      <c r="P259" s="18" t="s">
        <v>30</v>
      </c>
      <c r="Q259" s="18" t="s">
        <v>268</v>
      </c>
      <c r="R259" s="18"/>
    </row>
    <row r="260" customFormat="false" ht="26.85" hidden="false" customHeight="false" outlineLevel="0" collapsed="false">
      <c r="A260" s="42" t="s">
        <v>22</v>
      </c>
      <c r="B260" s="42" t="s">
        <v>646</v>
      </c>
      <c r="C260" s="37" t="s">
        <v>416</v>
      </c>
      <c r="D260" s="42" t="s">
        <v>303</v>
      </c>
      <c r="E260" s="43" t="n">
        <v>45</v>
      </c>
      <c r="F260" s="44" t="n">
        <v>1620</v>
      </c>
      <c r="G260" s="44" t="n">
        <f aca="false">E260*F260</f>
        <v>72900</v>
      </c>
      <c r="H260" s="43" t="n">
        <v>45</v>
      </c>
      <c r="I260" s="44" t="n">
        <v>1620</v>
      </c>
      <c r="J260" s="44" t="n">
        <f aca="false">H260*I260</f>
        <v>72900</v>
      </c>
      <c r="K260" s="44"/>
      <c r="L260" s="44" t="n">
        <f aca="false">IF(K260&lt;&gt;"",K260,I260)</f>
        <v>1620</v>
      </c>
      <c r="M260" s="44" t="n">
        <f aca="false">H260*L260</f>
        <v>72900</v>
      </c>
      <c r="N260" s="45" t="n">
        <f aca="false">M260-G260</f>
        <v>0</v>
      </c>
      <c r="O260" s="46" t="n">
        <f aca="false">IF(F260&gt;0,L260/F260-1,"")</f>
        <v>0</v>
      </c>
      <c r="P260" s="37" t="s">
        <v>37</v>
      </c>
      <c r="Q260" s="37"/>
      <c r="R260" s="37"/>
    </row>
    <row r="261" customFormat="false" ht="26.85" hidden="false" customHeight="false" outlineLevel="0" collapsed="false">
      <c r="A261" s="42" t="s">
        <v>22</v>
      </c>
      <c r="B261" s="42" t="s">
        <v>647</v>
      </c>
      <c r="C261" s="37" t="s">
        <v>648</v>
      </c>
      <c r="D261" s="42" t="s">
        <v>303</v>
      </c>
      <c r="E261" s="43" t="n">
        <v>11</v>
      </c>
      <c r="F261" s="44" t="n">
        <v>1944</v>
      </c>
      <c r="G261" s="44" t="n">
        <f aca="false">E261*F261</f>
        <v>21384</v>
      </c>
      <c r="H261" s="43" t="n">
        <v>11</v>
      </c>
      <c r="I261" s="44" t="n">
        <v>1944</v>
      </c>
      <c r="J261" s="44" t="n">
        <f aca="false">H261*I261</f>
        <v>21384</v>
      </c>
      <c r="K261" s="44"/>
      <c r="L261" s="44" t="n">
        <f aca="false">IF(K261&lt;&gt;"",K261,I261)</f>
        <v>1944</v>
      </c>
      <c r="M261" s="44" t="n">
        <f aca="false">H261*L261</f>
        <v>21384</v>
      </c>
      <c r="N261" s="45" t="n">
        <f aca="false">M261-G261</f>
        <v>0</v>
      </c>
      <c r="O261" s="46" t="n">
        <f aca="false">IF(F261&gt;0,L261/F261-1,"")</f>
        <v>0</v>
      </c>
      <c r="P261" s="37" t="s">
        <v>37</v>
      </c>
      <c r="Q261" s="37"/>
      <c r="R261" s="37"/>
    </row>
    <row r="262" customFormat="false" ht="26.85" hidden="false" customHeight="false" outlineLevel="0" collapsed="false">
      <c r="A262" s="42" t="s">
        <v>22</v>
      </c>
      <c r="B262" s="42" t="s">
        <v>649</v>
      </c>
      <c r="C262" s="37" t="s">
        <v>418</v>
      </c>
      <c r="D262" s="42" t="s">
        <v>303</v>
      </c>
      <c r="E262" s="43" t="n">
        <v>22</v>
      </c>
      <c r="F262" s="44" t="n">
        <v>1944</v>
      </c>
      <c r="G262" s="44" t="n">
        <f aca="false">E262*F262</f>
        <v>42768</v>
      </c>
      <c r="H262" s="43" t="n">
        <v>22</v>
      </c>
      <c r="I262" s="44" t="n">
        <v>1944</v>
      </c>
      <c r="J262" s="44" t="n">
        <f aca="false">H262*I262</f>
        <v>42768</v>
      </c>
      <c r="K262" s="44"/>
      <c r="L262" s="44" t="n">
        <f aca="false">IF(K262&lt;&gt;"",K262,I262)</f>
        <v>1944</v>
      </c>
      <c r="M262" s="44" t="n">
        <f aca="false">H262*L262</f>
        <v>42768</v>
      </c>
      <c r="N262" s="45" t="n">
        <f aca="false">M262-G262</f>
        <v>0</v>
      </c>
      <c r="O262" s="46" t="n">
        <f aca="false">IF(F262&gt;0,L262/F262-1,"")</f>
        <v>0</v>
      </c>
      <c r="P262" s="37" t="s">
        <v>37</v>
      </c>
      <c r="Q262" s="37"/>
      <c r="R262" s="37"/>
    </row>
    <row r="263" customFormat="false" ht="26.85" hidden="false" customHeight="false" outlineLevel="0" collapsed="false">
      <c r="A263" s="42" t="s">
        <v>22</v>
      </c>
      <c r="B263" s="42" t="s">
        <v>650</v>
      </c>
      <c r="C263" s="37" t="s">
        <v>428</v>
      </c>
      <c r="D263" s="42" t="s">
        <v>303</v>
      </c>
      <c r="E263" s="43" t="n">
        <v>28</v>
      </c>
      <c r="F263" s="44" t="n">
        <v>2592</v>
      </c>
      <c r="G263" s="44" t="n">
        <f aca="false">E263*F263</f>
        <v>72576</v>
      </c>
      <c r="H263" s="43" t="n">
        <v>28</v>
      </c>
      <c r="I263" s="44" t="n">
        <v>2592</v>
      </c>
      <c r="J263" s="44" t="n">
        <f aca="false">H263*I263</f>
        <v>72576</v>
      </c>
      <c r="K263" s="44"/>
      <c r="L263" s="44" t="n">
        <f aca="false">IF(K263&lt;&gt;"",K263,I263)</f>
        <v>2592</v>
      </c>
      <c r="M263" s="44" t="n">
        <f aca="false">H263*L263</f>
        <v>72576</v>
      </c>
      <c r="N263" s="45" t="n">
        <f aca="false">M263-G263</f>
        <v>0</v>
      </c>
      <c r="O263" s="46" t="n">
        <f aca="false">IF(F263&gt;0,L263/F263-1,"")</f>
        <v>0</v>
      </c>
      <c r="P263" s="37" t="s">
        <v>37</v>
      </c>
      <c r="Q263" s="37"/>
      <c r="R263" s="37"/>
    </row>
    <row r="264" customFormat="false" ht="26.85" hidden="false" customHeight="false" outlineLevel="0" collapsed="false">
      <c r="A264" s="17" t="s">
        <v>22</v>
      </c>
      <c r="B264" s="17" t="s">
        <v>651</v>
      </c>
      <c r="C264" s="18" t="s">
        <v>652</v>
      </c>
      <c r="D264" s="17" t="s">
        <v>303</v>
      </c>
      <c r="E264" s="19" t="n">
        <v>1</v>
      </c>
      <c r="F264" s="20" t="n">
        <v>3000</v>
      </c>
      <c r="G264" s="20" t="n">
        <f aca="false">E264*F264</f>
        <v>3000</v>
      </c>
      <c r="H264" s="19" t="n">
        <v>1</v>
      </c>
      <c r="I264" s="20" t="n">
        <v>2720</v>
      </c>
      <c r="J264" s="20" t="n">
        <f aca="false">H264*I264</f>
        <v>2720</v>
      </c>
      <c r="K264" s="20"/>
      <c r="L264" s="20" t="n">
        <f aca="false">IF(K264&lt;&gt;"",K264,I264)</f>
        <v>2720</v>
      </c>
      <c r="M264" s="20" t="n">
        <f aca="false">H264*L264</f>
        <v>2720</v>
      </c>
      <c r="N264" s="22" t="n">
        <f aca="false">M264-G264</f>
        <v>-280</v>
      </c>
      <c r="O264" s="21" t="n">
        <f aca="false">IF(F264&gt;0,L264/F264-1,"")</f>
        <v>-0.0933333333333334</v>
      </c>
      <c r="P264" s="18" t="s">
        <v>30</v>
      </c>
      <c r="Q264" s="18"/>
      <c r="R264" s="18"/>
    </row>
    <row r="265" customFormat="false" ht="26.85" hidden="false" customHeight="false" outlineLevel="0" collapsed="false">
      <c r="A265" s="17" t="s">
        <v>22</v>
      </c>
      <c r="B265" s="17" t="s">
        <v>653</v>
      </c>
      <c r="C265" s="18" t="s">
        <v>654</v>
      </c>
      <c r="D265" s="17" t="s">
        <v>153</v>
      </c>
      <c r="E265" s="19" t="n">
        <v>2</v>
      </c>
      <c r="F265" s="20" t="n">
        <v>1020</v>
      </c>
      <c r="G265" s="20" t="n">
        <f aca="false">E265*F265</f>
        <v>2040</v>
      </c>
      <c r="H265" s="19" t="n">
        <v>2</v>
      </c>
      <c r="I265" s="20" t="n">
        <v>340</v>
      </c>
      <c r="J265" s="20" t="n">
        <f aca="false">H265*I265</f>
        <v>680</v>
      </c>
      <c r="K265" s="20"/>
      <c r="L265" s="20" t="n">
        <f aca="false">IF(K265&lt;&gt;"",K265,I265)</f>
        <v>340</v>
      </c>
      <c r="M265" s="20" t="n">
        <f aca="false">H265*L265</f>
        <v>680</v>
      </c>
      <c r="N265" s="22" t="n">
        <f aca="false">M265-G265</f>
        <v>-1360</v>
      </c>
      <c r="O265" s="21" t="n">
        <f aca="false">IF(F265&gt;0,L265/F265-1,"")</f>
        <v>-0.666666666666667</v>
      </c>
      <c r="P265" s="18" t="s">
        <v>30</v>
      </c>
      <c r="Q265" s="18"/>
      <c r="R265" s="18"/>
    </row>
    <row r="266" customFormat="false" ht="26.85" hidden="false" customHeight="false" outlineLevel="0" collapsed="false">
      <c r="A266" s="17" t="s">
        <v>22</v>
      </c>
      <c r="B266" s="17" t="s">
        <v>655</v>
      </c>
      <c r="C266" s="18" t="s">
        <v>656</v>
      </c>
      <c r="D266" s="17" t="s">
        <v>153</v>
      </c>
      <c r="E266" s="19" t="n">
        <v>2</v>
      </c>
      <c r="F266" s="20" t="n">
        <v>2106</v>
      </c>
      <c r="G266" s="20" t="n">
        <f aca="false">E266*F266</f>
        <v>4212</v>
      </c>
      <c r="H266" s="19" t="n">
        <v>2</v>
      </c>
      <c r="I266" s="20" t="n">
        <v>855</v>
      </c>
      <c r="J266" s="20" t="n">
        <f aca="false">H266*I266</f>
        <v>1710</v>
      </c>
      <c r="K266" s="20"/>
      <c r="L266" s="20" t="n">
        <f aca="false">IF(K266&lt;&gt;"",K266,I266)</f>
        <v>855</v>
      </c>
      <c r="M266" s="20" t="n">
        <f aca="false">H266*L266</f>
        <v>1710</v>
      </c>
      <c r="N266" s="22" t="n">
        <f aca="false">M266-G266</f>
        <v>-2502</v>
      </c>
      <c r="O266" s="21" t="n">
        <f aca="false">IF(F266&gt;0,L266/F266-1,"")</f>
        <v>-0.594017094017094</v>
      </c>
      <c r="P266" s="18" t="s">
        <v>30</v>
      </c>
      <c r="Q266" s="18" t="s">
        <v>212</v>
      </c>
      <c r="R266" s="18"/>
    </row>
    <row r="267" customFormat="false" ht="26.85" hidden="false" customHeight="false" outlineLevel="0" collapsed="false">
      <c r="A267" s="17" t="s">
        <v>22</v>
      </c>
      <c r="B267" s="17" t="s">
        <v>657</v>
      </c>
      <c r="C267" s="18" t="s">
        <v>658</v>
      </c>
      <c r="D267" s="17" t="s">
        <v>153</v>
      </c>
      <c r="E267" s="19" t="n">
        <v>2</v>
      </c>
      <c r="F267" s="20" t="n">
        <v>1020</v>
      </c>
      <c r="G267" s="20" t="n">
        <f aca="false">E267*F267</f>
        <v>2040</v>
      </c>
      <c r="H267" s="19" t="n">
        <v>2</v>
      </c>
      <c r="I267" s="20" t="n">
        <v>855</v>
      </c>
      <c r="J267" s="20" t="n">
        <f aca="false">H267*I267</f>
        <v>1710</v>
      </c>
      <c r="K267" s="20"/>
      <c r="L267" s="20" t="n">
        <f aca="false">IF(K267&lt;&gt;"",K267,I267)</f>
        <v>855</v>
      </c>
      <c r="M267" s="20" t="n">
        <f aca="false">H267*L267</f>
        <v>1710</v>
      </c>
      <c r="N267" s="22" t="n">
        <f aca="false">M267-G267</f>
        <v>-330</v>
      </c>
      <c r="O267" s="21" t="n">
        <f aca="false">IF(F267&gt;0,L267/F267-1,"")</f>
        <v>-0.161764705882353</v>
      </c>
      <c r="P267" s="18" t="s">
        <v>30</v>
      </c>
      <c r="Q267" s="18" t="s">
        <v>212</v>
      </c>
      <c r="R267" s="18"/>
    </row>
    <row r="268" customFormat="false" ht="26.85" hidden="false" customHeight="false" outlineLevel="0" collapsed="false">
      <c r="A268" s="17" t="s">
        <v>22</v>
      </c>
      <c r="B268" s="17" t="s">
        <v>659</v>
      </c>
      <c r="C268" s="18" t="s">
        <v>660</v>
      </c>
      <c r="D268" s="17" t="s">
        <v>153</v>
      </c>
      <c r="E268" s="19" t="n">
        <v>1</v>
      </c>
      <c r="F268" s="20" t="n">
        <v>1020</v>
      </c>
      <c r="G268" s="20" t="n">
        <f aca="false">E268*F268</f>
        <v>1020</v>
      </c>
      <c r="H268" s="19" t="n">
        <v>1</v>
      </c>
      <c r="I268" s="20" t="n">
        <v>855</v>
      </c>
      <c r="J268" s="20" t="n">
        <f aca="false">H268*I268</f>
        <v>855</v>
      </c>
      <c r="K268" s="20"/>
      <c r="L268" s="20" t="n">
        <f aca="false">IF(K268&lt;&gt;"",K268,I268)</f>
        <v>855</v>
      </c>
      <c r="M268" s="20" t="n">
        <f aca="false">H268*L268</f>
        <v>855</v>
      </c>
      <c r="N268" s="22" t="n">
        <f aca="false">M268-G268</f>
        <v>-165</v>
      </c>
      <c r="O268" s="21" t="n">
        <f aca="false">IF(F268&gt;0,L268/F268-1,"")</f>
        <v>-0.161764705882353</v>
      </c>
      <c r="P268" s="18" t="s">
        <v>30</v>
      </c>
      <c r="Q268" s="18" t="s">
        <v>212</v>
      </c>
      <c r="R268" s="18"/>
    </row>
    <row r="269" customFormat="false" ht="26.85" hidden="false" customHeight="false" outlineLevel="0" collapsed="false">
      <c r="A269" s="17" t="s">
        <v>22</v>
      </c>
      <c r="B269" s="17" t="s">
        <v>661</v>
      </c>
      <c r="C269" s="18" t="s">
        <v>434</v>
      </c>
      <c r="D269" s="17" t="s">
        <v>153</v>
      </c>
      <c r="E269" s="19" t="n">
        <v>5</v>
      </c>
      <c r="F269" s="20" t="n">
        <v>1020</v>
      </c>
      <c r="G269" s="20" t="n">
        <f aca="false">E269*F269</f>
        <v>5100</v>
      </c>
      <c r="H269" s="19" t="n">
        <v>5</v>
      </c>
      <c r="I269" s="20" t="n">
        <v>855</v>
      </c>
      <c r="J269" s="20" t="n">
        <f aca="false">H269*I269</f>
        <v>4275</v>
      </c>
      <c r="K269" s="20"/>
      <c r="L269" s="20" t="n">
        <f aca="false">IF(K269&lt;&gt;"",K269,I269)</f>
        <v>855</v>
      </c>
      <c r="M269" s="20" t="n">
        <f aca="false">H269*L269</f>
        <v>4275</v>
      </c>
      <c r="N269" s="22" t="n">
        <f aca="false">M269-G269</f>
        <v>-825</v>
      </c>
      <c r="O269" s="21" t="n">
        <f aca="false">IF(F269&gt;0,L269/F269-1,"")</f>
        <v>-0.161764705882353</v>
      </c>
      <c r="P269" s="18" t="s">
        <v>30</v>
      </c>
      <c r="Q269" s="18" t="s">
        <v>212</v>
      </c>
      <c r="R269" s="18"/>
    </row>
    <row r="270" customFormat="false" ht="26.85" hidden="false" customHeight="false" outlineLevel="0" collapsed="false">
      <c r="A270" s="17" t="s">
        <v>22</v>
      </c>
      <c r="B270" s="17" t="s">
        <v>662</v>
      </c>
      <c r="C270" s="18" t="s">
        <v>663</v>
      </c>
      <c r="D270" s="17" t="s">
        <v>153</v>
      </c>
      <c r="E270" s="19" t="n">
        <v>1</v>
      </c>
      <c r="F270" s="20" t="n">
        <v>1020</v>
      </c>
      <c r="G270" s="20" t="n">
        <f aca="false">E270*F270</f>
        <v>1020</v>
      </c>
      <c r="H270" s="19" t="n">
        <v>1</v>
      </c>
      <c r="I270" s="20" t="n">
        <v>855</v>
      </c>
      <c r="J270" s="20" t="n">
        <f aca="false">H270*I270</f>
        <v>855</v>
      </c>
      <c r="K270" s="20"/>
      <c r="L270" s="20" t="n">
        <f aca="false">IF(K270&lt;&gt;"",K270,I270)</f>
        <v>855</v>
      </c>
      <c r="M270" s="20" t="n">
        <f aca="false">H270*L270</f>
        <v>855</v>
      </c>
      <c r="N270" s="22" t="n">
        <f aca="false">M270-G270</f>
        <v>-165</v>
      </c>
      <c r="O270" s="21" t="n">
        <f aca="false">IF(F270&gt;0,L270/F270-1,"")</f>
        <v>-0.161764705882353</v>
      </c>
      <c r="P270" s="18" t="s">
        <v>30</v>
      </c>
      <c r="Q270" s="18" t="s">
        <v>212</v>
      </c>
      <c r="R270" s="18"/>
    </row>
    <row r="271" customFormat="false" ht="26.85" hidden="false" customHeight="false" outlineLevel="0" collapsed="false">
      <c r="A271" s="17" t="s">
        <v>22</v>
      </c>
      <c r="B271" s="17" t="s">
        <v>664</v>
      </c>
      <c r="C271" s="18" t="s">
        <v>665</v>
      </c>
      <c r="D271" s="17" t="s">
        <v>153</v>
      </c>
      <c r="E271" s="19" t="n">
        <v>4</v>
      </c>
      <c r="F271" s="20" t="n">
        <v>1620</v>
      </c>
      <c r="G271" s="20" t="n">
        <f aca="false">E271*F271</f>
        <v>6480</v>
      </c>
      <c r="H271" s="19" t="n">
        <v>4</v>
      </c>
      <c r="I271" s="20" t="n">
        <v>850</v>
      </c>
      <c r="J271" s="20" t="n">
        <f aca="false">H271*I271</f>
        <v>3400</v>
      </c>
      <c r="K271" s="20"/>
      <c r="L271" s="20" t="n">
        <f aca="false">IF(K271&lt;&gt;"",K271,I271)</f>
        <v>850</v>
      </c>
      <c r="M271" s="20" t="n">
        <f aca="false">H271*L271</f>
        <v>3400</v>
      </c>
      <c r="N271" s="22" t="n">
        <f aca="false">M271-G271</f>
        <v>-3080</v>
      </c>
      <c r="O271" s="21" t="n">
        <f aca="false">IF(F271&gt;0,L271/F271-1,"")</f>
        <v>-0.475308641975309</v>
      </c>
      <c r="P271" s="18" t="s">
        <v>30</v>
      </c>
      <c r="Q271" s="18"/>
      <c r="R271" s="18"/>
    </row>
    <row r="272" customFormat="false" ht="26.85" hidden="false" customHeight="false" outlineLevel="0" collapsed="false">
      <c r="A272" s="17" t="s">
        <v>22</v>
      </c>
      <c r="B272" s="17" t="s">
        <v>666</v>
      </c>
      <c r="C272" s="18" t="s">
        <v>667</v>
      </c>
      <c r="D272" s="17" t="s">
        <v>153</v>
      </c>
      <c r="E272" s="19" t="n">
        <v>1</v>
      </c>
      <c r="F272" s="20" t="n">
        <v>1782</v>
      </c>
      <c r="G272" s="20" t="n">
        <f aca="false">E272*F272</f>
        <v>1782</v>
      </c>
      <c r="H272" s="19" t="n">
        <v>1</v>
      </c>
      <c r="I272" s="20" t="n">
        <v>900</v>
      </c>
      <c r="J272" s="20" t="n">
        <f aca="false">H272*I272</f>
        <v>900</v>
      </c>
      <c r="K272" s="20"/>
      <c r="L272" s="20" t="n">
        <f aca="false">IF(K272&lt;&gt;"",K272,I272)</f>
        <v>900</v>
      </c>
      <c r="M272" s="20" t="n">
        <f aca="false">H272*L272</f>
        <v>900</v>
      </c>
      <c r="N272" s="22" t="n">
        <f aca="false">M272-G272</f>
        <v>-882</v>
      </c>
      <c r="O272" s="21" t="n">
        <f aca="false">IF(F272&gt;0,L272/F272-1,"")</f>
        <v>-0.494949494949495</v>
      </c>
      <c r="P272" s="18" t="s">
        <v>30</v>
      </c>
      <c r="Q272" s="18"/>
      <c r="R272" s="18"/>
    </row>
    <row r="273" customFormat="false" ht="26.85" hidden="false" customHeight="false" outlineLevel="0" collapsed="false">
      <c r="A273" s="17" t="s">
        <v>22</v>
      </c>
      <c r="B273" s="17" t="s">
        <v>668</v>
      </c>
      <c r="C273" s="18" t="s">
        <v>669</v>
      </c>
      <c r="D273" s="17" t="s">
        <v>153</v>
      </c>
      <c r="E273" s="19" t="n">
        <v>11</v>
      </c>
      <c r="F273" s="20" t="n">
        <v>1020</v>
      </c>
      <c r="G273" s="20" t="n">
        <f aca="false">E273*F273</f>
        <v>11220</v>
      </c>
      <c r="H273" s="19" t="n">
        <v>11</v>
      </c>
      <c r="I273" s="20" t="n">
        <v>855</v>
      </c>
      <c r="J273" s="20" t="n">
        <f aca="false">H273*I273</f>
        <v>9405</v>
      </c>
      <c r="K273" s="20"/>
      <c r="L273" s="20" t="n">
        <f aca="false">IF(K273&lt;&gt;"",K273,I273)</f>
        <v>855</v>
      </c>
      <c r="M273" s="20" t="n">
        <f aca="false">H273*L273</f>
        <v>9405</v>
      </c>
      <c r="N273" s="22" t="n">
        <f aca="false">M273-G273</f>
        <v>-1815</v>
      </c>
      <c r="O273" s="21" t="n">
        <f aca="false">IF(F273&gt;0,L273/F273-1,"")</f>
        <v>-0.161764705882353</v>
      </c>
      <c r="P273" s="18" t="s">
        <v>30</v>
      </c>
      <c r="Q273" s="18" t="s">
        <v>212</v>
      </c>
      <c r="R273" s="18"/>
    </row>
    <row r="274" customFormat="false" ht="26.85" hidden="false" customHeight="false" outlineLevel="0" collapsed="false">
      <c r="A274" s="17" t="s">
        <v>22</v>
      </c>
      <c r="B274" s="17" t="s">
        <v>670</v>
      </c>
      <c r="C274" s="18" t="s">
        <v>671</v>
      </c>
      <c r="D274" s="17" t="s">
        <v>153</v>
      </c>
      <c r="E274" s="19" t="n">
        <v>3</v>
      </c>
      <c r="F274" s="20" t="n">
        <v>1020</v>
      </c>
      <c r="G274" s="20" t="n">
        <f aca="false">E274*F274</f>
        <v>3060</v>
      </c>
      <c r="H274" s="19" t="n">
        <v>3</v>
      </c>
      <c r="I274" s="20" t="n">
        <v>855</v>
      </c>
      <c r="J274" s="20" t="n">
        <f aca="false">H274*I274</f>
        <v>2565</v>
      </c>
      <c r="K274" s="20"/>
      <c r="L274" s="20" t="n">
        <f aca="false">IF(K274&lt;&gt;"",K274,I274)</f>
        <v>855</v>
      </c>
      <c r="M274" s="20" t="n">
        <f aca="false">H274*L274</f>
        <v>2565</v>
      </c>
      <c r="N274" s="22" t="n">
        <f aca="false">M274-G274</f>
        <v>-495</v>
      </c>
      <c r="O274" s="21" t="n">
        <f aca="false">IF(F274&gt;0,L274/F274-1,"")</f>
        <v>-0.161764705882353</v>
      </c>
      <c r="P274" s="18" t="s">
        <v>30</v>
      </c>
      <c r="Q274" s="18" t="s">
        <v>212</v>
      </c>
      <c r="R274" s="18"/>
    </row>
    <row r="275" customFormat="false" ht="26.85" hidden="false" customHeight="false" outlineLevel="0" collapsed="false">
      <c r="A275" s="17" t="s">
        <v>22</v>
      </c>
      <c r="B275" s="17" t="s">
        <v>672</v>
      </c>
      <c r="C275" s="18" t="s">
        <v>673</v>
      </c>
      <c r="D275" s="17" t="s">
        <v>153</v>
      </c>
      <c r="E275" s="19" t="n">
        <v>2</v>
      </c>
      <c r="F275" s="20" t="n">
        <v>1020</v>
      </c>
      <c r="G275" s="20" t="n">
        <f aca="false">E275*F275</f>
        <v>2040</v>
      </c>
      <c r="H275" s="19" t="n">
        <v>2</v>
      </c>
      <c r="I275" s="20" t="n">
        <v>855</v>
      </c>
      <c r="J275" s="20" t="n">
        <f aca="false">H275*I275</f>
        <v>1710</v>
      </c>
      <c r="K275" s="20"/>
      <c r="L275" s="20" t="n">
        <f aca="false">IF(K275&lt;&gt;"",K275,I275)</f>
        <v>855</v>
      </c>
      <c r="M275" s="20" t="n">
        <f aca="false">H275*L275</f>
        <v>1710</v>
      </c>
      <c r="N275" s="22" t="n">
        <f aca="false">M275-G275</f>
        <v>-330</v>
      </c>
      <c r="O275" s="21" t="n">
        <f aca="false">IF(F275&gt;0,L275/F275-1,"")</f>
        <v>-0.161764705882353</v>
      </c>
      <c r="P275" s="18" t="s">
        <v>30</v>
      </c>
      <c r="Q275" s="18" t="s">
        <v>212</v>
      </c>
      <c r="R275" s="18"/>
    </row>
    <row r="276" customFormat="false" ht="26.85" hidden="false" customHeight="false" outlineLevel="0" collapsed="false">
      <c r="A276" s="17" t="s">
        <v>22</v>
      </c>
      <c r="B276" s="17" t="s">
        <v>674</v>
      </c>
      <c r="C276" s="18" t="s">
        <v>675</v>
      </c>
      <c r="D276" s="17" t="s">
        <v>153</v>
      </c>
      <c r="E276" s="19" t="n">
        <v>2</v>
      </c>
      <c r="F276" s="20" t="n">
        <v>1620</v>
      </c>
      <c r="G276" s="20" t="n">
        <f aca="false">E276*F276</f>
        <v>3240</v>
      </c>
      <c r="H276" s="19" t="n">
        <v>2</v>
      </c>
      <c r="I276" s="20" t="n">
        <v>850</v>
      </c>
      <c r="J276" s="20" t="n">
        <f aca="false">H276*I276</f>
        <v>1700</v>
      </c>
      <c r="K276" s="20"/>
      <c r="L276" s="20" t="n">
        <f aca="false">IF(K276&lt;&gt;"",K276,I276)</f>
        <v>850</v>
      </c>
      <c r="M276" s="20" t="n">
        <f aca="false">H276*L276</f>
        <v>1700</v>
      </c>
      <c r="N276" s="22" t="n">
        <f aca="false">M276-G276</f>
        <v>-1540</v>
      </c>
      <c r="O276" s="21" t="n">
        <f aca="false">IF(F276&gt;0,L276/F276-1,"")</f>
        <v>-0.475308641975309</v>
      </c>
      <c r="P276" s="18" t="s">
        <v>30</v>
      </c>
      <c r="Q276" s="18"/>
      <c r="R276" s="18"/>
    </row>
    <row r="277" customFormat="false" ht="26.85" hidden="false" customHeight="false" outlineLevel="0" collapsed="false">
      <c r="A277" s="17" t="s">
        <v>22</v>
      </c>
      <c r="B277" s="17" t="s">
        <v>676</v>
      </c>
      <c r="C277" s="18" t="s">
        <v>677</v>
      </c>
      <c r="D277" s="17" t="s">
        <v>153</v>
      </c>
      <c r="E277" s="19" t="n">
        <v>2</v>
      </c>
      <c r="F277" s="20" t="n">
        <v>1944</v>
      </c>
      <c r="G277" s="20" t="n">
        <f aca="false">E277*F277</f>
        <v>3888</v>
      </c>
      <c r="H277" s="19" t="n">
        <v>2</v>
      </c>
      <c r="I277" s="20" t="n">
        <v>1190</v>
      </c>
      <c r="J277" s="20" t="n">
        <f aca="false">H277*I277</f>
        <v>2380</v>
      </c>
      <c r="K277" s="20"/>
      <c r="L277" s="20" t="n">
        <f aca="false">IF(K277&lt;&gt;"",K277,I277)</f>
        <v>1190</v>
      </c>
      <c r="M277" s="20" t="n">
        <f aca="false">H277*L277</f>
        <v>2380</v>
      </c>
      <c r="N277" s="22" t="n">
        <f aca="false">M277-G277</f>
        <v>-1508</v>
      </c>
      <c r="O277" s="21" t="n">
        <f aca="false">IF(F277&gt;0,L277/F277-1,"")</f>
        <v>-0.387860082304527</v>
      </c>
      <c r="P277" s="18" t="s">
        <v>30</v>
      </c>
      <c r="Q277" s="18"/>
      <c r="R277" s="18"/>
    </row>
    <row r="278" customFormat="false" ht="26.85" hidden="false" customHeight="false" outlineLevel="0" collapsed="false">
      <c r="A278" s="17" t="s">
        <v>22</v>
      </c>
      <c r="B278" s="17" t="s">
        <v>678</v>
      </c>
      <c r="C278" s="18" t="s">
        <v>679</v>
      </c>
      <c r="D278" s="17" t="s">
        <v>153</v>
      </c>
      <c r="E278" s="19" t="n">
        <v>2</v>
      </c>
      <c r="F278" s="20" t="n">
        <v>1020</v>
      </c>
      <c r="G278" s="20" t="n">
        <f aca="false">E278*F278</f>
        <v>2040</v>
      </c>
      <c r="H278" s="19" t="n">
        <v>2</v>
      </c>
      <c r="I278" s="20" t="n">
        <v>855</v>
      </c>
      <c r="J278" s="20" t="n">
        <f aca="false">H278*I278</f>
        <v>1710</v>
      </c>
      <c r="K278" s="20"/>
      <c r="L278" s="20" t="n">
        <f aca="false">IF(K278&lt;&gt;"",K278,I278)</f>
        <v>855</v>
      </c>
      <c r="M278" s="20" t="n">
        <f aca="false">H278*L278</f>
        <v>1710</v>
      </c>
      <c r="N278" s="22" t="n">
        <f aca="false">M278-G278</f>
        <v>-330</v>
      </c>
      <c r="O278" s="21" t="n">
        <f aca="false">IF(F278&gt;0,L278/F278-1,"")</f>
        <v>-0.161764705882353</v>
      </c>
      <c r="P278" s="18" t="s">
        <v>30</v>
      </c>
      <c r="Q278" s="18" t="s">
        <v>212</v>
      </c>
      <c r="R278" s="18"/>
    </row>
    <row r="279" customFormat="false" ht="26.85" hidden="false" customHeight="false" outlineLevel="0" collapsed="false">
      <c r="A279" s="17" t="s">
        <v>22</v>
      </c>
      <c r="B279" s="17" t="s">
        <v>680</v>
      </c>
      <c r="C279" s="18" t="s">
        <v>453</v>
      </c>
      <c r="D279" s="17" t="s">
        <v>153</v>
      </c>
      <c r="E279" s="19" t="n">
        <v>9</v>
      </c>
      <c r="F279" s="20" t="n">
        <v>1020</v>
      </c>
      <c r="G279" s="20" t="n">
        <f aca="false">E279*F279</f>
        <v>9180</v>
      </c>
      <c r="H279" s="19" t="n">
        <v>9</v>
      </c>
      <c r="I279" s="20" t="n">
        <v>855</v>
      </c>
      <c r="J279" s="20" t="n">
        <f aca="false">H279*I279</f>
        <v>7695</v>
      </c>
      <c r="K279" s="20"/>
      <c r="L279" s="20" t="n">
        <f aca="false">IF(K279&lt;&gt;"",K279,I279)</f>
        <v>855</v>
      </c>
      <c r="M279" s="20" t="n">
        <f aca="false">H279*L279</f>
        <v>7695</v>
      </c>
      <c r="N279" s="22" t="n">
        <f aca="false">M279-G279</f>
        <v>-1485</v>
      </c>
      <c r="O279" s="21" t="n">
        <f aca="false">IF(F279&gt;0,L279/F279-1,"")</f>
        <v>-0.161764705882353</v>
      </c>
      <c r="P279" s="18" t="s">
        <v>30</v>
      </c>
      <c r="Q279" s="18" t="s">
        <v>212</v>
      </c>
      <c r="R279" s="18"/>
    </row>
    <row r="280" customFormat="false" ht="26.85" hidden="false" customHeight="false" outlineLevel="0" collapsed="false">
      <c r="A280" s="17" t="s">
        <v>22</v>
      </c>
      <c r="B280" s="17" t="s">
        <v>681</v>
      </c>
      <c r="C280" s="18" t="s">
        <v>455</v>
      </c>
      <c r="D280" s="17" t="s">
        <v>153</v>
      </c>
      <c r="E280" s="19" t="n">
        <v>9</v>
      </c>
      <c r="F280" s="20" t="n">
        <v>1020</v>
      </c>
      <c r="G280" s="20" t="n">
        <f aca="false">E280*F280</f>
        <v>9180</v>
      </c>
      <c r="H280" s="19" t="n">
        <v>9</v>
      </c>
      <c r="I280" s="20" t="n">
        <v>855</v>
      </c>
      <c r="J280" s="20" t="n">
        <f aca="false">H280*I280</f>
        <v>7695</v>
      </c>
      <c r="K280" s="20"/>
      <c r="L280" s="20" t="n">
        <f aca="false">IF(K280&lt;&gt;"",K280,I280)</f>
        <v>855</v>
      </c>
      <c r="M280" s="20" t="n">
        <f aca="false">H280*L280</f>
        <v>7695</v>
      </c>
      <c r="N280" s="22" t="n">
        <f aca="false">M280-G280</f>
        <v>-1485</v>
      </c>
      <c r="O280" s="21" t="n">
        <f aca="false">IF(F280&gt;0,L280/F280-1,"")</f>
        <v>-0.161764705882353</v>
      </c>
      <c r="P280" s="18" t="s">
        <v>30</v>
      </c>
      <c r="Q280" s="18" t="s">
        <v>212</v>
      </c>
      <c r="R280" s="18"/>
    </row>
    <row r="281" customFormat="false" ht="26.85" hidden="false" customHeight="false" outlineLevel="0" collapsed="false">
      <c r="A281" s="17" t="s">
        <v>22</v>
      </c>
      <c r="B281" s="17" t="s">
        <v>682</v>
      </c>
      <c r="C281" s="18" t="s">
        <v>459</v>
      </c>
      <c r="D281" s="17" t="s">
        <v>153</v>
      </c>
      <c r="E281" s="19" t="n">
        <v>10</v>
      </c>
      <c r="F281" s="20" t="n">
        <v>1020</v>
      </c>
      <c r="G281" s="20" t="n">
        <f aca="false">E281*F281</f>
        <v>10200</v>
      </c>
      <c r="H281" s="19" t="n">
        <v>10</v>
      </c>
      <c r="I281" s="20" t="n">
        <v>855</v>
      </c>
      <c r="J281" s="20" t="n">
        <f aca="false">H281*I281</f>
        <v>8550</v>
      </c>
      <c r="K281" s="20"/>
      <c r="L281" s="20" t="n">
        <f aca="false">IF(K281&lt;&gt;"",K281,I281)</f>
        <v>855</v>
      </c>
      <c r="M281" s="20" t="n">
        <f aca="false">H281*L281</f>
        <v>8550</v>
      </c>
      <c r="N281" s="22" t="n">
        <f aca="false">M281-G281</f>
        <v>-1650</v>
      </c>
      <c r="O281" s="21" t="n">
        <f aca="false">IF(F281&gt;0,L281/F281-1,"")</f>
        <v>-0.161764705882353</v>
      </c>
      <c r="P281" s="18" t="s">
        <v>30</v>
      </c>
      <c r="Q281" s="18" t="s">
        <v>212</v>
      </c>
      <c r="R281" s="18"/>
    </row>
    <row r="282" customFormat="false" ht="26.85" hidden="false" customHeight="false" outlineLevel="0" collapsed="false">
      <c r="A282" s="17" t="s">
        <v>22</v>
      </c>
      <c r="B282" s="17" t="s">
        <v>683</v>
      </c>
      <c r="C282" s="18" t="s">
        <v>684</v>
      </c>
      <c r="D282" s="17" t="s">
        <v>153</v>
      </c>
      <c r="E282" s="19" t="n">
        <v>1</v>
      </c>
      <c r="F282" s="20" t="n">
        <v>1020</v>
      </c>
      <c r="G282" s="20" t="n">
        <f aca="false">E282*F282</f>
        <v>1020</v>
      </c>
      <c r="H282" s="19" t="n">
        <v>1</v>
      </c>
      <c r="I282" s="20" t="n">
        <v>855</v>
      </c>
      <c r="J282" s="20" t="n">
        <f aca="false">H282*I282</f>
        <v>855</v>
      </c>
      <c r="K282" s="20"/>
      <c r="L282" s="20" t="n">
        <f aca="false">IF(K282&lt;&gt;"",K282,I282)</f>
        <v>855</v>
      </c>
      <c r="M282" s="20" t="n">
        <f aca="false">H282*L282</f>
        <v>855</v>
      </c>
      <c r="N282" s="22" t="n">
        <f aca="false">M282-G282</f>
        <v>-165</v>
      </c>
      <c r="O282" s="21" t="n">
        <f aca="false">IF(F282&gt;0,L282/F282-1,"")</f>
        <v>-0.161764705882353</v>
      </c>
      <c r="P282" s="18" t="s">
        <v>30</v>
      </c>
      <c r="Q282" s="18" t="s">
        <v>212</v>
      </c>
      <c r="R282" s="18"/>
    </row>
    <row r="283" customFormat="false" ht="26.85" hidden="false" customHeight="false" outlineLevel="0" collapsed="false">
      <c r="A283" s="17" t="s">
        <v>22</v>
      </c>
      <c r="B283" s="17" t="s">
        <v>685</v>
      </c>
      <c r="C283" s="18" t="s">
        <v>686</v>
      </c>
      <c r="D283" s="17" t="s">
        <v>153</v>
      </c>
      <c r="E283" s="19" t="n">
        <v>2</v>
      </c>
      <c r="F283" s="20" t="n">
        <v>1620</v>
      </c>
      <c r="G283" s="20" t="n">
        <f aca="false">E283*F283</f>
        <v>3240</v>
      </c>
      <c r="H283" s="19" t="n">
        <v>2</v>
      </c>
      <c r="I283" s="20" t="n">
        <v>850</v>
      </c>
      <c r="J283" s="20" t="n">
        <f aca="false">H283*I283</f>
        <v>1700</v>
      </c>
      <c r="K283" s="20"/>
      <c r="L283" s="20" t="n">
        <f aca="false">IF(K283&lt;&gt;"",K283,I283)</f>
        <v>850</v>
      </c>
      <c r="M283" s="20" t="n">
        <f aca="false">H283*L283</f>
        <v>1700</v>
      </c>
      <c r="N283" s="22" t="n">
        <f aca="false">M283-G283</f>
        <v>-1540</v>
      </c>
      <c r="O283" s="21" t="n">
        <f aca="false">IF(F283&gt;0,L283/F283-1,"")</f>
        <v>-0.475308641975309</v>
      </c>
      <c r="P283" s="18" t="s">
        <v>30</v>
      </c>
      <c r="Q283" s="18"/>
      <c r="R283" s="18"/>
    </row>
    <row r="284" customFormat="false" ht="26.85" hidden="false" customHeight="false" outlineLevel="0" collapsed="false">
      <c r="A284" s="17" t="s">
        <v>22</v>
      </c>
      <c r="B284" s="17" t="s">
        <v>687</v>
      </c>
      <c r="C284" s="18" t="s">
        <v>688</v>
      </c>
      <c r="D284" s="17" t="s">
        <v>153</v>
      </c>
      <c r="E284" s="19" t="n">
        <v>2</v>
      </c>
      <c r="F284" s="20" t="n">
        <v>1944</v>
      </c>
      <c r="G284" s="20" t="n">
        <f aca="false">E284*F284</f>
        <v>3888</v>
      </c>
      <c r="H284" s="19" t="n">
        <v>2</v>
      </c>
      <c r="I284" s="20" t="n">
        <v>1190</v>
      </c>
      <c r="J284" s="20" t="n">
        <f aca="false">H284*I284</f>
        <v>2380</v>
      </c>
      <c r="K284" s="20"/>
      <c r="L284" s="20" t="n">
        <f aca="false">IF(K284&lt;&gt;"",K284,I284)</f>
        <v>1190</v>
      </c>
      <c r="M284" s="20" t="n">
        <f aca="false">H284*L284</f>
        <v>2380</v>
      </c>
      <c r="N284" s="22" t="n">
        <f aca="false">M284-G284</f>
        <v>-1508</v>
      </c>
      <c r="O284" s="21" t="n">
        <f aca="false">IF(F284&gt;0,L284/F284-1,"")</f>
        <v>-0.387860082304527</v>
      </c>
      <c r="P284" s="18" t="s">
        <v>30</v>
      </c>
      <c r="Q284" s="18"/>
      <c r="R284" s="18"/>
    </row>
    <row r="285" customFormat="false" ht="26.85" hidden="false" customHeight="false" outlineLevel="0" collapsed="false">
      <c r="A285" s="17" t="s">
        <v>22</v>
      </c>
      <c r="B285" s="17" t="s">
        <v>689</v>
      </c>
      <c r="C285" s="18" t="s">
        <v>461</v>
      </c>
      <c r="D285" s="17" t="s">
        <v>153</v>
      </c>
      <c r="E285" s="19" t="n">
        <v>1</v>
      </c>
      <c r="F285" s="20" t="n">
        <v>1620</v>
      </c>
      <c r="G285" s="20" t="n">
        <f aca="false">E285*F285</f>
        <v>1620</v>
      </c>
      <c r="H285" s="19" t="n">
        <v>1</v>
      </c>
      <c r="I285" s="20" t="n">
        <v>850</v>
      </c>
      <c r="J285" s="20" t="n">
        <f aca="false">H285*I285</f>
        <v>850</v>
      </c>
      <c r="K285" s="20"/>
      <c r="L285" s="20" t="n">
        <f aca="false">IF(K285&lt;&gt;"",K285,I285)</f>
        <v>850</v>
      </c>
      <c r="M285" s="20" t="n">
        <f aca="false">H285*L285</f>
        <v>850</v>
      </c>
      <c r="N285" s="22" t="n">
        <f aca="false">M285-G285</f>
        <v>-770</v>
      </c>
      <c r="O285" s="21" t="n">
        <f aca="false">IF(F285&gt;0,L285/F285-1,"")</f>
        <v>-0.475308641975309</v>
      </c>
      <c r="P285" s="18" t="s">
        <v>30</v>
      </c>
      <c r="Q285" s="18"/>
      <c r="R285" s="18"/>
    </row>
    <row r="286" customFormat="false" ht="26.85" hidden="false" customHeight="false" outlineLevel="0" collapsed="false">
      <c r="A286" s="17" t="s">
        <v>22</v>
      </c>
      <c r="B286" s="17" t="s">
        <v>690</v>
      </c>
      <c r="C286" s="18" t="s">
        <v>463</v>
      </c>
      <c r="D286" s="17" t="s">
        <v>153</v>
      </c>
      <c r="E286" s="19" t="n">
        <v>2</v>
      </c>
      <c r="F286" s="20" t="n">
        <v>1944</v>
      </c>
      <c r="G286" s="20" t="n">
        <f aca="false">E286*F286</f>
        <v>3888</v>
      </c>
      <c r="H286" s="19" t="n">
        <v>2</v>
      </c>
      <c r="I286" s="20" t="n">
        <v>1190</v>
      </c>
      <c r="J286" s="20" t="n">
        <f aca="false">H286*I286</f>
        <v>2380</v>
      </c>
      <c r="K286" s="20"/>
      <c r="L286" s="20" t="n">
        <f aca="false">IF(K286&lt;&gt;"",K286,I286)</f>
        <v>1190</v>
      </c>
      <c r="M286" s="20" t="n">
        <f aca="false">H286*L286</f>
        <v>2380</v>
      </c>
      <c r="N286" s="22" t="n">
        <f aca="false">M286-G286</f>
        <v>-1508</v>
      </c>
      <c r="O286" s="21" t="n">
        <f aca="false">IF(F286&gt;0,L286/F286-1,"")</f>
        <v>-0.387860082304527</v>
      </c>
      <c r="P286" s="18" t="s">
        <v>30</v>
      </c>
      <c r="Q286" s="18"/>
      <c r="R286" s="18"/>
    </row>
    <row r="287" customFormat="false" ht="26.85" hidden="false" customHeight="false" outlineLevel="0" collapsed="false">
      <c r="A287" s="29" t="s">
        <v>22</v>
      </c>
      <c r="B287" s="29" t="s">
        <v>691</v>
      </c>
      <c r="C287" s="30" t="s">
        <v>471</v>
      </c>
      <c r="D287" s="29" t="s">
        <v>153</v>
      </c>
      <c r="E287" s="31" t="n">
        <v>4</v>
      </c>
      <c r="F287" s="32" t="n">
        <v>2106</v>
      </c>
      <c r="G287" s="32" t="n">
        <f aca="false">E287*F287</f>
        <v>8424</v>
      </c>
      <c r="H287" s="31" t="n">
        <v>4</v>
      </c>
      <c r="I287" s="32" t="n">
        <v>2210</v>
      </c>
      <c r="J287" s="32" t="n">
        <f aca="false">H287*I287</f>
        <v>8840</v>
      </c>
      <c r="K287" s="32"/>
      <c r="L287" s="32" t="n">
        <f aca="false">IF(K287&lt;&gt;"",K287,I287)</f>
        <v>2210</v>
      </c>
      <c r="M287" s="32" t="n">
        <f aca="false">H287*L287</f>
        <v>8840</v>
      </c>
      <c r="N287" s="34" t="n">
        <f aca="false">M287-G287</f>
        <v>416</v>
      </c>
      <c r="O287" s="33" t="n">
        <f aca="false">IF(F287&gt;0,L287/F287-1,"")</f>
        <v>0.0493827160493827</v>
      </c>
      <c r="P287" s="30" t="s">
        <v>36</v>
      </c>
      <c r="Q287" s="30"/>
      <c r="R287" s="30"/>
    </row>
    <row r="288" customFormat="false" ht="26.85" hidden="false" customHeight="false" outlineLevel="0" collapsed="false">
      <c r="A288" s="17" t="s">
        <v>22</v>
      </c>
      <c r="B288" s="17" t="s">
        <v>692</v>
      </c>
      <c r="C288" s="18" t="s">
        <v>475</v>
      </c>
      <c r="D288" s="17" t="s">
        <v>153</v>
      </c>
      <c r="E288" s="19" t="n">
        <v>8</v>
      </c>
      <c r="F288" s="20" t="n">
        <v>1020</v>
      </c>
      <c r="G288" s="20" t="n">
        <f aca="false">E288*F288</f>
        <v>8160</v>
      </c>
      <c r="H288" s="19" t="n">
        <v>8</v>
      </c>
      <c r="I288" s="20" t="n">
        <v>855</v>
      </c>
      <c r="J288" s="20" t="n">
        <f aca="false">H288*I288</f>
        <v>6840</v>
      </c>
      <c r="K288" s="20"/>
      <c r="L288" s="20" t="n">
        <f aca="false">IF(K288&lt;&gt;"",K288,I288)</f>
        <v>855</v>
      </c>
      <c r="M288" s="20" t="n">
        <f aca="false">H288*L288</f>
        <v>6840</v>
      </c>
      <c r="N288" s="22" t="n">
        <f aca="false">M288-G288</f>
        <v>-1320</v>
      </c>
      <c r="O288" s="21" t="n">
        <f aca="false">IF(F288&gt;0,L288/F288-1,"")</f>
        <v>-0.161764705882353</v>
      </c>
      <c r="P288" s="18" t="s">
        <v>30</v>
      </c>
      <c r="Q288" s="18" t="s">
        <v>212</v>
      </c>
      <c r="R288" s="18"/>
    </row>
    <row r="289" customFormat="false" ht="26.85" hidden="false" customHeight="false" outlineLevel="0" collapsed="false">
      <c r="A289" s="17" t="s">
        <v>22</v>
      </c>
      <c r="B289" s="17" t="s">
        <v>693</v>
      </c>
      <c r="C289" s="18" t="s">
        <v>694</v>
      </c>
      <c r="D289" s="17" t="s">
        <v>153</v>
      </c>
      <c r="E289" s="19" t="n">
        <v>2</v>
      </c>
      <c r="F289" s="20" t="n">
        <v>1020</v>
      </c>
      <c r="G289" s="20" t="n">
        <f aca="false">E289*F289</f>
        <v>2040</v>
      </c>
      <c r="H289" s="19" t="n">
        <v>2</v>
      </c>
      <c r="I289" s="20" t="n">
        <v>855</v>
      </c>
      <c r="J289" s="20" t="n">
        <f aca="false">H289*I289</f>
        <v>1710</v>
      </c>
      <c r="K289" s="20"/>
      <c r="L289" s="20" t="n">
        <f aca="false">IF(K289&lt;&gt;"",K289,I289)</f>
        <v>855</v>
      </c>
      <c r="M289" s="20" t="n">
        <f aca="false">H289*L289</f>
        <v>1710</v>
      </c>
      <c r="N289" s="22" t="n">
        <f aca="false">M289-G289</f>
        <v>-330</v>
      </c>
      <c r="O289" s="21" t="n">
        <f aca="false">IF(F289&gt;0,L289/F289-1,"")</f>
        <v>-0.161764705882353</v>
      </c>
      <c r="P289" s="18" t="s">
        <v>30</v>
      </c>
      <c r="Q289" s="18" t="s">
        <v>212</v>
      </c>
      <c r="R289" s="18"/>
    </row>
    <row r="290" customFormat="false" ht="26.85" hidden="false" customHeight="false" outlineLevel="0" collapsed="false">
      <c r="A290" s="17" t="s">
        <v>22</v>
      </c>
      <c r="B290" s="17" t="s">
        <v>695</v>
      </c>
      <c r="C290" s="18" t="s">
        <v>477</v>
      </c>
      <c r="D290" s="17" t="s">
        <v>153</v>
      </c>
      <c r="E290" s="19" t="n">
        <v>2</v>
      </c>
      <c r="F290" s="20" t="n">
        <v>1020</v>
      </c>
      <c r="G290" s="20" t="n">
        <f aca="false">E290*F290</f>
        <v>2040</v>
      </c>
      <c r="H290" s="19" t="n">
        <v>2</v>
      </c>
      <c r="I290" s="20" t="n">
        <v>855</v>
      </c>
      <c r="J290" s="20" t="n">
        <f aca="false">H290*I290</f>
        <v>1710</v>
      </c>
      <c r="K290" s="20"/>
      <c r="L290" s="20" t="n">
        <f aca="false">IF(K290&lt;&gt;"",K290,I290)</f>
        <v>855</v>
      </c>
      <c r="M290" s="20" t="n">
        <f aca="false">H290*L290</f>
        <v>1710</v>
      </c>
      <c r="N290" s="22" t="n">
        <f aca="false">M290-G290</f>
        <v>-330</v>
      </c>
      <c r="O290" s="21" t="n">
        <f aca="false">IF(F290&gt;0,L290/F290-1,"")</f>
        <v>-0.161764705882353</v>
      </c>
      <c r="P290" s="18" t="s">
        <v>30</v>
      </c>
      <c r="Q290" s="18" t="s">
        <v>212</v>
      </c>
      <c r="R290" s="18"/>
    </row>
    <row r="291" customFormat="false" ht="26.85" hidden="false" customHeight="false" outlineLevel="0" collapsed="false">
      <c r="A291" s="17" t="s">
        <v>22</v>
      </c>
      <c r="B291" s="17" t="s">
        <v>696</v>
      </c>
      <c r="C291" s="18" t="s">
        <v>479</v>
      </c>
      <c r="D291" s="17" t="s">
        <v>153</v>
      </c>
      <c r="E291" s="19" t="n">
        <v>22</v>
      </c>
      <c r="F291" s="20" t="n">
        <v>1020</v>
      </c>
      <c r="G291" s="20" t="n">
        <f aca="false">E291*F291</f>
        <v>22440</v>
      </c>
      <c r="H291" s="19" t="n">
        <v>22</v>
      </c>
      <c r="I291" s="20" t="n">
        <v>855</v>
      </c>
      <c r="J291" s="20" t="n">
        <f aca="false">H291*I291</f>
        <v>18810</v>
      </c>
      <c r="K291" s="20"/>
      <c r="L291" s="20" t="n">
        <f aca="false">IF(K291&lt;&gt;"",K291,I291)</f>
        <v>855</v>
      </c>
      <c r="M291" s="20" t="n">
        <f aca="false">H291*L291</f>
        <v>18810</v>
      </c>
      <c r="N291" s="22" t="n">
        <f aca="false">M291-G291</f>
        <v>-3630</v>
      </c>
      <c r="O291" s="21" t="n">
        <f aca="false">IF(F291&gt;0,L291/F291-1,"")</f>
        <v>-0.161764705882353</v>
      </c>
      <c r="P291" s="18" t="s">
        <v>30</v>
      </c>
      <c r="Q291" s="18" t="s">
        <v>212</v>
      </c>
      <c r="R291" s="18"/>
    </row>
    <row r="292" customFormat="false" ht="26.85" hidden="false" customHeight="false" outlineLevel="0" collapsed="false">
      <c r="A292" s="17" t="s">
        <v>22</v>
      </c>
      <c r="B292" s="17" t="s">
        <v>697</v>
      </c>
      <c r="C292" s="18" t="s">
        <v>481</v>
      </c>
      <c r="D292" s="17" t="s">
        <v>153</v>
      </c>
      <c r="E292" s="19" t="n">
        <v>2</v>
      </c>
      <c r="F292" s="20" t="n">
        <v>1020</v>
      </c>
      <c r="G292" s="20" t="n">
        <f aca="false">E292*F292</f>
        <v>2040</v>
      </c>
      <c r="H292" s="19" t="n">
        <v>2</v>
      </c>
      <c r="I292" s="20" t="n">
        <v>855</v>
      </c>
      <c r="J292" s="20" t="n">
        <f aca="false">H292*I292</f>
        <v>1710</v>
      </c>
      <c r="K292" s="20"/>
      <c r="L292" s="20" t="n">
        <f aca="false">IF(K292&lt;&gt;"",K292,I292)</f>
        <v>855</v>
      </c>
      <c r="M292" s="20" t="n">
        <f aca="false">H292*L292</f>
        <v>1710</v>
      </c>
      <c r="N292" s="22" t="n">
        <f aca="false">M292-G292</f>
        <v>-330</v>
      </c>
      <c r="O292" s="21" t="n">
        <f aca="false">IF(F292&gt;0,L292/F292-1,"")</f>
        <v>-0.161764705882353</v>
      </c>
      <c r="P292" s="18" t="s">
        <v>30</v>
      </c>
      <c r="Q292" s="18" t="s">
        <v>212</v>
      </c>
      <c r="R292" s="18"/>
    </row>
    <row r="293" customFormat="false" ht="26.85" hidden="false" customHeight="false" outlineLevel="0" collapsed="false">
      <c r="A293" s="17" t="s">
        <v>22</v>
      </c>
      <c r="B293" s="17" t="s">
        <v>698</v>
      </c>
      <c r="C293" s="18" t="s">
        <v>699</v>
      </c>
      <c r="D293" s="17" t="s">
        <v>153</v>
      </c>
      <c r="E293" s="19" t="n">
        <v>1</v>
      </c>
      <c r="F293" s="20" t="n">
        <v>1020</v>
      </c>
      <c r="G293" s="20" t="n">
        <f aca="false">E293*F293</f>
        <v>1020</v>
      </c>
      <c r="H293" s="19" t="n">
        <v>1</v>
      </c>
      <c r="I293" s="20" t="n">
        <v>855</v>
      </c>
      <c r="J293" s="20" t="n">
        <f aca="false">H293*I293</f>
        <v>855</v>
      </c>
      <c r="K293" s="20"/>
      <c r="L293" s="20" t="n">
        <f aca="false">IF(K293&lt;&gt;"",K293,I293)</f>
        <v>855</v>
      </c>
      <c r="M293" s="20" t="n">
        <f aca="false">H293*L293</f>
        <v>855</v>
      </c>
      <c r="N293" s="22" t="n">
        <f aca="false">M293-G293</f>
        <v>-165</v>
      </c>
      <c r="O293" s="21" t="n">
        <f aca="false">IF(F293&gt;0,L293/F293-1,"")</f>
        <v>-0.161764705882353</v>
      </c>
      <c r="P293" s="18" t="s">
        <v>30</v>
      </c>
      <c r="Q293" s="18" t="s">
        <v>212</v>
      </c>
      <c r="R293" s="18"/>
    </row>
    <row r="294" customFormat="false" ht="26.85" hidden="false" customHeight="false" outlineLevel="0" collapsed="false">
      <c r="A294" s="17" t="s">
        <v>22</v>
      </c>
      <c r="B294" s="17" t="s">
        <v>700</v>
      </c>
      <c r="C294" s="18" t="s">
        <v>493</v>
      </c>
      <c r="D294" s="17" t="s">
        <v>153</v>
      </c>
      <c r="E294" s="19" t="n">
        <v>2</v>
      </c>
      <c r="F294" s="20" t="n">
        <v>1020</v>
      </c>
      <c r="G294" s="20" t="n">
        <f aca="false">E294*F294</f>
        <v>2040</v>
      </c>
      <c r="H294" s="19" t="n">
        <v>2</v>
      </c>
      <c r="I294" s="20" t="n">
        <v>855</v>
      </c>
      <c r="J294" s="20" t="n">
        <f aca="false">H294*I294</f>
        <v>1710</v>
      </c>
      <c r="K294" s="20"/>
      <c r="L294" s="20" t="n">
        <f aca="false">IF(K294&lt;&gt;"",K294,I294)</f>
        <v>855</v>
      </c>
      <c r="M294" s="20" t="n">
        <f aca="false">H294*L294</f>
        <v>1710</v>
      </c>
      <c r="N294" s="22" t="n">
        <f aca="false">M294-G294</f>
        <v>-330</v>
      </c>
      <c r="O294" s="21" t="n">
        <f aca="false">IF(F294&gt;0,L294/F294-1,"")</f>
        <v>-0.161764705882353</v>
      </c>
      <c r="P294" s="18" t="s">
        <v>30</v>
      </c>
      <c r="Q294" s="18" t="s">
        <v>212</v>
      </c>
      <c r="R294" s="18"/>
    </row>
    <row r="295" customFormat="false" ht="26.85" hidden="false" customHeight="false" outlineLevel="0" collapsed="false">
      <c r="A295" s="17" t="s">
        <v>22</v>
      </c>
      <c r="B295" s="17" t="s">
        <v>701</v>
      </c>
      <c r="C295" s="18" t="s">
        <v>702</v>
      </c>
      <c r="D295" s="17" t="s">
        <v>153</v>
      </c>
      <c r="E295" s="19" t="n">
        <v>5</v>
      </c>
      <c r="F295" s="20" t="n">
        <v>1020</v>
      </c>
      <c r="G295" s="20" t="n">
        <f aca="false">E295*F295</f>
        <v>5100</v>
      </c>
      <c r="H295" s="19" t="n">
        <v>5</v>
      </c>
      <c r="I295" s="20" t="n">
        <v>855</v>
      </c>
      <c r="J295" s="20" t="n">
        <f aca="false">H295*I295</f>
        <v>4275</v>
      </c>
      <c r="K295" s="20"/>
      <c r="L295" s="20" t="n">
        <f aca="false">IF(K295&lt;&gt;"",K295,I295)</f>
        <v>855</v>
      </c>
      <c r="M295" s="20" t="n">
        <f aca="false">H295*L295</f>
        <v>4275</v>
      </c>
      <c r="N295" s="22" t="n">
        <f aca="false">M295-G295</f>
        <v>-825</v>
      </c>
      <c r="O295" s="21" t="n">
        <f aca="false">IF(F295&gt;0,L295/F295-1,"")</f>
        <v>-0.161764705882353</v>
      </c>
      <c r="P295" s="18" t="s">
        <v>30</v>
      </c>
      <c r="Q295" s="18" t="s">
        <v>212</v>
      </c>
      <c r="R295" s="18"/>
    </row>
    <row r="296" customFormat="false" ht="26.85" hidden="false" customHeight="false" outlineLevel="0" collapsed="false">
      <c r="A296" s="17" t="s">
        <v>22</v>
      </c>
      <c r="B296" s="17" t="s">
        <v>703</v>
      </c>
      <c r="C296" s="18" t="s">
        <v>704</v>
      </c>
      <c r="D296" s="17" t="s">
        <v>153</v>
      </c>
      <c r="E296" s="19" t="n">
        <v>1</v>
      </c>
      <c r="F296" s="20" t="n">
        <v>1020</v>
      </c>
      <c r="G296" s="20" t="n">
        <f aca="false">E296*F296</f>
        <v>1020</v>
      </c>
      <c r="H296" s="19" t="n">
        <v>1</v>
      </c>
      <c r="I296" s="20" t="n">
        <v>855</v>
      </c>
      <c r="J296" s="20" t="n">
        <f aca="false">H296*I296</f>
        <v>855</v>
      </c>
      <c r="K296" s="20"/>
      <c r="L296" s="20" t="n">
        <f aca="false">IF(K296&lt;&gt;"",K296,I296)</f>
        <v>855</v>
      </c>
      <c r="M296" s="20" t="n">
        <f aca="false">H296*L296</f>
        <v>855</v>
      </c>
      <c r="N296" s="22" t="n">
        <f aca="false">M296-G296</f>
        <v>-165</v>
      </c>
      <c r="O296" s="21" t="n">
        <f aca="false">IF(F296&gt;0,L296/F296-1,"")</f>
        <v>-0.161764705882353</v>
      </c>
      <c r="P296" s="18" t="s">
        <v>30</v>
      </c>
      <c r="Q296" s="18" t="s">
        <v>212</v>
      </c>
      <c r="R296" s="18"/>
    </row>
    <row r="297" customFormat="false" ht="26.85" hidden="false" customHeight="false" outlineLevel="0" collapsed="false">
      <c r="A297" s="17" t="s">
        <v>22</v>
      </c>
      <c r="B297" s="17" t="s">
        <v>705</v>
      </c>
      <c r="C297" s="18" t="s">
        <v>706</v>
      </c>
      <c r="D297" s="17" t="s">
        <v>153</v>
      </c>
      <c r="E297" s="19" t="n">
        <v>2</v>
      </c>
      <c r="F297" s="20" t="n">
        <v>1377</v>
      </c>
      <c r="G297" s="20" t="n">
        <f aca="false">E297*F297</f>
        <v>2754</v>
      </c>
      <c r="H297" s="19" t="n">
        <v>2</v>
      </c>
      <c r="I297" s="20" t="n">
        <v>680</v>
      </c>
      <c r="J297" s="20" t="n">
        <f aca="false">H297*I297</f>
        <v>1360</v>
      </c>
      <c r="K297" s="20"/>
      <c r="L297" s="20" t="n">
        <f aca="false">IF(K297&lt;&gt;"",K297,I297)</f>
        <v>680</v>
      </c>
      <c r="M297" s="20" t="n">
        <f aca="false">H297*L297</f>
        <v>1360</v>
      </c>
      <c r="N297" s="22" t="n">
        <f aca="false">M297-G297</f>
        <v>-1394</v>
      </c>
      <c r="O297" s="21" t="n">
        <f aca="false">IF(F297&gt;0,L297/F297-1,"")</f>
        <v>-0.506172839506173</v>
      </c>
      <c r="P297" s="18" t="s">
        <v>30</v>
      </c>
      <c r="Q297" s="18"/>
      <c r="R297" s="18"/>
    </row>
    <row r="298" customFormat="false" ht="26.85" hidden="false" customHeight="false" outlineLevel="0" collapsed="false">
      <c r="A298" s="17" t="s">
        <v>22</v>
      </c>
      <c r="B298" s="17" t="s">
        <v>707</v>
      </c>
      <c r="C298" s="18" t="s">
        <v>708</v>
      </c>
      <c r="D298" s="17" t="s">
        <v>153</v>
      </c>
      <c r="E298" s="19" t="n">
        <v>1</v>
      </c>
      <c r="F298" s="20" t="n">
        <v>1377</v>
      </c>
      <c r="G298" s="20" t="n">
        <f aca="false">E298*F298</f>
        <v>1377</v>
      </c>
      <c r="H298" s="19" t="n">
        <v>1</v>
      </c>
      <c r="I298" s="20" t="n">
        <v>850</v>
      </c>
      <c r="J298" s="20" t="n">
        <f aca="false">H298*I298</f>
        <v>850</v>
      </c>
      <c r="K298" s="20"/>
      <c r="L298" s="20" t="n">
        <f aca="false">IF(K298&lt;&gt;"",K298,I298)</f>
        <v>850</v>
      </c>
      <c r="M298" s="20" t="n">
        <f aca="false">H298*L298</f>
        <v>850</v>
      </c>
      <c r="N298" s="22" t="n">
        <f aca="false">M298-G298</f>
        <v>-527</v>
      </c>
      <c r="O298" s="21" t="n">
        <f aca="false">IF(F298&gt;0,L298/F298-1,"")</f>
        <v>-0.382716049382716</v>
      </c>
      <c r="P298" s="18" t="s">
        <v>30</v>
      </c>
      <c r="Q298" s="18"/>
      <c r="R298" s="18"/>
    </row>
    <row r="299" customFormat="false" ht="26.85" hidden="false" customHeight="false" outlineLevel="0" collapsed="false">
      <c r="A299" s="17" t="s">
        <v>22</v>
      </c>
      <c r="B299" s="17" t="s">
        <v>709</v>
      </c>
      <c r="C299" s="18" t="s">
        <v>710</v>
      </c>
      <c r="D299" s="17" t="s">
        <v>153</v>
      </c>
      <c r="E299" s="19" t="n">
        <v>1</v>
      </c>
      <c r="F299" s="20" t="n">
        <v>1377</v>
      </c>
      <c r="G299" s="20" t="n">
        <f aca="false">E299*F299</f>
        <v>1377</v>
      </c>
      <c r="H299" s="19" t="n">
        <v>1</v>
      </c>
      <c r="I299" s="20" t="n">
        <v>850</v>
      </c>
      <c r="J299" s="20" t="n">
        <f aca="false">H299*I299</f>
        <v>850</v>
      </c>
      <c r="K299" s="20"/>
      <c r="L299" s="20" t="n">
        <f aca="false">IF(K299&lt;&gt;"",K299,I299)</f>
        <v>850</v>
      </c>
      <c r="M299" s="20" t="n">
        <f aca="false">H299*L299</f>
        <v>850</v>
      </c>
      <c r="N299" s="22" t="n">
        <f aca="false">M299-G299</f>
        <v>-527</v>
      </c>
      <c r="O299" s="21" t="n">
        <f aca="false">IF(F299&gt;0,L299/F299-1,"")</f>
        <v>-0.382716049382716</v>
      </c>
      <c r="P299" s="18" t="s">
        <v>30</v>
      </c>
      <c r="Q299" s="18"/>
      <c r="R299" s="18"/>
    </row>
    <row r="300" customFormat="false" ht="26.85" hidden="false" customHeight="false" outlineLevel="0" collapsed="false">
      <c r="A300" s="17" t="s">
        <v>22</v>
      </c>
      <c r="B300" s="17" t="s">
        <v>711</v>
      </c>
      <c r="C300" s="18" t="s">
        <v>712</v>
      </c>
      <c r="D300" s="17" t="s">
        <v>153</v>
      </c>
      <c r="E300" s="19" t="n">
        <v>1</v>
      </c>
      <c r="F300" s="20" t="n">
        <v>1620</v>
      </c>
      <c r="G300" s="20" t="n">
        <f aca="false">E300*F300</f>
        <v>1620</v>
      </c>
      <c r="H300" s="19" t="n">
        <v>1</v>
      </c>
      <c r="I300" s="20" t="n">
        <v>680</v>
      </c>
      <c r="J300" s="20" t="n">
        <f aca="false">H300*I300</f>
        <v>680</v>
      </c>
      <c r="K300" s="20"/>
      <c r="L300" s="20" t="n">
        <f aca="false">IF(K300&lt;&gt;"",K300,I300)</f>
        <v>680</v>
      </c>
      <c r="M300" s="20" t="n">
        <f aca="false">H300*L300</f>
        <v>680</v>
      </c>
      <c r="N300" s="22" t="n">
        <f aca="false">M300-G300</f>
        <v>-940</v>
      </c>
      <c r="O300" s="21" t="n">
        <f aca="false">IF(F300&gt;0,L300/F300-1,"")</f>
        <v>-0.580246913580247</v>
      </c>
      <c r="P300" s="18" t="s">
        <v>30</v>
      </c>
      <c r="Q300" s="18"/>
      <c r="R300" s="18"/>
    </row>
    <row r="301" customFormat="false" ht="26.85" hidden="false" customHeight="false" outlineLevel="0" collapsed="false">
      <c r="A301" s="17" t="s">
        <v>22</v>
      </c>
      <c r="B301" s="17" t="s">
        <v>713</v>
      </c>
      <c r="C301" s="18" t="s">
        <v>714</v>
      </c>
      <c r="D301" s="17" t="s">
        <v>153</v>
      </c>
      <c r="E301" s="19" t="n">
        <v>2</v>
      </c>
      <c r="F301" s="20" t="n">
        <v>1944</v>
      </c>
      <c r="G301" s="20" t="n">
        <f aca="false">E301*F301</f>
        <v>3888</v>
      </c>
      <c r="H301" s="19" t="n">
        <v>2</v>
      </c>
      <c r="I301" s="20" t="n">
        <v>1020</v>
      </c>
      <c r="J301" s="20" t="n">
        <f aca="false">H301*I301</f>
        <v>2040</v>
      </c>
      <c r="K301" s="20"/>
      <c r="L301" s="20" t="n">
        <f aca="false">IF(K301&lt;&gt;"",K301,I301)</f>
        <v>1020</v>
      </c>
      <c r="M301" s="20" t="n">
        <f aca="false">H301*L301</f>
        <v>2040</v>
      </c>
      <c r="N301" s="22" t="n">
        <f aca="false">M301-G301</f>
        <v>-1848</v>
      </c>
      <c r="O301" s="21" t="n">
        <f aca="false">IF(F301&gt;0,L301/F301-1,"")</f>
        <v>-0.475308641975309</v>
      </c>
      <c r="P301" s="18" t="s">
        <v>30</v>
      </c>
      <c r="Q301" s="18"/>
      <c r="R301" s="18"/>
    </row>
    <row r="302" customFormat="false" ht="26.85" hidden="false" customHeight="false" outlineLevel="0" collapsed="false">
      <c r="A302" s="17" t="s">
        <v>22</v>
      </c>
      <c r="B302" s="17" t="s">
        <v>715</v>
      </c>
      <c r="C302" s="18" t="s">
        <v>716</v>
      </c>
      <c r="D302" s="17" t="s">
        <v>153</v>
      </c>
      <c r="E302" s="19" t="n">
        <v>2</v>
      </c>
      <c r="F302" s="20" t="n">
        <v>2592</v>
      </c>
      <c r="G302" s="20" t="n">
        <f aca="false">E302*F302</f>
        <v>5184</v>
      </c>
      <c r="H302" s="19" t="n">
        <v>2</v>
      </c>
      <c r="I302" s="20" t="n">
        <v>1020</v>
      </c>
      <c r="J302" s="20" t="n">
        <f aca="false">H302*I302</f>
        <v>2040</v>
      </c>
      <c r="K302" s="20"/>
      <c r="L302" s="20" t="n">
        <f aca="false">IF(K302&lt;&gt;"",K302,I302)</f>
        <v>1020</v>
      </c>
      <c r="M302" s="20" t="n">
        <f aca="false">H302*L302</f>
        <v>2040</v>
      </c>
      <c r="N302" s="22" t="n">
        <f aca="false">M302-G302</f>
        <v>-3144</v>
      </c>
      <c r="O302" s="21" t="n">
        <f aca="false">IF(F302&gt;0,L302/F302-1,"")</f>
        <v>-0.606481481481481</v>
      </c>
      <c r="P302" s="18" t="s">
        <v>30</v>
      </c>
      <c r="Q302" s="18"/>
      <c r="R302" s="18"/>
    </row>
    <row r="303" customFormat="false" ht="26.85" hidden="false" customHeight="false" outlineLevel="0" collapsed="false">
      <c r="A303" s="17" t="s">
        <v>22</v>
      </c>
      <c r="B303" s="17" t="s">
        <v>717</v>
      </c>
      <c r="C303" s="18" t="s">
        <v>718</v>
      </c>
      <c r="D303" s="17" t="s">
        <v>153</v>
      </c>
      <c r="E303" s="19" t="n">
        <v>5</v>
      </c>
      <c r="F303" s="20" t="n">
        <v>1020</v>
      </c>
      <c r="G303" s="20" t="n">
        <f aca="false">E303*F303</f>
        <v>5100</v>
      </c>
      <c r="H303" s="19" t="n">
        <v>5</v>
      </c>
      <c r="I303" s="20" t="n">
        <v>855</v>
      </c>
      <c r="J303" s="20" t="n">
        <f aca="false">H303*I303</f>
        <v>4275</v>
      </c>
      <c r="K303" s="20"/>
      <c r="L303" s="20" t="n">
        <f aca="false">IF(K303&lt;&gt;"",K303,I303)</f>
        <v>855</v>
      </c>
      <c r="M303" s="20" t="n">
        <f aca="false">H303*L303</f>
        <v>4275</v>
      </c>
      <c r="N303" s="22" t="n">
        <f aca="false">M303-G303</f>
        <v>-825</v>
      </c>
      <c r="O303" s="21" t="n">
        <f aca="false">IF(F303&gt;0,L303/F303-1,"")</f>
        <v>-0.161764705882353</v>
      </c>
      <c r="P303" s="18" t="s">
        <v>30</v>
      </c>
      <c r="Q303" s="18" t="s">
        <v>212</v>
      </c>
      <c r="R303" s="18"/>
    </row>
    <row r="304" customFormat="false" ht="26.85" hidden="false" customHeight="false" outlineLevel="0" collapsed="false">
      <c r="A304" s="17" t="s">
        <v>22</v>
      </c>
      <c r="B304" s="17" t="s">
        <v>719</v>
      </c>
      <c r="C304" s="18" t="s">
        <v>720</v>
      </c>
      <c r="D304" s="17" t="s">
        <v>153</v>
      </c>
      <c r="E304" s="19" t="n">
        <v>2</v>
      </c>
      <c r="F304" s="20" t="n">
        <v>1944</v>
      </c>
      <c r="G304" s="20" t="n">
        <f aca="false">E304*F304</f>
        <v>3888</v>
      </c>
      <c r="H304" s="19" t="n">
        <v>2</v>
      </c>
      <c r="I304" s="20" t="n">
        <v>370</v>
      </c>
      <c r="J304" s="20" t="n">
        <f aca="false">H304*I304</f>
        <v>740</v>
      </c>
      <c r="K304" s="20"/>
      <c r="L304" s="20" t="n">
        <f aca="false">IF(K304&lt;&gt;"",K304,I304)</f>
        <v>370</v>
      </c>
      <c r="M304" s="20" t="n">
        <f aca="false">H304*L304</f>
        <v>740</v>
      </c>
      <c r="N304" s="22" t="n">
        <f aca="false">M304-G304</f>
        <v>-3148</v>
      </c>
      <c r="O304" s="21" t="n">
        <f aca="false">IF(F304&gt;0,L304/F304-1,"")</f>
        <v>-0.809670781893004</v>
      </c>
      <c r="P304" s="18" t="s">
        <v>30</v>
      </c>
      <c r="Q304" s="18"/>
      <c r="R304" s="18"/>
    </row>
    <row r="305" customFormat="false" ht="26.85" hidden="false" customHeight="false" outlineLevel="0" collapsed="false">
      <c r="A305" s="17" t="s">
        <v>22</v>
      </c>
      <c r="B305" s="17" t="s">
        <v>721</v>
      </c>
      <c r="C305" s="18" t="s">
        <v>515</v>
      </c>
      <c r="D305" s="17" t="s">
        <v>153</v>
      </c>
      <c r="E305" s="19" t="n">
        <v>20</v>
      </c>
      <c r="F305" s="20" t="n">
        <v>1020</v>
      </c>
      <c r="G305" s="20" t="n">
        <f aca="false">E305*F305</f>
        <v>20400</v>
      </c>
      <c r="H305" s="19" t="n">
        <v>20</v>
      </c>
      <c r="I305" s="20" t="n">
        <v>370</v>
      </c>
      <c r="J305" s="20" t="n">
        <f aca="false">H305*I305</f>
        <v>7400</v>
      </c>
      <c r="K305" s="20"/>
      <c r="L305" s="20" t="n">
        <f aca="false">IF(K305&lt;&gt;"",K305,I305)</f>
        <v>370</v>
      </c>
      <c r="M305" s="20" t="n">
        <f aca="false">H305*L305</f>
        <v>7400</v>
      </c>
      <c r="N305" s="22" t="n">
        <f aca="false">M305-G305</f>
        <v>-13000</v>
      </c>
      <c r="O305" s="21" t="n">
        <f aca="false">IF(F305&gt;0,L305/F305-1,"")</f>
        <v>-0.637254901960784</v>
      </c>
      <c r="P305" s="18" t="s">
        <v>30</v>
      </c>
      <c r="Q305" s="18"/>
      <c r="R305" s="18"/>
    </row>
    <row r="306" customFormat="false" ht="26.85" hidden="false" customHeight="false" outlineLevel="0" collapsed="false">
      <c r="A306" s="17" t="s">
        <v>22</v>
      </c>
      <c r="B306" s="17" t="s">
        <v>722</v>
      </c>
      <c r="C306" s="18" t="s">
        <v>517</v>
      </c>
      <c r="D306" s="17" t="s">
        <v>153</v>
      </c>
      <c r="E306" s="19" t="n">
        <v>20</v>
      </c>
      <c r="F306" s="20" t="n">
        <v>1020</v>
      </c>
      <c r="G306" s="20" t="n">
        <f aca="false">E306*F306</f>
        <v>20400</v>
      </c>
      <c r="H306" s="19" t="n">
        <v>20</v>
      </c>
      <c r="I306" s="20" t="n">
        <v>370</v>
      </c>
      <c r="J306" s="20" t="n">
        <f aca="false">H306*I306</f>
        <v>7400</v>
      </c>
      <c r="K306" s="20"/>
      <c r="L306" s="20" t="n">
        <f aca="false">IF(K306&lt;&gt;"",K306,I306)</f>
        <v>370</v>
      </c>
      <c r="M306" s="20" t="n">
        <f aca="false">H306*L306</f>
        <v>7400</v>
      </c>
      <c r="N306" s="22" t="n">
        <f aca="false">M306-G306</f>
        <v>-13000</v>
      </c>
      <c r="O306" s="21" t="n">
        <f aca="false">IF(F306&gt;0,L306/F306-1,"")</f>
        <v>-0.637254901960784</v>
      </c>
      <c r="P306" s="18" t="s">
        <v>30</v>
      </c>
      <c r="Q306" s="18"/>
      <c r="R306" s="18"/>
    </row>
    <row r="307" customFormat="false" ht="26.85" hidden="false" customHeight="false" outlineLevel="0" collapsed="false">
      <c r="A307" s="17" t="s">
        <v>22</v>
      </c>
      <c r="B307" s="17" t="s">
        <v>723</v>
      </c>
      <c r="C307" s="18" t="s">
        <v>519</v>
      </c>
      <c r="D307" s="17" t="s">
        <v>153</v>
      </c>
      <c r="E307" s="19" t="n">
        <v>10</v>
      </c>
      <c r="F307" s="20" t="n">
        <v>1020</v>
      </c>
      <c r="G307" s="20" t="n">
        <f aca="false">E307*F307</f>
        <v>10200</v>
      </c>
      <c r="H307" s="19" t="n">
        <v>10</v>
      </c>
      <c r="I307" s="20" t="n">
        <v>370</v>
      </c>
      <c r="J307" s="20" t="n">
        <f aca="false">H307*I307</f>
        <v>3700</v>
      </c>
      <c r="K307" s="20"/>
      <c r="L307" s="20" t="n">
        <f aca="false">IF(K307&lt;&gt;"",K307,I307)</f>
        <v>370</v>
      </c>
      <c r="M307" s="20" t="n">
        <f aca="false">H307*L307</f>
        <v>3700</v>
      </c>
      <c r="N307" s="22" t="n">
        <f aca="false">M307-G307</f>
        <v>-6500</v>
      </c>
      <c r="O307" s="21" t="n">
        <f aca="false">IF(F307&gt;0,L307/F307-1,"")</f>
        <v>-0.637254901960784</v>
      </c>
      <c r="P307" s="18" t="s">
        <v>30</v>
      </c>
      <c r="Q307" s="18"/>
      <c r="R307" s="18"/>
    </row>
    <row r="308" customFormat="false" ht="26.85" hidden="false" customHeight="false" outlineLevel="0" collapsed="false">
      <c r="A308" s="17" t="s">
        <v>22</v>
      </c>
      <c r="B308" s="17" t="s">
        <v>724</v>
      </c>
      <c r="C308" s="18" t="s">
        <v>521</v>
      </c>
      <c r="D308" s="17" t="s">
        <v>153</v>
      </c>
      <c r="E308" s="19" t="n">
        <v>10</v>
      </c>
      <c r="F308" s="20" t="n">
        <v>1020</v>
      </c>
      <c r="G308" s="20" t="n">
        <f aca="false">E308*F308</f>
        <v>10200</v>
      </c>
      <c r="H308" s="19" t="n">
        <v>10</v>
      </c>
      <c r="I308" s="20" t="n">
        <v>370</v>
      </c>
      <c r="J308" s="20" t="n">
        <f aca="false">H308*I308</f>
        <v>3700</v>
      </c>
      <c r="K308" s="20"/>
      <c r="L308" s="20" t="n">
        <f aca="false">IF(K308&lt;&gt;"",K308,I308)</f>
        <v>370</v>
      </c>
      <c r="M308" s="20" t="n">
        <f aca="false">H308*L308</f>
        <v>3700</v>
      </c>
      <c r="N308" s="22" t="n">
        <f aca="false">M308-G308</f>
        <v>-6500</v>
      </c>
      <c r="O308" s="21" t="n">
        <f aca="false">IF(F308&gt;0,L308/F308-1,"")</f>
        <v>-0.637254901960784</v>
      </c>
      <c r="P308" s="18" t="s">
        <v>30</v>
      </c>
      <c r="Q308" s="18"/>
      <c r="R308" s="18"/>
    </row>
    <row r="309" customFormat="false" ht="15" hidden="false" customHeight="false" outlineLevel="0" collapsed="false">
      <c r="A309" s="42" t="s">
        <v>22</v>
      </c>
      <c r="B309" s="42" t="s">
        <v>725</v>
      </c>
      <c r="C309" s="37" t="s">
        <v>523</v>
      </c>
      <c r="D309" s="42" t="s">
        <v>153</v>
      </c>
      <c r="E309" s="43" t="n">
        <v>1</v>
      </c>
      <c r="F309" s="44" t="n">
        <v>1296</v>
      </c>
      <c r="G309" s="44" t="n">
        <f aca="false">E309*F309</f>
        <v>1296</v>
      </c>
      <c r="H309" s="43" t="n">
        <v>1</v>
      </c>
      <c r="I309" s="44" t="n">
        <v>1296</v>
      </c>
      <c r="J309" s="44" t="n">
        <f aca="false">H309*I309</f>
        <v>1296</v>
      </c>
      <c r="K309" s="44"/>
      <c r="L309" s="44" t="n">
        <f aca="false">IF(K309&lt;&gt;"",K309,I309)</f>
        <v>1296</v>
      </c>
      <c r="M309" s="44" t="n">
        <f aca="false">H309*L309</f>
        <v>1296</v>
      </c>
      <c r="N309" s="45" t="n">
        <f aca="false">M309-G309</f>
        <v>0</v>
      </c>
      <c r="O309" s="46" t="n">
        <f aca="false">IF(F309&gt;0,L309/F309-1,"")</f>
        <v>0</v>
      </c>
      <c r="P309" s="37" t="s">
        <v>37</v>
      </c>
      <c r="Q309" s="37"/>
      <c r="R309" s="37"/>
    </row>
    <row r="310" customFormat="false" ht="15" hidden="false" customHeight="false" outlineLevel="0" collapsed="false">
      <c r="A310" s="42" t="s">
        <v>22</v>
      </c>
      <c r="B310" s="42" t="s">
        <v>726</v>
      </c>
      <c r="C310" s="37" t="s">
        <v>525</v>
      </c>
      <c r="D310" s="42" t="s">
        <v>153</v>
      </c>
      <c r="E310" s="43" t="n">
        <v>1</v>
      </c>
      <c r="F310" s="44" t="n">
        <v>3240</v>
      </c>
      <c r="G310" s="44" t="n">
        <f aca="false">E310*F310</f>
        <v>3240</v>
      </c>
      <c r="H310" s="43" t="n">
        <v>1</v>
      </c>
      <c r="I310" s="44" t="n">
        <v>3240</v>
      </c>
      <c r="J310" s="44" t="n">
        <f aca="false">H310*I310</f>
        <v>3240</v>
      </c>
      <c r="K310" s="44"/>
      <c r="L310" s="44" t="n">
        <f aca="false">IF(K310&lt;&gt;"",K310,I310)</f>
        <v>3240</v>
      </c>
      <c r="M310" s="44" t="n">
        <f aca="false">H310*L310</f>
        <v>3240</v>
      </c>
      <c r="N310" s="45" t="n">
        <f aca="false">M310-G310</f>
        <v>0</v>
      </c>
      <c r="O310" s="46" t="n">
        <f aca="false">IF(F310&gt;0,L310/F310-1,"")</f>
        <v>0</v>
      </c>
      <c r="P310" s="37" t="s">
        <v>37</v>
      </c>
      <c r="Q310" s="37"/>
      <c r="R310" s="37"/>
    </row>
    <row r="311" customFormat="false" ht="26.85" hidden="false" customHeight="false" outlineLevel="0" collapsed="false">
      <c r="A311" s="17" t="s">
        <v>22</v>
      </c>
      <c r="B311" s="17" t="s">
        <v>727</v>
      </c>
      <c r="C311" s="18" t="s">
        <v>728</v>
      </c>
      <c r="D311" s="17" t="s">
        <v>297</v>
      </c>
      <c r="E311" s="19" t="n">
        <v>1</v>
      </c>
      <c r="F311" s="20" t="n">
        <v>388800</v>
      </c>
      <c r="G311" s="20" t="n">
        <f aca="false">E311*F311</f>
        <v>388800</v>
      </c>
      <c r="H311" s="19" t="n">
        <v>0</v>
      </c>
      <c r="I311" s="20"/>
      <c r="J311" s="20" t="n">
        <f aca="false">H311*I311</f>
        <v>0</v>
      </c>
      <c r="K311" s="20"/>
      <c r="L311" s="20" t="n">
        <f aca="false">IF(K311&lt;&gt;"",K311,I311)</f>
        <v>0</v>
      </c>
      <c r="M311" s="20" t="n">
        <f aca="false">H311*L311</f>
        <v>0</v>
      </c>
      <c r="N311" s="22" t="n">
        <f aca="false">M311-G311</f>
        <v>-388800</v>
      </c>
      <c r="O311" s="21" t="n">
        <f aca="false">IF(F311&gt;0,L311/F311-1,"")</f>
        <v>-1</v>
      </c>
      <c r="P311" s="18" t="s">
        <v>32</v>
      </c>
      <c r="Q311" s="18"/>
      <c r="R311" s="18"/>
    </row>
    <row r="312" customFormat="false" ht="15" hidden="false" customHeight="false" outlineLevel="0" collapsed="false">
      <c r="A312" s="17" t="s">
        <v>22</v>
      </c>
      <c r="B312" s="17" t="s">
        <v>729</v>
      </c>
      <c r="C312" s="18" t="s">
        <v>528</v>
      </c>
      <c r="D312" s="17" t="s">
        <v>186</v>
      </c>
      <c r="E312" s="19" t="n">
        <v>150</v>
      </c>
      <c r="F312" s="20" t="n">
        <v>1092</v>
      </c>
      <c r="G312" s="20" t="n">
        <f aca="false">E312*F312</f>
        <v>163800</v>
      </c>
      <c r="H312" s="19" t="n">
        <v>150</v>
      </c>
      <c r="I312" s="20" t="n">
        <v>800</v>
      </c>
      <c r="J312" s="20" t="n">
        <f aca="false">H312*I312</f>
        <v>120000</v>
      </c>
      <c r="K312" s="20"/>
      <c r="L312" s="20" t="n">
        <f aca="false">IF(K312&lt;&gt;"",K312,I312)</f>
        <v>800</v>
      </c>
      <c r="M312" s="20" t="n">
        <f aca="false">H312*L312</f>
        <v>120000</v>
      </c>
      <c r="N312" s="22" t="n">
        <f aca="false">M312-G312</f>
        <v>-43800</v>
      </c>
      <c r="O312" s="21" t="n">
        <f aca="false">IF(F312&gt;0,L312/F312-1,"")</f>
        <v>-0.267399267399267</v>
      </c>
      <c r="P312" s="18" t="s">
        <v>30</v>
      </c>
      <c r="Q312" s="18"/>
      <c r="R312" s="18"/>
    </row>
    <row r="313" customFormat="false" ht="15" hidden="false" customHeight="false" outlineLevel="0" collapsed="false">
      <c r="A313" s="17" t="s">
        <v>22</v>
      </c>
      <c r="B313" s="17" t="s">
        <v>730</v>
      </c>
      <c r="C313" s="18" t="s">
        <v>530</v>
      </c>
      <c r="D313" s="17" t="s">
        <v>303</v>
      </c>
      <c r="E313" s="19" t="n">
        <v>80</v>
      </c>
      <c r="F313" s="20" t="n">
        <v>1020</v>
      </c>
      <c r="G313" s="20" t="n">
        <f aca="false">E313*F313</f>
        <v>81600</v>
      </c>
      <c r="H313" s="19" t="n">
        <v>80</v>
      </c>
      <c r="I313" s="20" t="n">
        <v>800</v>
      </c>
      <c r="J313" s="20" t="n">
        <f aca="false">H313*I313</f>
        <v>64000</v>
      </c>
      <c r="K313" s="20"/>
      <c r="L313" s="20" t="n">
        <f aca="false">IF(K313&lt;&gt;"",K313,I313)</f>
        <v>800</v>
      </c>
      <c r="M313" s="20" t="n">
        <f aca="false">H313*L313</f>
        <v>64000</v>
      </c>
      <c r="N313" s="22" t="n">
        <f aca="false">M313-G313</f>
        <v>-17600</v>
      </c>
      <c r="O313" s="21" t="n">
        <f aca="false">IF(F313&gt;0,L313/F313-1,"")</f>
        <v>-0.215686274509804</v>
      </c>
      <c r="P313" s="18" t="s">
        <v>30</v>
      </c>
      <c r="Q313" s="18" t="s">
        <v>531</v>
      </c>
      <c r="R313" s="18"/>
    </row>
    <row r="314" customFormat="false" ht="15" hidden="false" customHeight="false" outlineLevel="0" collapsed="false">
      <c r="A314" s="17" t="s">
        <v>22</v>
      </c>
      <c r="B314" s="17" t="s">
        <v>731</v>
      </c>
      <c r="C314" s="18" t="s">
        <v>732</v>
      </c>
      <c r="D314" s="17" t="s">
        <v>297</v>
      </c>
      <c r="E314" s="19" t="n">
        <v>1</v>
      </c>
      <c r="F314" s="20" t="n">
        <v>162000</v>
      </c>
      <c r="G314" s="20" t="n">
        <f aca="false">E314*F314</f>
        <v>162000</v>
      </c>
      <c r="H314" s="19" t="n">
        <v>1</v>
      </c>
      <c r="I314" s="20" t="n">
        <v>95000</v>
      </c>
      <c r="J314" s="20" t="n">
        <f aca="false">H314*I314</f>
        <v>95000</v>
      </c>
      <c r="K314" s="20"/>
      <c r="L314" s="20" t="n">
        <f aca="false">IF(K314&lt;&gt;"",K314,I314)</f>
        <v>95000</v>
      </c>
      <c r="M314" s="20" t="n">
        <f aca="false">H314*L314</f>
        <v>95000</v>
      </c>
      <c r="N314" s="22" t="n">
        <f aca="false">M314-G314</f>
        <v>-67000</v>
      </c>
      <c r="O314" s="21" t="n">
        <f aca="false">IF(F314&gt;0,L314/F314-1,"")</f>
        <v>-0.41358024691358</v>
      </c>
      <c r="P314" s="18" t="s">
        <v>30</v>
      </c>
      <c r="Q314" s="18" t="s">
        <v>534</v>
      </c>
      <c r="R314" s="18"/>
    </row>
    <row r="315" customFormat="false" ht="15" hidden="false" customHeight="false" outlineLevel="0" collapsed="false">
      <c r="A315" s="40"/>
      <c r="B315" s="41" t="s">
        <v>23</v>
      </c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</row>
    <row r="316" customFormat="false" ht="26.85" hidden="false" customHeight="false" outlineLevel="0" collapsed="false">
      <c r="A316" s="17" t="s">
        <v>23</v>
      </c>
      <c r="B316" s="17" t="s">
        <v>733</v>
      </c>
      <c r="C316" s="18" t="s">
        <v>536</v>
      </c>
      <c r="D316" s="17" t="s">
        <v>186</v>
      </c>
      <c r="E316" s="19" t="n">
        <v>168</v>
      </c>
      <c r="F316" s="20" t="n">
        <v>2560</v>
      </c>
      <c r="G316" s="20" t="n">
        <f aca="false">E316*F316</f>
        <v>430080</v>
      </c>
      <c r="H316" s="19" t="n">
        <v>168</v>
      </c>
      <c r="I316" s="20"/>
      <c r="J316" s="20" t="n">
        <f aca="false">H316*I316</f>
        <v>0</v>
      </c>
      <c r="K316" s="20"/>
      <c r="L316" s="20" t="n">
        <f aca="false">IF(K316&lt;&gt;"",K316,I316)</f>
        <v>0</v>
      </c>
      <c r="M316" s="20" t="n">
        <f aca="false">H316*L316</f>
        <v>0</v>
      </c>
      <c r="N316" s="22" t="n">
        <f aca="false">M316-G316</f>
        <v>-430080</v>
      </c>
      <c r="O316" s="21" t="n">
        <f aca="false">IF(F316&gt;0,L316/F316-1,"")</f>
        <v>-1</v>
      </c>
      <c r="P316" s="18" t="s">
        <v>33</v>
      </c>
      <c r="Q316" s="18" t="s">
        <v>537</v>
      </c>
      <c r="R316" s="18"/>
    </row>
    <row r="317" customFormat="false" ht="26.85" hidden="false" customHeight="false" outlineLevel="0" collapsed="false">
      <c r="A317" s="17" t="s">
        <v>23</v>
      </c>
      <c r="B317" s="17" t="s">
        <v>734</v>
      </c>
      <c r="C317" s="18" t="s">
        <v>539</v>
      </c>
      <c r="D317" s="17" t="s">
        <v>186</v>
      </c>
      <c r="E317" s="19" t="n">
        <v>186</v>
      </c>
      <c r="F317" s="20" t="n">
        <v>1440</v>
      </c>
      <c r="G317" s="20" t="n">
        <f aca="false">E317*F317</f>
        <v>267840</v>
      </c>
      <c r="H317" s="19" t="n">
        <v>186</v>
      </c>
      <c r="I317" s="20"/>
      <c r="J317" s="20" t="n">
        <f aca="false">H317*I317</f>
        <v>0</v>
      </c>
      <c r="K317" s="20"/>
      <c r="L317" s="20" t="n">
        <f aca="false">IF(K317&lt;&gt;"",K317,I317)</f>
        <v>0</v>
      </c>
      <c r="M317" s="20" t="n">
        <f aca="false">H317*L317</f>
        <v>0</v>
      </c>
      <c r="N317" s="22" t="n">
        <f aca="false">M317-G317</f>
        <v>-267840</v>
      </c>
      <c r="O317" s="21" t="n">
        <f aca="false">IF(F317&gt;0,L317/F317-1,"")</f>
        <v>-1</v>
      </c>
      <c r="P317" s="18" t="s">
        <v>33</v>
      </c>
      <c r="Q317" s="18" t="s">
        <v>537</v>
      </c>
      <c r="R317" s="18"/>
    </row>
    <row r="318" customFormat="false" ht="26.85" hidden="false" customHeight="false" outlineLevel="0" collapsed="false">
      <c r="A318" s="17" t="s">
        <v>23</v>
      </c>
      <c r="B318" s="17" t="s">
        <v>735</v>
      </c>
      <c r="C318" s="18" t="s">
        <v>541</v>
      </c>
      <c r="D318" s="17" t="s">
        <v>153</v>
      </c>
      <c r="E318" s="19" t="n">
        <v>3</v>
      </c>
      <c r="F318" s="20" t="n">
        <v>9600</v>
      </c>
      <c r="G318" s="20" t="n">
        <f aca="false">E318*F318</f>
        <v>28800</v>
      </c>
      <c r="H318" s="19" t="n">
        <v>3</v>
      </c>
      <c r="I318" s="20"/>
      <c r="J318" s="20" t="n">
        <f aca="false">H318*I318</f>
        <v>0</v>
      </c>
      <c r="K318" s="20"/>
      <c r="L318" s="20" t="n">
        <f aca="false">IF(K318&lt;&gt;"",K318,I318)</f>
        <v>0</v>
      </c>
      <c r="M318" s="20" t="n">
        <f aca="false">H318*L318</f>
        <v>0</v>
      </c>
      <c r="N318" s="22" t="n">
        <f aca="false">M318-G318</f>
        <v>-28800</v>
      </c>
      <c r="O318" s="21" t="n">
        <f aca="false">IF(F318&gt;0,L318/F318-1,"")</f>
        <v>-1</v>
      </c>
      <c r="P318" s="18" t="s">
        <v>33</v>
      </c>
      <c r="Q318" s="18" t="s">
        <v>537</v>
      </c>
      <c r="R318" s="18"/>
    </row>
    <row r="319" customFormat="false" ht="26.85" hidden="false" customHeight="false" outlineLevel="0" collapsed="false">
      <c r="A319" s="17" t="s">
        <v>23</v>
      </c>
      <c r="B319" s="17" t="s">
        <v>736</v>
      </c>
      <c r="C319" s="18" t="s">
        <v>543</v>
      </c>
      <c r="D319" s="17" t="s">
        <v>153</v>
      </c>
      <c r="E319" s="19" t="n">
        <v>6</v>
      </c>
      <c r="F319" s="20" t="n">
        <v>8000</v>
      </c>
      <c r="G319" s="20" t="n">
        <f aca="false">E319*F319</f>
        <v>48000</v>
      </c>
      <c r="H319" s="19" t="n">
        <v>6</v>
      </c>
      <c r="I319" s="20"/>
      <c r="J319" s="20" t="n">
        <f aca="false">H319*I319</f>
        <v>0</v>
      </c>
      <c r="K319" s="20"/>
      <c r="L319" s="20" t="n">
        <f aca="false">IF(K319&lt;&gt;"",K319,I319)</f>
        <v>0</v>
      </c>
      <c r="M319" s="20" t="n">
        <f aca="false">H319*L319</f>
        <v>0</v>
      </c>
      <c r="N319" s="22" t="n">
        <f aca="false">M319-G319</f>
        <v>-48000</v>
      </c>
      <c r="O319" s="21" t="n">
        <f aca="false">IF(F319&gt;0,L319/F319-1,"")</f>
        <v>-1</v>
      </c>
      <c r="P319" s="18" t="s">
        <v>33</v>
      </c>
      <c r="Q319" s="18" t="s">
        <v>537</v>
      </c>
      <c r="R319" s="18"/>
    </row>
    <row r="320" customFormat="false" ht="15" hidden="false" customHeight="false" outlineLevel="0" collapsed="false">
      <c r="A320" s="40"/>
      <c r="B320" s="41" t="s">
        <v>24</v>
      </c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</row>
    <row r="321" customFormat="false" ht="15" hidden="false" customHeight="false" outlineLevel="0" collapsed="false">
      <c r="A321" s="17" t="s">
        <v>24</v>
      </c>
      <c r="B321" s="17" t="s">
        <v>737</v>
      </c>
      <c r="C321" s="18" t="s">
        <v>738</v>
      </c>
      <c r="D321" s="17" t="s">
        <v>153</v>
      </c>
      <c r="E321" s="19" t="n">
        <v>31</v>
      </c>
      <c r="F321" s="20" t="n">
        <v>29160</v>
      </c>
      <c r="G321" s="20" t="n">
        <f aca="false">E321*F321</f>
        <v>903960</v>
      </c>
      <c r="H321" s="19" t="n">
        <v>31</v>
      </c>
      <c r="I321" s="20" t="n">
        <v>14000</v>
      </c>
      <c r="J321" s="20" t="n">
        <f aca="false">H321*I321</f>
        <v>434000</v>
      </c>
      <c r="K321" s="20"/>
      <c r="L321" s="20" t="n">
        <f aca="false">IF(K321&lt;&gt;"",K321,I321)</f>
        <v>14000</v>
      </c>
      <c r="M321" s="20" t="n">
        <f aca="false">H321*L321</f>
        <v>434000</v>
      </c>
      <c r="N321" s="22" t="n">
        <f aca="false">M321-G321</f>
        <v>-469960</v>
      </c>
      <c r="O321" s="21" t="n">
        <f aca="false">IF(F321&gt;0,L321/F321-1,"")</f>
        <v>-0.519890260631001</v>
      </c>
      <c r="P321" s="18" t="s">
        <v>30</v>
      </c>
      <c r="Q321" s="18"/>
      <c r="R321" s="18"/>
    </row>
    <row r="322" customFormat="false" ht="26.85" hidden="false" customHeight="false" outlineLevel="0" collapsed="false">
      <c r="A322" s="17" t="s">
        <v>24</v>
      </c>
      <c r="B322" s="17" t="s">
        <v>739</v>
      </c>
      <c r="C322" s="18" t="s">
        <v>740</v>
      </c>
      <c r="D322" s="17" t="s">
        <v>153</v>
      </c>
      <c r="E322" s="19" t="n">
        <v>31</v>
      </c>
      <c r="F322" s="20" t="n">
        <v>5670</v>
      </c>
      <c r="G322" s="20" t="n">
        <f aca="false">E322*F322</f>
        <v>175770</v>
      </c>
      <c r="H322" s="19" t="n">
        <v>0</v>
      </c>
      <c r="I322" s="20"/>
      <c r="J322" s="20" t="n">
        <f aca="false">H322*I322</f>
        <v>0</v>
      </c>
      <c r="K322" s="20"/>
      <c r="L322" s="20" t="n">
        <f aca="false">IF(K322&lt;&gt;"",K322,I322)</f>
        <v>0</v>
      </c>
      <c r="M322" s="20" t="n">
        <f aca="false">H322*L322</f>
        <v>0</v>
      </c>
      <c r="N322" s="22" t="n">
        <f aca="false">M322-G322</f>
        <v>-175770</v>
      </c>
      <c r="O322" s="21" t="n">
        <f aca="false">IF(F322&gt;0,L322/F322-1,"")</f>
        <v>-1</v>
      </c>
      <c r="P322" s="18" t="s">
        <v>32</v>
      </c>
      <c r="Q322" s="18"/>
      <c r="R322" s="18"/>
    </row>
    <row r="323" customFormat="false" ht="26.85" hidden="false" customHeight="false" outlineLevel="0" collapsed="false">
      <c r="A323" s="42" t="s">
        <v>24</v>
      </c>
      <c r="B323" s="42" t="s">
        <v>741</v>
      </c>
      <c r="C323" s="37" t="s">
        <v>548</v>
      </c>
      <c r="D323" s="42" t="s">
        <v>153</v>
      </c>
      <c r="E323" s="43" t="n">
        <v>4</v>
      </c>
      <c r="F323" s="44" t="n">
        <v>1620</v>
      </c>
      <c r="G323" s="44" t="n">
        <f aca="false">E323*F323</f>
        <v>6480</v>
      </c>
      <c r="H323" s="43" t="n">
        <v>4</v>
      </c>
      <c r="I323" s="44" t="n">
        <v>1620</v>
      </c>
      <c r="J323" s="44" t="n">
        <f aca="false">H323*I323</f>
        <v>6480</v>
      </c>
      <c r="K323" s="44"/>
      <c r="L323" s="44" t="n">
        <f aca="false">IF(K323&lt;&gt;"",K323,I323)</f>
        <v>1620</v>
      </c>
      <c r="M323" s="44" t="n">
        <f aca="false">H323*L323</f>
        <v>6480</v>
      </c>
      <c r="N323" s="45" t="n">
        <f aca="false">M323-G323</f>
        <v>0</v>
      </c>
      <c r="O323" s="46" t="n">
        <f aca="false">IF(F323&gt;0,L323/F323-1,"")</f>
        <v>0</v>
      </c>
      <c r="P323" s="37" t="s">
        <v>37</v>
      </c>
      <c r="Q323" s="37"/>
      <c r="R323" s="37"/>
    </row>
    <row r="324" customFormat="false" ht="26.85" hidden="false" customHeight="false" outlineLevel="0" collapsed="false">
      <c r="A324" s="17" t="s">
        <v>24</v>
      </c>
      <c r="B324" s="17" t="s">
        <v>742</v>
      </c>
      <c r="C324" s="18" t="s">
        <v>550</v>
      </c>
      <c r="D324" s="17" t="s">
        <v>153</v>
      </c>
      <c r="E324" s="19" t="n">
        <v>4</v>
      </c>
      <c r="F324" s="20" t="n">
        <v>1620</v>
      </c>
      <c r="G324" s="20" t="n">
        <f aca="false">E324*F324</f>
        <v>6480</v>
      </c>
      <c r="H324" s="19" t="n">
        <v>4</v>
      </c>
      <c r="I324" s="20" t="n">
        <v>500</v>
      </c>
      <c r="J324" s="20" t="n">
        <f aca="false">H324*I324</f>
        <v>2000</v>
      </c>
      <c r="K324" s="20"/>
      <c r="L324" s="20" t="n">
        <f aca="false">IF(K324&lt;&gt;"",K324,I324)</f>
        <v>500</v>
      </c>
      <c r="M324" s="20" t="n">
        <f aca="false">H324*L324</f>
        <v>2000</v>
      </c>
      <c r="N324" s="22" t="n">
        <f aca="false">M324-G324</f>
        <v>-4480</v>
      </c>
      <c r="O324" s="21" t="n">
        <f aca="false">IF(F324&gt;0,L324/F324-1,"")</f>
        <v>-0.691358024691358</v>
      </c>
      <c r="P324" s="18" t="s">
        <v>30</v>
      </c>
      <c r="Q324" s="18" t="s">
        <v>212</v>
      </c>
      <c r="R324" s="18"/>
    </row>
    <row r="325" customFormat="false" ht="26.85" hidden="false" customHeight="false" outlineLevel="0" collapsed="false">
      <c r="A325" s="17" t="s">
        <v>24</v>
      </c>
      <c r="B325" s="17" t="s">
        <v>743</v>
      </c>
      <c r="C325" s="18" t="s">
        <v>552</v>
      </c>
      <c r="D325" s="17" t="s">
        <v>153</v>
      </c>
      <c r="E325" s="19" t="n">
        <v>31</v>
      </c>
      <c r="F325" s="20" t="n">
        <v>2268</v>
      </c>
      <c r="G325" s="20" t="n">
        <f aca="false">E325*F325</f>
        <v>70308</v>
      </c>
      <c r="H325" s="19" t="n">
        <v>31</v>
      </c>
      <c r="I325" s="20" t="n">
        <v>1994</v>
      </c>
      <c r="J325" s="20" t="n">
        <f aca="false">H325*I325</f>
        <v>61814</v>
      </c>
      <c r="K325" s="20"/>
      <c r="L325" s="20" t="n">
        <f aca="false">IF(K325&lt;&gt;"",K325,I325)</f>
        <v>1994</v>
      </c>
      <c r="M325" s="20" t="n">
        <f aca="false">H325*L325</f>
        <v>61814</v>
      </c>
      <c r="N325" s="22" t="n">
        <f aca="false">M325-G325</f>
        <v>-8494</v>
      </c>
      <c r="O325" s="21" t="n">
        <f aca="false">IF(F325&gt;0,L325/F325-1,"")</f>
        <v>-0.120811287477954</v>
      </c>
      <c r="P325" s="18" t="s">
        <v>30</v>
      </c>
      <c r="Q325" s="18" t="s">
        <v>744</v>
      </c>
      <c r="R325" s="18"/>
    </row>
    <row r="326" customFormat="false" ht="26.85" hidden="false" customHeight="false" outlineLevel="0" collapsed="false">
      <c r="A326" s="17" t="s">
        <v>24</v>
      </c>
      <c r="B326" s="17" t="s">
        <v>745</v>
      </c>
      <c r="C326" s="18" t="s">
        <v>746</v>
      </c>
      <c r="D326" s="17" t="s">
        <v>153</v>
      </c>
      <c r="E326" s="19" t="n">
        <v>31</v>
      </c>
      <c r="F326" s="20" t="n">
        <v>2268</v>
      </c>
      <c r="G326" s="20" t="n">
        <f aca="false">E326*F326</f>
        <v>70308</v>
      </c>
      <c r="H326" s="19" t="n">
        <v>31</v>
      </c>
      <c r="I326" s="20" t="n">
        <v>1994</v>
      </c>
      <c r="J326" s="20" t="n">
        <f aca="false">H326*I326</f>
        <v>61814</v>
      </c>
      <c r="K326" s="20"/>
      <c r="L326" s="20" t="n">
        <f aca="false">IF(K326&lt;&gt;"",K326,I326)</f>
        <v>1994</v>
      </c>
      <c r="M326" s="20" t="n">
        <f aca="false">H326*L326</f>
        <v>61814</v>
      </c>
      <c r="N326" s="22" t="n">
        <f aca="false">M326-G326</f>
        <v>-8494</v>
      </c>
      <c r="O326" s="21" t="n">
        <f aca="false">IF(F326&gt;0,L326/F326-1,"")</f>
        <v>-0.120811287477954</v>
      </c>
      <c r="P326" s="18" t="s">
        <v>30</v>
      </c>
      <c r="Q326" s="18" t="s">
        <v>744</v>
      </c>
      <c r="R326" s="18"/>
    </row>
    <row r="327" customFormat="false" ht="26.85" hidden="false" customHeight="false" outlineLevel="0" collapsed="false">
      <c r="A327" s="23" t="s">
        <v>24</v>
      </c>
      <c r="B327" s="23" t="s">
        <v>747</v>
      </c>
      <c r="C327" s="24" t="s">
        <v>748</v>
      </c>
      <c r="D327" s="23" t="s">
        <v>211</v>
      </c>
      <c r="E327" s="25" t="n">
        <v>30</v>
      </c>
      <c r="F327" s="26" t="n">
        <v>486</v>
      </c>
      <c r="G327" s="26" t="n">
        <f aca="false">E327*F327</f>
        <v>14580</v>
      </c>
      <c r="H327" s="25" t="n">
        <v>30</v>
      </c>
      <c r="I327" s="26" t="n">
        <v>486</v>
      </c>
      <c r="J327" s="26" t="n">
        <f aca="false">H327*I327</f>
        <v>14580</v>
      </c>
      <c r="K327" s="26" t="n">
        <v>228</v>
      </c>
      <c r="L327" s="26" t="n">
        <f aca="false">IF(K327&lt;&gt;"",K327,I327)</f>
        <v>228</v>
      </c>
      <c r="M327" s="26" t="n">
        <f aca="false">H327*L327</f>
        <v>6840</v>
      </c>
      <c r="N327" s="28" t="n">
        <f aca="false">M327-G327</f>
        <v>-7740</v>
      </c>
      <c r="O327" s="27" t="n">
        <f aca="false">IF(F327&gt;0,L327/F327-1,"")</f>
        <v>-0.530864197530864</v>
      </c>
      <c r="P327" s="24" t="s">
        <v>34</v>
      </c>
      <c r="Q327" s="24" t="s">
        <v>268</v>
      </c>
      <c r="R327" s="24" t="s">
        <v>188</v>
      </c>
    </row>
    <row r="328" customFormat="false" ht="26.85" hidden="false" customHeight="false" outlineLevel="0" collapsed="false">
      <c r="A328" s="17" t="s">
        <v>24</v>
      </c>
      <c r="B328" s="17" t="s">
        <v>749</v>
      </c>
      <c r="C328" s="18" t="s">
        <v>750</v>
      </c>
      <c r="D328" s="17" t="s">
        <v>211</v>
      </c>
      <c r="E328" s="19" t="n">
        <v>200</v>
      </c>
      <c r="F328" s="20" t="n">
        <v>1092</v>
      </c>
      <c r="G328" s="20" t="n">
        <f aca="false">E328*F328</f>
        <v>218400</v>
      </c>
      <c r="H328" s="19" t="n">
        <v>0</v>
      </c>
      <c r="I328" s="20"/>
      <c r="J328" s="20" t="n">
        <f aca="false">H328*I328</f>
        <v>0</v>
      </c>
      <c r="K328" s="20"/>
      <c r="L328" s="20" t="n">
        <f aca="false">IF(K328&lt;&gt;"",K328,I328)</f>
        <v>0</v>
      </c>
      <c r="M328" s="20" t="n">
        <f aca="false">H328*L328</f>
        <v>0</v>
      </c>
      <c r="N328" s="22" t="n">
        <f aca="false">M328-G328</f>
        <v>-218400</v>
      </c>
      <c r="O328" s="21" t="n">
        <f aca="false">IF(F328&gt;0,L328/F328-1,"")</f>
        <v>-1</v>
      </c>
      <c r="P328" s="18" t="s">
        <v>32</v>
      </c>
      <c r="Q328" s="18"/>
      <c r="R328" s="18"/>
    </row>
    <row r="329" customFormat="false" ht="26.85" hidden="false" customHeight="false" outlineLevel="0" collapsed="false">
      <c r="A329" s="17" t="s">
        <v>24</v>
      </c>
      <c r="B329" s="17" t="s">
        <v>751</v>
      </c>
      <c r="C329" s="18" t="s">
        <v>752</v>
      </c>
      <c r="D329" s="17" t="s">
        <v>297</v>
      </c>
      <c r="E329" s="19" t="n">
        <v>1</v>
      </c>
      <c r="F329" s="20" t="n">
        <v>162000</v>
      </c>
      <c r="G329" s="20" t="n">
        <f aca="false">E329*F329</f>
        <v>162000</v>
      </c>
      <c r="H329" s="19" t="n">
        <v>0</v>
      </c>
      <c r="I329" s="20"/>
      <c r="J329" s="20" t="n">
        <f aca="false">H329*I329</f>
        <v>0</v>
      </c>
      <c r="K329" s="20"/>
      <c r="L329" s="20" t="n">
        <f aca="false">IF(K329&lt;&gt;"",K329,I329)</f>
        <v>0</v>
      </c>
      <c r="M329" s="20" t="n">
        <f aca="false">H329*L329</f>
        <v>0</v>
      </c>
      <c r="N329" s="22" t="n">
        <f aca="false">M329-G329</f>
        <v>-162000</v>
      </c>
      <c r="O329" s="21" t="n">
        <f aca="false">IF(F329&gt;0,L329/F329-1,"")</f>
        <v>-1</v>
      </c>
      <c r="P329" s="18" t="s">
        <v>32</v>
      </c>
      <c r="Q329" s="18"/>
      <c r="R329" s="18"/>
    </row>
    <row r="330" customFormat="false" ht="26.85" hidden="false" customHeight="false" outlineLevel="0" collapsed="false">
      <c r="A330" s="17" t="s">
        <v>24</v>
      </c>
      <c r="B330" s="17" t="s">
        <v>753</v>
      </c>
      <c r="C330" s="18" t="s">
        <v>754</v>
      </c>
      <c r="D330" s="17" t="s">
        <v>297</v>
      </c>
      <c r="E330" s="19" t="n">
        <v>1</v>
      </c>
      <c r="F330" s="20" t="n">
        <v>97200</v>
      </c>
      <c r="G330" s="20" t="n">
        <f aca="false">E330*F330</f>
        <v>97200</v>
      </c>
      <c r="H330" s="19" t="n">
        <v>0</v>
      </c>
      <c r="I330" s="20"/>
      <c r="J330" s="20" t="n">
        <f aca="false">H330*I330</f>
        <v>0</v>
      </c>
      <c r="K330" s="20"/>
      <c r="L330" s="20" t="n">
        <f aca="false">IF(K330&lt;&gt;"",K330,I330)</f>
        <v>0</v>
      </c>
      <c r="M330" s="20" t="n">
        <f aca="false">H330*L330</f>
        <v>0</v>
      </c>
      <c r="N330" s="22" t="n">
        <f aca="false">M330-G330</f>
        <v>-97200</v>
      </c>
      <c r="O330" s="21" t="n">
        <f aca="false">IF(F330&gt;0,L330/F330-1,"")</f>
        <v>-1</v>
      </c>
      <c r="P330" s="18" t="s">
        <v>32</v>
      </c>
      <c r="Q330" s="18"/>
      <c r="R330" s="18"/>
    </row>
    <row r="331" customFormat="false" ht="15" hidden="false" customHeight="false" outlineLevel="0" collapsed="false">
      <c r="A331" s="17" t="s">
        <v>24</v>
      </c>
      <c r="B331" s="17" t="s">
        <v>755</v>
      </c>
      <c r="C331" s="18" t="s">
        <v>732</v>
      </c>
      <c r="D331" s="17" t="s">
        <v>297</v>
      </c>
      <c r="E331" s="19" t="n">
        <v>1</v>
      </c>
      <c r="F331" s="20" t="n">
        <v>162000</v>
      </c>
      <c r="G331" s="20" t="n">
        <f aca="false">E331*F331</f>
        <v>162000</v>
      </c>
      <c r="H331" s="19" t="n">
        <v>1</v>
      </c>
      <c r="I331" s="20" t="n">
        <v>120000</v>
      </c>
      <c r="J331" s="20" t="n">
        <f aca="false">H331*I331</f>
        <v>120000</v>
      </c>
      <c r="K331" s="20"/>
      <c r="L331" s="20" t="n">
        <f aca="false">IF(K331&lt;&gt;"",K331,I331)</f>
        <v>120000</v>
      </c>
      <c r="M331" s="20" t="n">
        <f aca="false">H331*L331</f>
        <v>120000</v>
      </c>
      <c r="N331" s="22" t="n">
        <f aca="false">M331-G331</f>
        <v>-42000</v>
      </c>
      <c r="O331" s="21" t="n">
        <f aca="false">IF(F331&gt;0,L331/F331-1,"")</f>
        <v>-0.259259259259259</v>
      </c>
      <c r="P331" s="18" t="s">
        <v>30</v>
      </c>
      <c r="Q331" s="18" t="s">
        <v>534</v>
      </c>
      <c r="R331" s="18"/>
    </row>
    <row r="333" customFormat="false" ht="15" hidden="false" customHeight="false" outlineLevel="0" collapsed="false">
      <c r="C333" s="35" t="s">
        <v>25</v>
      </c>
      <c r="G333" s="36" t="n">
        <f aca="false">SUM(G5:G331)</f>
        <v>22665254.141</v>
      </c>
      <c r="J333" s="36" t="n">
        <f aca="false">SUM(J5:J331)</f>
        <v>16526808.301</v>
      </c>
      <c r="M333" s="36" t="n">
        <f aca="false">SUM(M5:M331)</f>
        <v>16074197.141</v>
      </c>
      <c r="N333" s="36" t="n">
        <f aca="false">SUM(N5:N331)</f>
        <v>-6591057</v>
      </c>
    </row>
  </sheetData>
  <autoFilter ref="A3:R3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2026-10-14T07:30:06Z</dcterms:created>
  <dc:creator>openpyxl</dc:creator>
  <dc:description/>
  <dc:language>en-US</dc:language>
  <cp:lastModifiedBy/>
  <dcterms:modified xsi:type="dcterms:W3CDTF">2026-10-14T07:30:06Z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